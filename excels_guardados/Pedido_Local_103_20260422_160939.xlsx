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0" documentId="11_666DDA71C3B9D297D8FD9DE0EE74E377B0D9711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 s="1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6" i="8"/>
  <c r="AF19" i="9" s="1"/>
  <c r="AN35" i="8"/>
  <c r="AF18" i="9" s="1"/>
  <c r="AN34" i="8"/>
  <c r="AF17" i="9" s="1"/>
  <c r="AN33" i="8"/>
  <c r="AF16" i="9" s="1"/>
  <c r="AN32" i="8"/>
  <c r="AF15" i="9" s="1"/>
  <c r="AF49" i="8"/>
  <c r="AI29" i="8"/>
  <c r="AH29" i="8"/>
  <c r="AH49" i="8" s="1"/>
  <c r="O13" i="8"/>
  <c r="AN47" i="8"/>
  <c r="AF30" i="9" s="1"/>
  <c r="AN37" i="8" l="1"/>
  <c r="AF20" i="9" s="1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L36" i="3"/>
  <c r="AJ36" i="3" s="1"/>
  <c r="AE19" i="4" s="1"/>
  <c r="AG37" i="3"/>
  <c r="AF37" i="3" s="1"/>
  <c r="AL37" i="3"/>
  <c r="AJ37" i="3" s="1"/>
  <c r="AE20" i="4" s="1"/>
  <c r="AG38" i="3"/>
  <c r="AF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H40" i="3" s="1"/>
  <c r="AL40" i="3"/>
  <c r="AJ40" i="3" s="1"/>
  <c r="AE23" i="4" s="1"/>
  <c r="AF41" i="3"/>
  <c r="AH41" i="3" s="1"/>
  <c r="AG41" i="3"/>
  <c r="AI41" i="3"/>
  <c r="AL41" i="3"/>
  <c r="AJ41" i="3" s="1"/>
  <c r="AE24" i="4" s="1"/>
  <c r="AG42" i="3"/>
  <c r="AF42" i="3" s="1"/>
  <c r="AH42" i="3" s="1"/>
  <c r="AL42" i="3"/>
  <c r="AJ42" i="3" s="1"/>
  <c r="AE25" i="4" s="1"/>
  <c r="AF43" i="3"/>
  <c r="AH43" i="3" s="1"/>
  <c r="AG43" i="3"/>
  <c r="AI43" i="3"/>
  <c r="AL43" i="3"/>
  <c r="AJ43" i="3" s="1"/>
  <c r="AE26" i="4" s="1"/>
  <c r="AF44" i="3"/>
  <c r="AH44" i="3" s="1"/>
  <c r="AG44" i="3"/>
  <c r="AI44" i="3"/>
  <c r="AL44" i="3"/>
  <c r="AJ44" i="3" s="1"/>
  <c r="AE27" i="4" s="1"/>
  <c r="AF45" i="3"/>
  <c r="AH45" i="3" s="1"/>
  <c r="AG45" i="3"/>
  <c r="AI45" i="3"/>
  <c r="AL45" i="3"/>
  <c r="AJ45" i="3" s="1"/>
  <c r="AE28" i="4" s="1"/>
  <c r="AF46" i="3"/>
  <c r="AH46" i="3" s="1"/>
  <c r="AG46" i="3"/>
  <c r="AI46" i="3"/>
  <c r="AL46" i="3"/>
  <c r="AJ46" i="3" s="1"/>
  <c r="AE29" i="4" s="1"/>
  <c r="AN52" i="3"/>
  <c r="AN51" i="3"/>
  <c r="AI42" i="3" l="1"/>
  <c r="AM39" i="3"/>
  <c r="AN39" i="3" s="1"/>
  <c r="AG22" i="4" s="1"/>
  <c r="AH38" i="3"/>
  <c r="AI38" i="3"/>
  <c r="AH37" i="3"/>
  <c r="AI37" i="3"/>
  <c r="AM38" i="3"/>
  <c r="AN38" i="3" s="1"/>
  <c r="AG2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M42" i="3"/>
  <c r="AN42" i="3" s="1"/>
  <c r="AG25" i="4" s="1"/>
  <c r="AM41" i="3"/>
  <c r="AN41" i="3" s="1"/>
  <c r="AG24" i="4" s="1"/>
  <c r="AI39" i="3"/>
  <c r="AH36" i="3"/>
  <c r="AI36" i="3"/>
  <c r="AM37" i="3"/>
  <c r="AN37" i="3" s="1"/>
  <c r="AG20" i="4" s="1"/>
  <c r="AM31" i="3"/>
  <c r="AN31" i="3" s="1"/>
  <c r="AG14" i="4" s="1"/>
  <c r="AI40" i="3"/>
  <c r="AM36" i="3"/>
  <c r="AN36" i="3" s="1"/>
  <c r="AG19" i="4" s="1"/>
  <c r="AM35" i="3"/>
  <c r="AN35" i="3" s="1"/>
  <c r="AG18" i="4" s="1"/>
  <c r="AI35" i="3"/>
  <c r="AM34" i="3"/>
  <c r="AN34" i="3" s="1"/>
  <c r="AG17" i="4" s="1"/>
  <c r="AH33" i="3"/>
  <c r="AM32" i="3"/>
  <c r="AN32" i="3" s="1"/>
  <c r="AG15" i="4" s="1"/>
  <c r="AH31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J28" i="6"/>
  <c r="J29" i="6"/>
  <c r="J30" i="6"/>
  <c r="H31" i="6"/>
  <c r="J31" i="6" s="1"/>
  <c r="H26" i="6"/>
  <c r="J26" i="6" s="1"/>
  <c r="H27" i="6"/>
  <c r="J27" i="6" s="1"/>
  <c r="H28" i="6"/>
  <c r="H29" i="6"/>
  <c r="H30" i="6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L48" i="5"/>
  <c r="AJ48" i="5" s="1"/>
  <c r="AD31" i="6" s="1"/>
  <c r="AI48" i="5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M47" i="5"/>
  <c r="AN47" i="5" s="1"/>
  <c r="AF30" i="6" s="1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L46" i="5"/>
  <c r="AJ46" i="5" s="1"/>
  <c r="AD29" i="6" s="1"/>
  <c r="AI46" i="5"/>
  <c r="AG46" i="5"/>
  <c r="AF46" i="5"/>
  <c r="AH46" i="5" s="1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L45" i="5"/>
  <c r="AJ45" i="5" s="1"/>
  <c r="AD28" i="6" s="1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M44" i="5"/>
  <c r="AL44" i="5"/>
  <c r="AJ44" i="5" s="1"/>
  <c r="AD27" i="6" s="1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L43" i="5"/>
  <c r="AJ43" i="5" s="1"/>
  <c r="AD26" i="6" s="1"/>
  <c r="AI43" i="5"/>
  <c r="AG43" i="5"/>
  <c r="AF43" i="5"/>
  <c r="AC31" i="6" s="1"/>
  <c r="BO42" i="5"/>
  <c r="BN42" i="5"/>
  <c r="BM42" i="5"/>
  <c r="AM42" i="5" s="1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M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I40" i="5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 s="1"/>
  <c r="AS38" i="5"/>
  <c r="AR38" i="5"/>
  <c r="AQ38" i="5"/>
  <c r="AP38" i="5"/>
  <c r="AL38" i="5"/>
  <c r="AJ38" i="5" s="1"/>
  <c r="AD21" i="6" s="1"/>
  <c r="AI38" i="5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M37" i="5"/>
  <c r="AL37" i="5"/>
  <c r="AJ37" i="5" s="1"/>
  <c r="AD20" i="6" s="1"/>
  <c r="AI37" i="5"/>
  <c r="AG37" i="5"/>
  <c r="AF37" i="5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M36" i="5" s="1"/>
  <c r="AP36" i="5"/>
  <c r="AL36" i="5"/>
  <c r="AJ36" i="5" s="1"/>
  <c r="AD19" i="6" s="1"/>
  <c r="AI36" i="5"/>
  <c r="AG36" i="5"/>
  <c r="AF36" i="5"/>
  <c r="AC19" i="6" s="1"/>
  <c r="BO35" i="5"/>
  <c r="BN35" i="5"/>
  <c r="BM35" i="5"/>
  <c r="BK35" i="5"/>
  <c r="AM35" i="5" s="1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I35" i="5"/>
  <c r="AG35" i="5"/>
  <c r="AF35" i="5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M34" i="5"/>
  <c r="AL34" i="5"/>
  <c r="AJ34" i="5" s="1"/>
  <c r="AD17" i="6" s="1"/>
  <c r="AI34" i="5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I32" i="5"/>
  <c r="AG32" i="5"/>
  <c r="AF32" i="5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I30" i="5"/>
  <c r="AG30" i="5"/>
  <c r="AF30" i="5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I48" i="3"/>
  <c r="AG48" i="3"/>
  <c r="AF48" i="3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M30" i="3" l="1"/>
  <c r="AN30" i="3" s="1"/>
  <c r="AG13" i="4" s="1"/>
  <c r="AH40" i="5"/>
  <c r="AN38" i="5"/>
  <c r="AF21" i="6" s="1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6" i="5"/>
  <c r="AF29" i="6" s="1"/>
  <c r="AN42" i="5"/>
  <c r="AF25" i="6" s="1"/>
  <c r="AN44" i="5"/>
  <c r="AF27" i="6" s="1"/>
  <c r="AN39" i="5"/>
  <c r="AF22" i="6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36" i="5"/>
  <c r="AF19" i="6" s="1"/>
  <c r="AN40" i="5"/>
  <c r="AF23" i="6" s="1"/>
  <c r="AH29" i="5"/>
  <c r="AH34" i="5"/>
  <c r="AN34" i="5"/>
  <c r="AF17" i="6" s="1"/>
  <c r="AH36" i="5"/>
  <c r="AH42" i="5"/>
  <c r="AN35" i="5"/>
  <c r="AF18" i="6" s="1"/>
  <c r="AH30" i="5"/>
  <c r="P15" i="3"/>
  <c r="O15" i="3"/>
  <c r="AF49" i="3"/>
  <c r="AD12" i="4"/>
  <c r="O16" i="3"/>
  <c r="AH29" i="3"/>
  <c r="AN43" i="5"/>
  <c r="AF26" i="6" s="1"/>
  <c r="P16" i="3"/>
  <c r="AH47" i="3"/>
  <c r="AE12" i="4"/>
  <c r="P11" i="5"/>
  <c r="O16" i="5"/>
  <c r="AC22" i="6"/>
  <c r="AH39" i="5"/>
  <c r="AN45" i="5"/>
  <c r="AF28" i="6" s="1"/>
  <c r="O11" i="3"/>
  <c r="AN41" i="5"/>
  <c r="AF24" i="6" s="1"/>
  <c r="P11" i="3"/>
  <c r="AN48" i="3"/>
  <c r="AG31" i="4" s="1"/>
  <c r="AC14" i="6"/>
  <c r="AH31" i="5"/>
  <c r="AN37" i="5"/>
  <c r="AF20" i="6" s="1"/>
  <c r="AC18" i="6"/>
  <c r="AH35" i="5"/>
  <c r="AD26" i="4"/>
  <c r="P16" i="5"/>
  <c r="AD12" i="6"/>
  <c r="O11" i="5"/>
  <c r="AN48" i="5"/>
  <c r="AF31" i="6" s="1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S18" i="5"/>
  <c r="S19" i="5"/>
  <c r="AH49" i="5"/>
  <c r="S20" i="5" s="1"/>
  <c r="S21" i="5" s="1"/>
  <c r="AH49" i="3"/>
  <c r="S15" i="5" l="1"/>
  <c r="AG8" i="4"/>
  <c r="S16" i="5"/>
  <c r="Z8" i="6"/>
  <c r="S12" i="5"/>
  <c r="S14" i="5" s="1"/>
  <c r="O17" i="3"/>
  <c r="O17" i="5"/>
  <c r="AF12" i="6"/>
  <c r="Y8" i="6"/>
  <c r="AF8" i="6" s="1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P17" i="5" l="1"/>
</calcChain>
</file>

<file path=xl/sharedStrings.xml><?xml version="1.0" encoding="utf-8"?>
<sst xmlns="http://schemas.openxmlformats.org/spreadsheetml/2006/main" count="1778" uniqueCount="247">
  <si>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</si>
  <si>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</si>
  <si>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</si>
  <si>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</si>
  <si>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</si>
  <si>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</si>
  <si>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</si>
  <si>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</si>
  <si>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</si>
  <si>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</si>
  <si>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</si>
  <si>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</si>
  <si>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</si>
  <si>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</si>
  <si>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</si>
  <si>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</si>
  <si>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</si>
  <si>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</si>
  <si>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</si>
  <si>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</si>
  <si>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</si>
  <si>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</si>
  <si>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</si>
  <si>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</si>
  <si>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</si>
  <si>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</si>
  <si>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</si>
  <si>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</si>
  <si>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</si>
  <si>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</si>
  <si>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</si>
  <si>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</si>
  <si>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</si>
  <si>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</si>
  <si>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</si>
  <si>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</si>
  <si>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</si>
  <si>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</si>
  <si>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</si>
  <si>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</si>
  <si>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</si>
  <si>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</si>
  <si>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</si>
  <si>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</si>
  <si>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</si>
  <si>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</si>
  <si>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</si>
  <si>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</si>
  <si>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</si>
  <si>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</si>
  <si>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</si>
  <si>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</si>
  <si>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</si>
  <si>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</si>
  <si>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</si>
  <si>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</si>
  <si>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</si>
  <si>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</si>
  <si>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</si>
  <si>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</si>
  <si>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</si>
  <si>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</si>
  <si>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</si>
  <si>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</si>
  <si>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</si>
  <si>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</si>
  <si>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</si>
  <si>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</si>
  <si>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</si>
  <si>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</si>
  <si>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</si>
  <si>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</si>
  <si>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</si>
  <si>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</si>
  <si>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</si>
  <si>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</si>
  <si>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</si>
  <si>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</si>
  <si>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</si>
  <si>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</si>
  <si>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</si>
  <si>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</si>
  <si>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</si>
  <si>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</si>
  <si>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</si>
  <si>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</si>
  <si>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</si>
  <si>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</si>
  <si>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</si>
  <si>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</si>
  <si>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</si>
  <si>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</si>
  <si>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</si>
  <si>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</si>
  <si>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</si>
  <si>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</si>
  <si>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</si>
  <si>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</si>
  <si>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</si>
  <si>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</si>
  <si>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</si>
  <si>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</si>
  <si>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</si>
  <si>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</si>
  <si>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</si>
  <si>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</si>
  <si>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</si>
  <si>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</si>
  <si>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</si>
  <si>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</si>
  <si>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</si>
  <si>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</si>
  <si>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</si>
  <si>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</si>
  <si>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</si>
  <si>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</si>
  <si>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</si>
  <si>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</si>
  <si>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</si>
  <si>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</si>
  <si>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</si>
  <si>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</si>
  <si>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</si>
  <si>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</si>
  <si>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</si>
  <si>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</si>
  <si>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</si>
  <si>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</si>
  <si>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</si>
  <si>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</si>
  <si>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</si>
  <si>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</si>
  <si>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</si>
  <si>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</si>
  <si>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</si>
  <si>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</si>
  <si>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</si>
  <si>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</si>
  <si>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</si>
  <si>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</si>
  <si>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</si>
  <si>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</si>
  <si>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</si>
  <si>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</si>
  <si>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</si>
  <si>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</si>
  <si>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</si>
  <si>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</si>
  <si>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</si>
  <si>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</si>
  <si>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</si>
  <si>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</si>
  <si>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</si>
  <si>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</si>
  <si>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</si>
  <si>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</si>
  <si>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</si>
  <si>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</si>
  <si>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</si>
  <si>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</si>
  <si>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</si>
  <si>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</si>
  <si>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</si>
  <si>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</si>
  <si>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</si>
  <si>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</si>
  <si>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</si>
  <si>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</si>
  <si>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</si>
  <si>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</si>
  <si>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</si>
  <si>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</si>
  <si>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</si>
  <si>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</si>
  <si>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</si>
  <si>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</si>
  <si>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</si>
  <si>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</si>
  <si>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</si>
  <si>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</si>
  <si>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</si>
  <si>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</si>
  <si>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</si>
  <si>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</si>
  <si>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</si>
  <si>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</si>
  <si>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</si>
  <si>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</si>
  <si>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</si>
  <si>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</si>
  <si>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</si>
  <si>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</si>
  <si>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</si>
  <si>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</si>
  <si>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</si>
  <si>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</si>
  <si>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</si>
  <si>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</si>
  <si>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</si>
  <si>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</si>
  <si>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</si>
  <si>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</si>
  <si>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</si>
  <si>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</si>
  <si>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</si>
  <si>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</si>
  <si>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</si>
  <si>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</si>
  <si>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</si>
  <si>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</si>
  <si>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</si>
  <si>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</si>
  <si>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</si>
  <si>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</si>
  <si>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</si>
  <si>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</si>
  <si>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</si>
  <si>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</si>
  <si>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</si>
  <si>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</si>
  <si>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</si>
  <si>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</si>
  <si>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</si>
  <si>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</si>
  <si>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</si>
  <si>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</si>
  <si>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</si>
  <si>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</si>
  <si>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</si>
  <si>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</si>
  <si>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</si>
  <si>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</si>
  <si>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</si>
  <si>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</si>
  <si>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</si>
  <si>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</si>
  <si>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</si>
  <si>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</si>
  <si>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</si>
  <si>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</si>
  <si>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</si>
  <si>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 xml:space="preserve">Natanael Avile </t>
  </si>
  <si>
    <t>UI 1.10</t>
  </si>
  <si>
    <t>Con apertura inferior</t>
  </si>
  <si>
    <t>Tae UI-1,2</t>
  </si>
  <si>
    <t>Tae UI-1.4</t>
  </si>
  <si>
    <t>Tae UI-1,3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</si>
</sst>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35428" y="4817993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54798" y="4789418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90363" y="4817993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7735" y="4765431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61972" y="4736856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600104" y="4765431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D13" zoomScale="92" zoomScaleNormal="70" workbookViewId="0">
      <selection activeCell="N35" sqref="N35:P35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46134</v>
      </c>
      <c r="L5" s="229"/>
      <c r="M5" s="229"/>
      <c r="N5" s="230"/>
      <c r="O5" s="126"/>
      <c r="P5" s="136" t="s">
        <v>6</v>
      </c>
      <c r="Q5" s="140"/>
      <c r="R5" s="607" t="s">
        <v>181</v>
      </c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>
        <v>13655</v>
      </c>
      <c r="E6" s="139"/>
      <c r="F6" s="139"/>
      <c r="G6" s="139"/>
      <c r="H6" s="620" t="s">
        <v>8</v>
      </c>
      <c r="I6" s="594"/>
      <c r="J6" s="621"/>
      <c r="K6" s="231">
        <v>46136</v>
      </c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103</v>
      </c>
      <c r="E7" s="139"/>
      <c r="F7" s="139"/>
      <c r="G7" s="126"/>
      <c r="H7" s="620" t="s">
        <v>239</v>
      </c>
      <c r="I7" s="594"/>
      <c r="J7" s="621"/>
      <c r="K7" s="245" t="s">
        <v>241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13.666044002223705</v>
      </c>
      <c r="P12" s="296">
        <f t="shared" si="0"/>
        <v>54.66417600889482</v>
      </c>
      <c r="Q12" s="597" t="s">
        <v>23</v>
      </c>
      <c r="R12" s="598"/>
      <c r="S12" s="284">
        <f>ROUNDUP(AI49/6,0)</f>
        <v>5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10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2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14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13.666044002223705</v>
      </c>
      <c r="P17" s="306">
        <f t="shared" si="1"/>
        <v>54.66417600889482</v>
      </c>
      <c r="Q17" s="597" t="s">
        <v>40</v>
      </c>
      <c r="R17" s="598"/>
      <c r="S17" s="284">
        <f>ROUNDUP(AI49/6,0)</f>
        <v>5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19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10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136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9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592" t="s">
        <v>242</v>
      </c>
      <c r="E29" s="608"/>
      <c r="F29" s="607" t="s">
        <v>98</v>
      </c>
      <c r="G29" s="594"/>
      <c r="H29" s="593"/>
      <c r="I29" s="192">
        <v>1</v>
      </c>
      <c r="J29" s="192">
        <v>65</v>
      </c>
      <c r="K29" s="192">
        <v>30</v>
      </c>
      <c r="L29" s="192"/>
      <c r="M29" s="192"/>
      <c r="N29" s="592"/>
      <c r="O29" s="594"/>
      <c r="P29" s="593"/>
      <c r="Q29" s="192"/>
      <c r="R29" s="192"/>
      <c r="S29" s="192">
        <v>0.4</v>
      </c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8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1.0051599999999998</v>
      </c>
      <c r="AN29" s="290">
        <f t="shared" ref="AN29:AN48" si="8">IF(ISERROR(AM29*(IF(AJ29=1,8,IF(AJ29=0.8,6.4,IF(AJ29=0.6,4.8,IF(AJ29=0.5,4)))))),"",AM29*(IF(AJ29=1,8,IF(AJ29=0.8,6.4,IF(AJ29=0.6,4.8,IF(AJ29=0.5,4))))))</f>
        <v>4.0206399999999993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1.0051599999999998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592"/>
      <c r="E30" s="608"/>
      <c r="F30" s="607" t="s">
        <v>98</v>
      </c>
      <c r="G30" s="594"/>
      <c r="H30" s="593"/>
      <c r="I30" s="192">
        <v>1</v>
      </c>
      <c r="J30" s="192">
        <v>65</v>
      </c>
      <c r="K30" s="192">
        <v>30</v>
      </c>
      <c r="L30" s="192"/>
      <c r="M30" s="192"/>
      <c r="N30" s="592"/>
      <c r="O30" s="594"/>
      <c r="P30" s="593"/>
      <c r="Q30" s="192"/>
      <c r="R30" s="192"/>
      <c r="S30" s="192">
        <v>0.85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8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1.8750099999999998</v>
      </c>
      <c r="AN30" s="290">
        <f t="shared" si="8"/>
        <v>7.5000399999999994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1.8750099999999998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592"/>
      <c r="E31" s="608"/>
      <c r="F31" s="607" t="s">
        <v>105</v>
      </c>
      <c r="G31" s="594"/>
      <c r="H31" s="593"/>
      <c r="I31" s="192">
        <v>1</v>
      </c>
      <c r="J31" s="192">
        <v>65</v>
      </c>
      <c r="K31" s="192">
        <v>30</v>
      </c>
      <c r="L31" s="192"/>
      <c r="M31" s="192"/>
      <c r="N31" s="592"/>
      <c r="O31" s="594"/>
      <c r="P31" s="593"/>
      <c r="Q31" s="192"/>
      <c r="R31" s="192"/>
      <c r="S31" s="192">
        <v>0.2</v>
      </c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592"/>
      <c r="E32" s="608"/>
      <c r="F32" s="607" t="s">
        <v>87</v>
      </c>
      <c r="G32" s="594"/>
      <c r="H32" s="593"/>
      <c r="I32" s="192">
        <v>1</v>
      </c>
      <c r="J32" s="192">
        <v>30</v>
      </c>
      <c r="K32" s="192">
        <v>65</v>
      </c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136</v>
      </c>
      <c r="AD32" s="593"/>
      <c r="AE32" s="197"/>
      <c r="AF32" s="284">
        <f t="shared" si="2"/>
        <v>1</v>
      </c>
      <c r="AG32" s="285">
        <f t="shared" si="3"/>
        <v>0</v>
      </c>
      <c r="AH32" s="285">
        <f t="shared" si="4"/>
        <v>8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1.255659029126972</v>
      </c>
      <c r="AN32" s="290">
        <f t="shared" si="37"/>
        <v>5.0226361165078881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>
        <f t="shared" si="12"/>
        <v>1.255659029126972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 t="s">
        <v>243</v>
      </c>
      <c r="E33" s="608"/>
      <c r="F33" s="607" t="s">
        <v>100</v>
      </c>
      <c r="G33" s="594"/>
      <c r="H33" s="593"/>
      <c r="I33" s="192">
        <v>1</v>
      </c>
      <c r="J33" s="192">
        <v>140</v>
      </c>
      <c r="K33" s="192">
        <v>30</v>
      </c>
      <c r="L33" s="192"/>
      <c r="M33" s="192"/>
      <c r="N33" s="592"/>
      <c r="O33" s="594"/>
      <c r="P33" s="593"/>
      <c r="Q33" s="192"/>
      <c r="R33" s="192"/>
      <c r="S33" s="192">
        <v>0.6</v>
      </c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>
        <f t="shared" si="36"/>
        <v>1</v>
      </c>
      <c r="AK33" s="288"/>
      <c r="AL33" s="289">
        <f t="shared" si="6"/>
        <v>1</v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e">
        <f t="shared" si="25"/>
        <v>#N/A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 t="s">
        <v>98</v>
      </c>
      <c r="G34" s="594"/>
      <c r="H34" s="593"/>
      <c r="I34" s="192">
        <v>1</v>
      </c>
      <c r="J34" s="192">
        <v>65</v>
      </c>
      <c r="K34" s="192">
        <v>30</v>
      </c>
      <c r="L34" s="192"/>
      <c r="M34" s="192"/>
      <c r="N34" s="592"/>
      <c r="O34" s="594"/>
      <c r="P34" s="593"/>
      <c r="Q34" s="192"/>
      <c r="R34" s="192"/>
      <c r="S34" s="192">
        <v>0.6</v>
      </c>
      <c r="T34" s="192"/>
      <c r="U34" s="192"/>
      <c r="V34" s="193"/>
      <c r="W34" s="194"/>
      <c r="X34" s="192"/>
      <c r="Y34" s="192"/>
      <c r="Z34" s="195"/>
      <c r="AA34" s="592" t="s">
        <v>136</v>
      </c>
      <c r="AB34" s="593"/>
      <c r="AC34" s="592" t="s">
        <v>137</v>
      </c>
      <c r="AD34" s="593"/>
      <c r="AE34" s="197"/>
      <c r="AF34" s="284">
        <f t="shared" si="2"/>
        <v>1</v>
      </c>
      <c r="AG34" s="285">
        <f t="shared" si="3"/>
        <v>0</v>
      </c>
      <c r="AH34" s="285">
        <f t="shared" si="4"/>
        <v>0</v>
      </c>
      <c r="AI34" s="286">
        <f t="shared" si="5"/>
        <v>4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1.2757799999999999</v>
      </c>
      <c r="AN34" s="290">
        <f t="shared" si="37"/>
        <v>5.1031199999999997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>
        <f t="shared" si="23"/>
        <v>1.2757799999999999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 t="s">
        <v>105</v>
      </c>
      <c r="G35" s="594"/>
      <c r="H35" s="593"/>
      <c r="I35" s="192">
        <v>1</v>
      </c>
      <c r="J35" s="192">
        <v>45</v>
      </c>
      <c r="K35" s="192">
        <v>25</v>
      </c>
      <c r="L35" s="192"/>
      <c r="M35" s="192"/>
      <c r="N35" s="592"/>
      <c r="O35" s="594"/>
      <c r="P35" s="593"/>
      <c r="Q35" s="192"/>
      <c r="R35" s="192"/>
      <c r="S35" s="192">
        <v>0.2</v>
      </c>
      <c r="T35" s="192"/>
      <c r="U35" s="192"/>
      <c r="V35" s="193"/>
      <c r="W35" s="194"/>
      <c r="X35" s="192"/>
      <c r="Y35" s="192"/>
      <c r="Z35" s="195"/>
      <c r="AA35" s="592" t="s">
        <v>136</v>
      </c>
      <c r="AB35" s="593"/>
      <c r="AC35" s="592" t="s">
        <v>145</v>
      </c>
      <c r="AD35" s="593"/>
      <c r="AE35" s="197"/>
      <c r="AF35" s="284">
        <f t="shared" si="2"/>
        <v>1</v>
      </c>
      <c r="AG35" s="285">
        <f t="shared" si="3"/>
        <v>0</v>
      </c>
      <c r="AH35" s="285">
        <f t="shared" si="4"/>
        <v>4</v>
      </c>
      <c r="AI35" s="286">
        <f t="shared" si="5"/>
        <v>0</v>
      </c>
      <c r="AJ35" s="287">
        <f t="shared" si="36"/>
        <v>0.5</v>
      </c>
      <c r="AK35" s="288"/>
      <c r="AL35" s="289">
        <f t="shared" si="6"/>
        <v>0.5</v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 t="s">
        <v>244</v>
      </c>
      <c r="E36" s="608"/>
      <c r="F36" s="607" t="s">
        <v>98</v>
      </c>
      <c r="G36" s="594"/>
      <c r="H36" s="593"/>
      <c r="I36" s="192">
        <v>1</v>
      </c>
      <c r="J36" s="192">
        <v>45</v>
      </c>
      <c r="K36" s="192">
        <v>20</v>
      </c>
      <c r="L36" s="192"/>
      <c r="M36" s="192"/>
      <c r="N36" s="592"/>
      <c r="O36" s="594"/>
      <c r="P36" s="593"/>
      <c r="Q36" s="192"/>
      <c r="R36" s="192"/>
      <c r="S36" s="192">
        <v>0.1</v>
      </c>
      <c r="T36" s="192"/>
      <c r="U36" s="192"/>
      <c r="V36" s="193"/>
      <c r="W36" s="194"/>
      <c r="X36" s="192"/>
      <c r="Y36" s="192"/>
      <c r="Z36" s="195"/>
      <c r="AA36" s="592" t="s">
        <v>136</v>
      </c>
      <c r="AB36" s="593"/>
      <c r="AC36" s="592" t="s">
        <v>136</v>
      </c>
      <c r="AD36" s="593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8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0.29325999999999997</v>
      </c>
      <c r="AN36" s="290">
        <f t="shared" si="37"/>
        <v>1.1730399999999999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>
        <f t="shared" si="23"/>
        <v>0.29325999999999997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 t="s">
        <v>105</v>
      </c>
      <c r="G37" s="594"/>
      <c r="H37" s="593"/>
      <c r="I37" s="192">
        <v>1</v>
      </c>
      <c r="J37" s="192">
        <v>45</v>
      </c>
      <c r="K37" s="192">
        <v>20</v>
      </c>
      <c r="L37" s="192"/>
      <c r="M37" s="192"/>
      <c r="N37" s="592"/>
      <c r="O37" s="594"/>
      <c r="P37" s="593"/>
      <c r="Q37" s="192"/>
      <c r="R37" s="192"/>
      <c r="S37" s="192">
        <v>0.2</v>
      </c>
      <c r="T37" s="192"/>
      <c r="U37" s="192"/>
      <c r="V37" s="193"/>
      <c r="W37" s="194"/>
      <c r="X37" s="192"/>
      <c r="Y37" s="192"/>
      <c r="Z37" s="195"/>
      <c r="AA37" s="592" t="s">
        <v>136</v>
      </c>
      <c r="AB37" s="593"/>
      <c r="AC37" s="592" t="s">
        <v>145</v>
      </c>
      <c r="AD37" s="593"/>
      <c r="AE37" s="197"/>
      <c r="AF37" s="284">
        <f t="shared" si="2"/>
        <v>1</v>
      </c>
      <c r="AG37" s="285">
        <f t="shared" si="3"/>
        <v>0</v>
      </c>
      <c r="AH37" s="285">
        <f t="shared" si="4"/>
        <v>4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 t="s">
        <v>245</v>
      </c>
      <c r="E38" s="608"/>
      <c r="F38" s="607" t="s">
        <v>87</v>
      </c>
      <c r="G38" s="594"/>
      <c r="H38" s="593"/>
      <c r="I38" s="192">
        <v>1</v>
      </c>
      <c r="J38" s="192">
        <v>25</v>
      </c>
      <c r="K38" s="192">
        <v>30</v>
      </c>
      <c r="L38" s="192">
        <v>5</v>
      </c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 t="s">
        <v>136</v>
      </c>
      <c r="AB38" s="593"/>
      <c r="AC38" s="592" t="s">
        <v>136</v>
      </c>
      <c r="AD38" s="593"/>
      <c r="AE38" s="197"/>
      <c r="AF38" s="284">
        <f t="shared" si="2"/>
        <v>1</v>
      </c>
      <c r="AG38" s="285">
        <f t="shared" si="3"/>
        <v>0</v>
      </c>
      <c r="AH38" s="285">
        <f t="shared" si="4"/>
        <v>8</v>
      </c>
      <c r="AI38" s="286">
        <f t="shared" si="5"/>
        <v>0</v>
      </c>
      <c r="AJ38" s="287">
        <f t="shared" si="36"/>
        <v>0.5</v>
      </c>
      <c r="AK38" s="288"/>
      <c r="AL38" s="289">
        <f t="shared" si="6"/>
        <v>0.5</v>
      </c>
      <c r="AM38" s="290">
        <f t="shared" si="7"/>
        <v>0.59681128930982452</v>
      </c>
      <c r="AN38" s="290">
        <f t="shared" si="37"/>
        <v>2.3872451572392981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>
        <f t="shared" si="12"/>
        <v>0.59681128930982452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 t="s">
        <v>105</v>
      </c>
      <c r="G39" s="594"/>
      <c r="H39" s="593"/>
      <c r="I39" s="192">
        <v>1</v>
      </c>
      <c r="J39" s="192">
        <v>35</v>
      </c>
      <c r="K39" s="192">
        <v>30</v>
      </c>
      <c r="L39" s="192"/>
      <c r="M39" s="192"/>
      <c r="N39" s="592"/>
      <c r="O39" s="594"/>
      <c r="P39" s="593"/>
      <c r="Q39" s="192"/>
      <c r="R39" s="192"/>
      <c r="S39" s="192">
        <v>0.2</v>
      </c>
      <c r="T39" s="192"/>
      <c r="U39" s="192"/>
      <c r="V39" s="193"/>
      <c r="W39" s="194"/>
      <c r="X39" s="192"/>
      <c r="Y39" s="192"/>
      <c r="Z39" s="195"/>
      <c r="AA39" s="592" t="s">
        <v>136</v>
      </c>
      <c r="AB39" s="593"/>
      <c r="AC39" s="592" t="s">
        <v>136</v>
      </c>
      <c r="AD39" s="593"/>
      <c r="AE39" s="197"/>
      <c r="AF39" s="284">
        <f t="shared" si="2"/>
        <v>1</v>
      </c>
      <c r="AG39" s="285">
        <f t="shared" si="3"/>
        <v>0</v>
      </c>
      <c r="AH39" s="285">
        <f t="shared" si="4"/>
        <v>8</v>
      </c>
      <c r="AI39" s="286">
        <f t="shared" si="5"/>
        <v>0</v>
      </c>
      <c r="AJ39" s="287">
        <f t="shared" si="36"/>
        <v>0.5</v>
      </c>
      <c r="AK39" s="288"/>
      <c r="AL39" s="289">
        <f t="shared" si="6"/>
        <v>0.5</v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 t="s">
        <v>87</v>
      </c>
      <c r="G40" s="594"/>
      <c r="H40" s="593"/>
      <c r="I40" s="192">
        <v>1</v>
      </c>
      <c r="J40" s="192">
        <v>35</v>
      </c>
      <c r="K40" s="192">
        <v>30</v>
      </c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 t="s">
        <v>136</v>
      </c>
      <c r="AB40" s="593"/>
      <c r="AC40" s="592" t="s">
        <v>136</v>
      </c>
      <c r="AD40" s="593"/>
      <c r="AE40" s="197"/>
      <c r="AF40" s="284">
        <f t="shared" si="2"/>
        <v>1</v>
      </c>
      <c r="AG40" s="285">
        <f t="shared" si="3"/>
        <v>0</v>
      </c>
      <c r="AH40" s="285">
        <f t="shared" si="4"/>
        <v>8</v>
      </c>
      <c r="AI40" s="286">
        <f t="shared" si="5"/>
        <v>0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0.94112807626984019</v>
      </c>
      <c r="AN40" s="290">
        <f t="shared" si="37"/>
        <v>3.7645123050793607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>
        <f t="shared" si="12"/>
        <v>0.94112807626984019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 t="s">
        <v>33</v>
      </c>
      <c r="G41" s="594"/>
      <c r="H41" s="593"/>
      <c r="I41" s="192">
        <v>1</v>
      </c>
      <c r="J41" s="192">
        <v>30</v>
      </c>
      <c r="K41" s="192">
        <v>35</v>
      </c>
      <c r="L41" s="192"/>
      <c r="M41" s="192">
        <v>47</v>
      </c>
      <c r="N41" s="592"/>
      <c r="O41" s="594"/>
      <c r="P41" s="593"/>
      <c r="Q41" s="192"/>
      <c r="R41" s="192"/>
      <c r="S41" s="192">
        <v>0.9</v>
      </c>
      <c r="T41" s="192"/>
      <c r="U41" s="192"/>
      <c r="V41" s="193"/>
      <c r="W41" s="194"/>
      <c r="X41" s="192"/>
      <c r="Y41" s="192"/>
      <c r="Z41" s="195"/>
      <c r="AA41" s="592" t="s">
        <v>136</v>
      </c>
      <c r="AB41" s="593"/>
      <c r="AC41" s="592" t="s">
        <v>136</v>
      </c>
      <c r="AD41" s="593"/>
      <c r="AE41" s="197"/>
      <c r="AF41" s="284">
        <f t="shared" si="2"/>
        <v>1</v>
      </c>
      <c r="AG41" s="285">
        <f t="shared" si="3"/>
        <v>0</v>
      </c>
      <c r="AH41" s="285">
        <f t="shared" si="4"/>
        <v>8</v>
      </c>
      <c r="AI41" s="286">
        <f t="shared" si="5"/>
        <v>0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1.3596599999999999</v>
      </c>
      <c r="AN41" s="290">
        <f t="shared" si="37"/>
        <v>5.4386399999999995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>
        <f t="shared" si="26"/>
        <v>1.3596599999999999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 t="s">
        <v>33</v>
      </c>
      <c r="G42" s="594"/>
      <c r="H42" s="593"/>
      <c r="I42" s="192">
        <v>1</v>
      </c>
      <c r="J42" s="192">
        <v>35</v>
      </c>
      <c r="K42" s="192">
        <v>30</v>
      </c>
      <c r="L42" s="192"/>
      <c r="M42" s="192">
        <v>35</v>
      </c>
      <c r="N42" s="592"/>
      <c r="O42" s="594"/>
      <c r="P42" s="593"/>
      <c r="Q42" s="192"/>
      <c r="R42" s="192"/>
      <c r="S42" s="192">
        <v>0.85</v>
      </c>
      <c r="T42" s="192"/>
      <c r="U42" s="192"/>
      <c r="V42" s="193"/>
      <c r="W42" s="194"/>
      <c r="X42" s="192"/>
      <c r="Y42" s="192"/>
      <c r="Z42" s="195"/>
      <c r="AA42" s="592" t="s">
        <v>136</v>
      </c>
      <c r="AB42" s="593"/>
      <c r="AC42" s="592" t="s">
        <v>136</v>
      </c>
      <c r="AD42" s="593"/>
      <c r="AE42" s="197"/>
      <c r="AF42" s="284">
        <f t="shared" si="2"/>
        <v>1</v>
      </c>
      <c r="AG42" s="285">
        <f t="shared" si="3"/>
        <v>0</v>
      </c>
      <c r="AH42" s="285">
        <f t="shared" si="4"/>
        <v>8</v>
      </c>
      <c r="AI42" s="286">
        <f t="shared" si="5"/>
        <v>0</v>
      </c>
      <c r="AJ42" s="287">
        <f t="shared" si="36"/>
        <v>0.5</v>
      </c>
      <c r="AK42" s="288"/>
      <c r="AL42" s="289">
        <f t="shared" si="6"/>
        <v>0.5</v>
      </c>
      <c r="AM42" s="290">
        <f t="shared" si="7"/>
        <v>1.2930099999999998</v>
      </c>
      <c r="AN42" s="290">
        <f t="shared" si="37"/>
        <v>5.1720399999999991</v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>
        <f t="shared" si="26"/>
        <v>1.2930099999999998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 t="s">
        <v>246</v>
      </c>
      <c r="E43" s="608"/>
      <c r="F43" s="607" t="s">
        <v>104</v>
      </c>
      <c r="G43" s="594"/>
      <c r="H43" s="593"/>
      <c r="I43" s="192">
        <v>1</v>
      </c>
      <c r="J43" s="192">
        <v>55</v>
      </c>
      <c r="K43" s="192">
        <v>30</v>
      </c>
      <c r="L43" s="192"/>
      <c r="M43" s="192"/>
      <c r="N43" s="592" t="s">
        <v>138</v>
      </c>
      <c r="O43" s="594"/>
      <c r="P43" s="593"/>
      <c r="Q43" s="192">
        <v>35</v>
      </c>
      <c r="R43" s="192">
        <v>30</v>
      </c>
      <c r="S43" s="192">
        <v>0.2</v>
      </c>
      <c r="T43" s="192"/>
      <c r="U43" s="192"/>
      <c r="V43" s="193"/>
      <c r="W43" s="194"/>
      <c r="X43" s="192"/>
      <c r="Y43" s="192"/>
      <c r="Z43" s="195"/>
      <c r="AA43" s="592" t="s">
        <v>136</v>
      </c>
      <c r="AB43" s="593"/>
      <c r="AC43" s="592" t="s">
        <v>136</v>
      </c>
      <c r="AD43" s="593"/>
      <c r="AE43" s="197"/>
      <c r="AF43" s="284">
        <f t="shared" si="2"/>
        <v>1</v>
      </c>
      <c r="AG43" s="285">
        <f t="shared" si="3"/>
        <v>0</v>
      </c>
      <c r="AH43" s="285">
        <f t="shared" si="4"/>
        <v>8</v>
      </c>
      <c r="AI43" s="286">
        <f t="shared" si="5"/>
        <v>0</v>
      </c>
      <c r="AJ43" s="287">
        <f t="shared" si="36"/>
        <v>0.5</v>
      </c>
      <c r="AK43" s="288"/>
      <c r="AL43" s="289">
        <f t="shared" si="6"/>
        <v>0.5</v>
      </c>
      <c r="AM43" s="290">
        <f t="shared" si="7"/>
        <v>0.52224000000000004</v>
      </c>
      <c r="AN43" s="290">
        <f t="shared" si="37"/>
        <v>2.0889600000000002</v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>
        <f t="shared" si="32"/>
        <v>0.52224000000000004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 t="s">
        <v>104</v>
      </c>
      <c r="G44" s="594"/>
      <c r="H44" s="593"/>
      <c r="I44" s="192">
        <v>1</v>
      </c>
      <c r="J44" s="192">
        <v>35</v>
      </c>
      <c r="K44" s="192">
        <v>30</v>
      </c>
      <c r="L44" s="192"/>
      <c r="M44" s="192"/>
      <c r="N44" s="592" t="s">
        <v>132</v>
      </c>
      <c r="O44" s="594"/>
      <c r="P44" s="593"/>
      <c r="Q44" s="192">
        <v>35</v>
      </c>
      <c r="R44" s="192">
        <v>20</v>
      </c>
      <c r="S44" s="192">
        <v>0.6</v>
      </c>
      <c r="T44" s="192"/>
      <c r="U44" s="192"/>
      <c r="V44" s="193"/>
      <c r="W44" s="194"/>
      <c r="X44" s="192"/>
      <c r="Y44" s="192"/>
      <c r="Z44" s="195"/>
      <c r="AA44" s="592" t="s">
        <v>136</v>
      </c>
      <c r="AB44" s="593"/>
      <c r="AC44" s="592" t="s">
        <v>136</v>
      </c>
      <c r="AD44" s="593"/>
      <c r="AE44" s="197"/>
      <c r="AF44" s="284">
        <f t="shared" si="2"/>
        <v>1</v>
      </c>
      <c r="AG44" s="285">
        <f t="shared" si="3"/>
        <v>0</v>
      </c>
      <c r="AH44" s="285">
        <f t="shared" si="4"/>
        <v>8</v>
      </c>
      <c r="AI44" s="286">
        <f t="shared" si="5"/>
        <v>0</v>
      </c>
      <c r="AJ44" s="287">
        <f t="shared" si="36"/>
        <v>0.5</v>
      </c>
      <c r="AK44" s="288"/>
      <c r="AL44" s="289">
        <f t="shared" si="6"/>
        <v>0.5</v>
      </c>
      <c r="AM44" s="290">
        <f t="shared" si="7"/>
        <v>0.95904000000000011</v>
      </c>
      <c r="AN44" s="290">
        <f t="shared" si="37"/>
        <v>3.8361600000000005</v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>
        <f t="shared" si="32"/>
        <v>0.95904000000000011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 t="s">
        <v>87</v>
      </c>
      <c r="G45" s="594"/>
      <c r="H45" s="593"/>
      <c r="I45" s="192">
        <v>1</v>
      </c>
      <c r="J45" s="192">
        <v>35</v>
      </c>
      <c r="K45" s="192">
        <v>20</v>
      </c>
      <c r="L45" s="192">
        <v>10</v>
      </c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 t="s">
        <v>136</v>
      </c>
      <c r="AB45" s="593"/>
      <c r="AC45" s="592" t="s">
        <v>136</v>
      </c>
      <c r="AD45" s="593"/>
      <c r="AE45" s="197"/>
      <c r="AF45" s="284">
        <f t="shared" si="2"/>
        <v>1</v>
      </c>
      <c r="AG45" s="285">
        <f t="shared" si="3"/>
        <v>0</v>
      </c>
      <c r="AH45" s="285">
        <f t="shared" si="4"/>
        <v>8</v>
      </c>
      <c r="AI45" s="286">
        <f t="shared" si="5"/>
        <v>0</v>
      </c>
      <c r="AJ45" s="287">
        <f t="shared" si="36"/>
        <v>0.5</v>
      </c>
      <c r="AK45" s="288"/>
      <c r="AL45" s="289">
        <f t="shared" si="6"/>
        <v>0.5</v>
      </c>
      <c r="AM45" s="290">
        <f t="shared" si="7"/>
        <v>0.80968560751706897</v>
      </c>
      <c r="AN45" s="290">
        <f t="shared" si="37"/>
        <v>3.2387424300682759</v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>
        <f t="shared" si="12"/>
        <v>0.80968560751706897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 t="s">
        <v>105</v>
      </c>
      <c r="G46" s="594"/>
      <c r="H46" s="593"/>
      <c r="I46" s="192">
        <v>1</v>
      </c>
      <c r="J46" s="192">
        <v>35</v>
      </c>
      <c r="K46" s="192">
        <v>20</v>
      </c>
      <c r="L46" s="192"/>
      <c r="M46" s="192"/>
      <c r="N46" s="592"/>
      <c r="O46" s="594"/>
      <c r="P46" s="593"/>
      <c r="Q46" s="192"/>
      <c r="R46" s="192"/>
      <c r="S46" s="192">
        <v>0.2</v>
      </c>
      <c r="T46" s="192"/>
      <c r="U46" s="192"/>
      <c r="V46" s="193"/>
      <c r="W46" s="194"/>
      <c r="X46" s="192"/>
      <c r="Y46" s="192"/>
      <c r="Z46" s="195"/>
      <c r="AA46" s="592" t="s">
        <v>136</v>
      </c>
      <c r="AB46" s="593"/>
      <c r="AC46" s="592" t="s">
        <v>145</v>
      </c>
      <c r="AD46" s="593"/>
      <c r="AE46" s="197"/>
      <c r="AF46" s="284">
        <f t="shared" si="2"/>
        <v>1</v>
      </c>
      <c r="AG46" s="285">
        <f t="shared" si="3"/>
        <v>0</v>
      </c>
      <c r="AH46" s="285">
        <f t="shared" si="4"/>
        <v>4</v>
      </c>
      <c r="AI46" s="286">
        <f t="shared" si="5"/>
        <v>0</v>
      </c>
      <c r="AJ46" s="287">
        <f t="shared" si="36"/>
        <v>0.5</v>
      </c>
      <c r="AK46" s="288"/>
      <c r="AL46" s="289">
        <f t="shared" si="6"/>
        <v>0.5</v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 t="s">
        <v>33</v>
      </c>
      <c r="G47" s="594"/>
      <c r="H47" s="593"/>
      <c r="I47" s="192">
        <v>1</v>
      </c>
      <c r="J47" s="192">
        <v>20</v>
      </c>
      <c r="K47" s="192">
        <v>35</v>
      </c>
      <c r="L47" s="192"/>
      <c r="M47" s="192">
        <v>30</v>
      </c>
      <c r="N47" s="592"/>
      <c r="O47" s="594"/>
      <c r="P47" s="593"/>
      <c r="Q47" s="192"/>
      <c r="R47" s="192"/>
      <c r="S47" s="192">
        <v>0.48</v>
      </c>
      <c r="T47" s="192"/>
      <c r="U47" s="192"/>
      <c r="V47" s="193"/>
      <c r="W47" s="194"/>
      <c r="X47" s="192"/>
      <c r="Y47" s="192"/>
      <c r="Z47" s="195"/>
      <c r="AA47" s="592" t="s">
        <v>136</v>
      </c>
      <c r="AB47" s="593"/>
      <c r="AC47" s="592" t="s">
        <v>136</v>
      </c>
      <c r="AD47" s="593"/>
      <c r="AE47" s="197"/>
      <c r="AF47" s="284">
        <f t="shared" si="2"/>
        <v>1</v>
      </c>
      <c r="AG47" s="285">
        <f t="shared" si="3"/>
        <v>0</v>
      </c>
      <c r="AH47" s="285">
        <f t="shared" si="4"/>
        <v>8</v>
      </c>
      <c r="AI47" s="286">
        <f t="shared" si="5"/>
        <v>0</v>
      </c>
      <c r="AJ47" s="287">
        <f t="shared" si="29"/>
        <v>0.5</v>
      </c>
      <c r="AK47" s="288"/>
      <c r="AL47" s="289">
        <f t="shared" si="6"/>
        <v>0.5</v>
      </c>
      <c r="AM47" s="290">
        <f t="shared" si="7"/>
        <v>0.67979999999999996</v>
      </c>
      <c r="AN47" s="290">
        <f t="shared" si="8"/>
        <v>2.7191999999999998</v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>
        <f t="shared" si="26"/>
        <v>0.67979999999999996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 t="s">
        <v>33</v>
      </c>
      <c r="G48" s="594"/>
      <c r="H48" s="593"/>
      <c r="I48" s="192">
        <v>1</v>
      </c>
      <c r="J48" s="192">
        <v>35</v>
      </c>
      <c r="K48" s="192">
        <v>30</v>
      </c>
      <c r="L48" s="192"/>
      <c r="M48" s="192">
        <v>17</v>
      </c>
      <c r="N48" s="592"/>
      <c r="O48" s="594"/>
      <c r="P48" s="593"/>
      <c r="Q48" s="192"/>
      <c r="R48" s="192"/>
      <c r="S48" s="192">
        <v>0.48</v>
      </c>
      <c r="T48" s="192"/>
      <c r="U48" s="192"/>
      <c r="V48" s="193"/>
      <c r="W48" s="194"/>
      <c r="X48" s="192"/>
      <c r="Y48" s="192"/>
      <c r="Z48" s="195"/>
      <c r="AA48" s="592" t="s">
        <v>136</v>
      </c>
      <c r="AB48" s="593"/>
      <c r="AC48" s="592" t="s">
        <v>136</v>
      </c>
      <c r="AD48" s="593"/>
      <c r="AE48" s="197"/>
      <c r="AF48" s="284">
        <f t="shared" si="2"/>
        <v>1</v>
      </c>
      <c r="AG48" s="285">
        <f t="shared" si="3"/>
        <v>0</v>
      </c>
      <c r="AH48" s="285">
        <f t="shared" si="4"/>
        <v>8</v>
      </c>
      <c r="AI48" s="286">
        <f t="shared" si="5"/>
        <v>0</v>
      </c>
      <c r="AJ48" s="291">
        <f t="shared" si="29"/>
        <v>0.5</v>
      </c>
      <c r="AK48" s="292"/>
      <c r="AL48" s="289">
        <f t="shared" si="6"/>
        <v>0.5</v>
      </c>
      <c r="AM48" s="290">
        <f t="shared" si="7"/>
        <v>0.79979999999999996</v>
      </c>
      <c r="AN48" s="290">
        <f t="shared" si="8"/>
        <v>3.1991999999999998</v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>
        <f t="shared" si="26"/>
        <v>0.79979999999999996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20</v>
      </c>
      <c r="AG49" s="203"/>
      <c r="AH49" s="204">
        <f>SUM(AH29:AH48)</f>
        <v>108</v>
      </c>
      <c r="AI49" s="204">
        <f>SUM(AI29:AI48)</f>
        <v>28</v>
      </c>
      <c r="AJ49" s="205"/>
      <c r="AK49" s="205"/>
      <c r="AL49" s="206"/>
      <c r="AM49" s="207">
        <f>SUM(AM29:AM48)</f>
        <v>13.666044002223705</v>
      </c>
      <c r="AN49" s="208">
        <f>SUM(AN29:AN48)</f>
        <v>54.66417600889482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topLeftCell="A7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46134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>
        <f>+'Diseño 1"'!D6</f>
        <v>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46134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103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46141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 xml:space="preserve">Natanael Avile 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46136</v>
      </c>
      <c r="U8" s="657"/>
      <c r="V8" s="657"/>
      <c r="W8" s="658"/>
      <c r="X8" s="534">
        <f>SUMIFS('Diseño 1"'!AN29:AN48,'Diseño 1"'!AJ29:AJ48,0.5)</f>
        <v>54.66417600889482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54.66417600889482</v>
      </c>
      <c r="AH8" s="538"/>
      <c r="AI8" s="533">
        <f>+'Diseño 1"'!AM49</f>
        <v>13.666044002223705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/>
      </c>
      <c r="E12" s="650"/>
      <c r="F12" s="247" t="str">
        <f>IF('Diseño 1"'!C29=0,"",'Diseño 1"'!C29)</f>
        <v/>
      </c>
      <c r="G12" s="670" t="str">
        <f>IF('Diseño 1"'!D29="","",'Diseño 1"'!D29)</f>
        <v>UI 1.10</v>
      </c>
      <c r="H12" s="650"/>
      <c r="I12" s="670" t="str">
        <f>IF('Diseño 1"'!F29="","",'Diseño 1"'!F29)</f>
        <v>Ducto Recto</v>
      </c>
      <c r="J12" s="650"/>
      <c r="K12" s="248">
        <f>IF(I12="","",'Diseño 1"'!I29)</f>
        <v>1</v>
      </c>
      <c r="L12" s="242">
        <f>IF('Diseño 1"'!J29="","",'Diseño 1"'!J29)</f>
        <v>65</v>
      </c>
      <c r="M12" s="242">
        <f>IF('Diseño 1"'!K29="","",'Diseño 1"'!K29)</f>
        <v>30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0.4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4.0206399999999993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Ducto Recto</v>
      </c>
      <c r="J13" s="642"/>
      <c r="K13" s="20">
        <f>IF(I13="","",'Diseño 1"'!I30)</f>
        <v>1</v>
      </c>
      <c r="L13" s="17">
        <f>IF('Diseño 1"'!J30="","",'Diseño 1"'!J30)</f>
        <v>65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0.85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7.5000399999999994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Unión c/ Lona</v>
      </c>
      <c r="J14" s="642"/>
      <c r="K14" s="20">
        <f>IF(I14="","",'Diseño 1"'!I31)</f>
        <v>1</v>
      </c>
      <c r="L14" s="17">
        <f>IF('Diseño 1"'!J31="","",'Diseño 1"'!J31)</f>
        <v>65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0.2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Codo</v>
      </c>
      <c r="J15" s="642"/>
      <c r="K15" s="20">
        <f>IF(I15="","",'Diseño 1"'!I32)</f>
        <v>1</v>
      </c>
      <c r="L15" s="17">
        <f>IF('Diseño 1"'!J32="","",'Diseño 1"'!J32)</f>
        <v>30</v>
      </c>
      <c r="M15" s="17">
        <f>IF('Diseño 1"'!K32="","",'Diseño 1"'!K32)</f>
        <v>65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TDF</v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5.0226361165078881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>Con apertura inferior</v>
      </c>
      <c r="H16" s="642"/>
      <c r="I16" s="641" t="str">
        <f>IF('Diseño 1"'!F33="","",'Diseño 1"'!F33)</f>
        <v>Pleno</v>
      </c>
      <c r="J16" s="642"/>
      <c r="K16" s="20">
        <f>IF(I16="","",'Diseño 1"'!I33)</f>
        <v>1</v>
      </c>
      <c r="L16" s="17">
        <f>IF('Diseño 1"'!J33="","",'Diseño 1"'!J33)</f>
        <v>140</v>
      </c>
      <c r="M16" s="17">
        <f>IF('Diseño 1"'!K33="","",'Diseño 1"'!K33)</f>
        <v>30</v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0.6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/>
      </c>
      <c r="Z16" s="634"/>
      <c r="AA16" s="633" t="str">
        <f>IF('Diseño 1"'!AC33="","",'Diseño 1"'!AC33)</f>
        <v/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1</v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>Ducto Recto</v>
      </c>
      <c r="J17" s="642"/>
      <c r="K17" s="20">
        <f>IF(I17="","",'Diseño 1"'!I34)</f>
        <v>1</v>
      </c>
      <c r="L17" s="17">
        <f>IF('Diseño 1"'!J34="","",'Diseño 1"'!J34)</f>
        <v>65</v>
      </c>
      <c r="M17" s="17">
        <f>IF('Diseño 1"'!K34="","",'Diseño 1"'!K34)</f>
        <v>30</v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0.6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>TDF</v>
      </c>
      <c r="Z17" s="634"/>
      <c r="AA17" s="633" t="str">
        <f>IF('Diseño 1"'!AC34="","",'Diseño 1"'!AC34)</f>
        <v>Liso</v>
      </c>
      <c r="AB17" s="634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5.1031199999999997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>Unión c/ Lona</v>
      </c>
      <c r="J18" s="642"/>
      <c r="K18" s="20">
        <f>IF(I18="","",'Diseño 1"'!I35)</f>
        <v>1</v>
      </c>
      <c r="L18" s="17">
        <f>IF('Diseño 1"'!J35="","",'Diseño 1"'!J35)</f>
        <v>45</v>
      </c>
      <c r="M18" s="17">
        <f>IF('Diseño 1"'!K35="","",'Diseño 1"'!K35)</f>
        <v>25</v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0.2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>TDF</v>
      </c>
      <c r="Z18" s="634"/>
      <c r="AA18" s="633" t="str">
        <f>IF('Diseño 1"'!AC35="","",'Diseño 1"'!AC35)</f>
        <v>Escuadra</v>
      </c>
      <c r="AB18" s="634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>Tae UI-1,2</v>
      </c>
      <c r="H19" s="642"/>
      <c r="I19" s="641" t="str">
        <f>IF('Diseño 1"'!F36="","",'Diseño 1"'!F36)</f>
        <v>Ducto Recto</v>
      </c>
      <c r="J19" s="642"/>
      <c r="K19" s="20">
        <f>IF(I19="","",'Diseño 1"'!I36)</f>
        <v>1</v>
      </c>
      <c r="L19" s="17">
        <f>IF('Diseño 1"'!J36="","",'Diseño 1"'!J36)</f>
        <v>45</v>
      </c>
      <c r="M19" s="17">
        <f>IF('Diseño 1"'!K36="","",'Diseño 1"'!K36)</f>
        <v>20</v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0.1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>TDF</v>
      </c>
      <c r="Z19" s="634"/>
      <c r="AA19" s="633" t="str">
        <f>IF('Diseño 1"'!AC36="","",'Diseño 1"'!AC36)</f>
        <v>TDF</v>
      </c>
      <c r="AB19" s="634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1.1730399999999999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>Unión c/ Lona</v>
      </c>
      <c r="J20" s="642"/>
      <c r="K20" s="20">
        <f>IF(I20="","",'Diseño 1"'!I37)</f>
        <v>1</v>
      </c>
      <c r="L20" s="17">
        <f>IF('Diseño 1"'!J37="","",'Diseño 1"'!J37)</f>
        <v>45</v>
      </c>
      <c r="M20" s="17">
        <f>IF('Diseño 1"'!K37="","",'Diseño 1"'!K37)</f>
        <v>20</v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0.2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>TDF</v>
      </c>
      <c r="Z20" s="634"/>
      <c r="AA20" s="633" t="str">
        <f>IF('Diseño 1"'!AC37="","",'Diseño 1"'!AC37)</f>
        <v>Escuadra</v>
      </c>
      <c r="AB20" s="634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>Tae UI-1.4</v>
      </c>
      <c r="H21" s="642"/>
      <c r="I21" s="641" t="str">
        <f>IF('Diseño 1"'!F38="","",'Diseño 1"'!F38)</f>
        <v>Codo</v>
      </c>
      <c r="J21" s="642"/>
      <c r="K21" s="20">
        <f>IF(I21="","",'Diseño 1"'!I38)</f>
        <v>1</v>
      </c>
      <c r="L21" s="17">
        <f>IF('Diseño 1"'!J38="","",'Diseño 1"'!J38)</f>
        <v>25</v>
      </c>
      <c r="M21" s="17">
        <f>IF('Diseño 1"'!K38="","",'Diseño 1"'!K38)</f>
        <v>30</v>
      </c>
      <c r="N21" s="17">
        <f>'Diseño 1"'!L38</f>
        <v>5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>TDF</v>
      </c>
      <c r="Z21" s="634"/>
      <c r="AA21" s="633" t="str">
        <f>IF('Diseño 1"'!AC38="","",'Diseño 1"'!AC38)</f>
        <v>TDF</v>
      </c>
      <c r="AB21" s="634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>
        <f>IF('Diseño 1"'!AN38="","",'Diseño 1"'!AN38)</f>
        <v>2.3872451572392981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>Unión c/ Lona</v>
      </c>
      <c r="J22" s="642"/>
      <c r="K22" s="20">
        <f>IF(I22="","",'Diseño 1"'!I39)</f>
        <v>1</v>
      </c>
      <c r="L22" s="17">
        <f>IF('Diseño 1"'!J39="","",'Diseño 1"'!J39)</f>
        <v>35</v>
      </c>
      <c r="M22" s="17">
        <f>IF('Diseño 1"'!K39="","",'Diseño 1"'!K39)</f>
        <v>30</v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0.2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>TDF</v>
      </c>
      <c r="Z22" s="634"/>
      <c r="AA22" s="633" t="str">
        <f>IF('Diseño 1"'!AC39="","",'Diseño 1"'!AC39)</f>
        <v>TDF</v>
      </c>
      <c r="AB22" s="634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0.5</v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>Codo</v>
      </c>
      <c r="J23" s="642"/>
      <c r="K23" s="20">
        <f>IF(I23="","",'Diseño 1"'!I40)</f>
        <v>1</v>
      </c>
      <c r="L23" s="17">
        <f>IF('Diseño 1"'!J40="","",'Diseño 1"'!J40)</f>
        <v>35</v>
      </c>
      <c r="M23" s="17">
        <f>IF('Diseño 1"'!K40="","",'Diseño 1"'!K40)</f>
        <v>30</v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>TDF</v>
      </c>
      <c r="Z23" s="634"/>
      <c r="AA23" s="633" t="str">
        <f>IF('Diseño 1"'!AC40="","",'Diseño 1"'!AC40)</f>
        <v>TDF</v>
      </c>
      <c r="AB23" s="634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3.7645123050793607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>S</v>
      </c>
      <c r="J24" s="642"/>
      <c r="K24" s="20">
        <f>IF(I24="","",'Diseño 1"'!I41)</f>
        <v>1</v>
      </c>
      <c r="L24" s="17">
        <f>IF('Diseño 1"'!J41="","",'Diseño 1"'!J41)</f>
        <v>30</v>
      </c>
      <c r="M24" s="17">
        <f>IF('Diseño 1"'!K41="","",'Diseño 1"'!K41)</f>
        <v>35</v>
      </c>
      <c r="N24" s="17">
        <f>'Diseño 1"'!L41</f>
        <v>0</v>
      </c>
      <c r="O24" s="17">
        <f>IF('Diseño 1"'!M41="","",'Diseño 1"'!M41)</f>
        <v>47</v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>
        <f>IF('Diseño 1"'!S41="","",'Diseño 1"'!S41)</f>
        <v>0.9</v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>TDF</v>
      </c>
      <c r="Z24" s="634"/>
      <c r="AA24" s="633" t="str">
        <f>IF('Diseño 1"'!AC41="","",'Diseño 1"'!AC41)</f>
        <v>TDF</v>
      </c>
      <c r="AB24" s="634"/>
      <c r="AC24" s="23" t="str">
        <f>IF('Diseño 1"'!AE41=TRUE,0.5,"")</f>
        <v/>
      </c>
      <c r="AD24" s="92">
        <f>IF('Diseño 1"'!AF41="","",'Diseño 1"'!AF41)</f>
        <v>1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5.4386399999999995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>S</v>
      </c>
      <c r="J25" s="642"/>
      <c r="K25" s="20">
        <f>IF(I25="","",'Diseño 1"'!I42)</f>
        <v>1</v>
      </c>
      <c r="L25" s="17">
        <f>IF('Diseño 1"'!J42="","",'Diseño 1"'!J42)</f>
        <v>35</v>
      </c>
      <c r="M25" s="17">
        <f>IF('Diseño 1"'!K42="","",'Diseño 1"'!K42)</f>
        <v>30</v>
      </c>
      <c r="N25" s="17">
        <f>'Diseño 1"'!L42</f>
        <v>0</v>
      </c>
      <c r="O25" s="17">
        <f>IF('Diseño 1"'!M42="","",'Diseño 1"'!M42)</f>
        <v>35</v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>
        <f>IF('Diseño 1"'!S42="","",'Diseño 1"'!S42)</f>
        <v>0.85</v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>TDF</v>
      </c>
      <c r="Z25" s="634"/>
      <c r="AA25" s="633" t="str">
        <f>IF('Diseño 1"'!AC42="","",'Diseño 1"'!AC42)</f>
        <v>TDF</v>
      </c>
      <c r="AB25" s="634"/>
      <c r="AC25" s="23" t="str">
        <f>IF('Diseño 1"'!AE42=TRUE,0.5,"")</f>
        <v/>
      </c>
      <c r="AD25" s="92">
        <f>IF('Diseño 1"'!AF42="","",'Diseño 1"'!AF42)</f>
        <v>1</v>
      </c>
      <c r="AE25" s="24">
        <f>'Diseño 1"'!AJ42</f>
        <v>0.5</v>
      </c>
      <c r="AF25" s="93">
        <f>'Diseño 1"'!AK42</f>
        <v>0</v>
      </c>
      <c r="AG25" s="243">
        <f>IF('Diseño 1"'!AN42="","",'Diseño 1"'!AN42)</f>
        <v>5.1720399999999991</v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>Tae UI-1,3</v>
      </c>
      <c r="H26" s="642"/>
      <c r="I26" s="641" t="str">
        <f>IF('Diseño 1"'!F43="","",'Diseño 1"'!F43)</f>
        <v>Transformación</v>
      </c>
      <c r="J26" s="642"/>
      <c r="K26" s="20">
        <f>IF(I26="","",'Diseño 1"'!I43)</f>
        <v>1</v>
      </c>
      <c r="L26" s="17">
        <f>IF('Diseño 1"'!J43="","",'Diseño 1"'!J43)</f>
        <v>55</v>
      </c>
      <c r="M26" s="17">
        <f>IF('Diseño 1"'!K43="","",'Diseño 1"'!K43)</f>
        <v>30</v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>Pareja Der. - Inf. Pareja</v>
      </c>
      <c r="Q26" s="642"/>
      <c r="R26" s="17">
        <f>IF('Diseño 1"'!Q43="","",'Diseño 1"'!Q43)</f>
        <v>35</v>
      </c>
      <c r="S26" s="17">
        <f>IF('Diseño 1"'!R43="","",'Diseño 1"'!R43)</f>
        <v>30</v>
      </c>
      <c r="T26" s="242">
        <f>IF('Diseño 1"'!S43="","",'Diseño 1"'!S43)</f>
        <v>0.2</v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>TDF</v>
      </c>
      <c r="Z26" s="634"/>
      <c r="AA26" s="633" t="str">
        <f>IF('Diseño 1"'!AC43="","",'Diseño 1"'!AC43)</f>
        <v>TDF</v>
      </c>
      <c r="AB26" s="634"/>
      <c r="AC26" s="23" t="str">
        <f>IF('Diseño 1"'!AE43=TRUE,0.5,"")</f>
        <v/>
      </c>
      <c r="AD26" s="92">
        <f>IF('Diseño 1"'!AF43="","",'Diseño 1"'!AF43)</f>
        <v>1</v>
      </c>
      <c r="AE26" s="24">
        <f>'Diseño 1"'!AJ43</f>
        <v>0.5</v>
      </c>
      <c r="AF26" s="93">
        <f>'Diseño 1"'!AK43</f>
        <v>0</v>
      </c>
      <c r="AG26" s="243">
        <f>IF('Diseño 1"'!AN43="","",'Diseño 1"'!AN43)</f>
        <v>2.0889600000000002</v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>Transformación</v>
      </c>
      <c r="J27" s="642"/>
      <c r="K27" s="20">
        <f>IF(I27="","",'Diseño 1"'!I44)</f>
        <v>1</v>
      </c>
      <c r="L27" s="17">
        <f>IF('Diseño 1"'!J44="","",'Diseño 1"'!J44)</f>
        <v>35</v>
      </c>
      <c r="M27" s="17">
        <f>IF('Diseño 1"'!K44="","",'Diseño 1"'!K44)</f>
        <v>30</v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>Inferior Parejo</v>
      </c>
      <c r="Q27" s="642"/>
      <c r="R27" s="17">
        <f>IF('Diseño 1"'!Q44="","",'Diseño 1"'!Q44)</f>
        <v>35</v>
      </c>
      <c r="S27" s="17">
        <f>IF('Diseño 1"'!R44="","",'Diseño 1"'!R44)</f>
        <v>20</v>
      </c>
      <c r="T27" s="242">
        <f>IF('Diseño 1"'!S44="","",'Diseño 1"'!S44)</f>
        <v>0.6</v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>TDF</v>
      </c>
      <c r="Z27" s="634"/>
      <c r="AA27" s="633" t="str">
        <f>IF('Diseño 1"'!AC44="","",'Diseño 1"'!AC44)</f>
        <v>TDF</v>
      </c>
      <c r="AB27" s="634"/>
      <c r="AC27" s="115"/>
      <c r="AD27" s="116"/>
      <c r="AE27" s="24">
        <f>'Diseño 1"'!AJ44</f>
        <v>0.5</v>
      </c>
      <c r="AF27" s="93">
        <f>'Diseño 1"'!AK44</f>
        <v>0</v>
      </c>
      <c r="AG27" s="243">
        <f>IF('Diseño 1"'!AN44="","",'Diseño 1"'!AN44)</f>
        <v>3.8361600000000005</v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>Codo</v>
      </c>
      <c r="J28" s="642"/>
      <c r="K28" s="20">
        <f>IF(I28="","",'Diseño 1"'!I45)</f>
        <v>1</v>
      </c>
      <c r="L28" s="17">
        <f>IF('Diseño 1"'!J45="","",'Diseño 1"'!J45)</f>
        <v>35</v>
      </c>
      <c r="M28" s="17">
        <f>IF('Diseño 1"'!K45="","",'Diseño 1"'!K45)</f>
        <v>20</v>
      </c>
      <c r="N28" s="17">
        <f>'Diseño 1"'!L45</f>
        <v>10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>TDF</v>
      </c>
      <c r="Z28" s="634"/>
      <c r="AA28" s="633" t="str">
        <f>IF('Diseño 1"'!AC45="","",'Diseño 1"'!AC45)</f>
        <v>TDF</v>
      </c>
      <c r="AB28" s="634"/>
      <c r="AC28" s="115"/>
      <c r="AD28" s="116"/>
      <c r="AE28" s="24">
        <f>'Diseño 1"'!AJ45</f>
        <v>0.5</v>
      </c>
      <c r="AF28" s="93">
        <f>'Diseño 1"'!AK45</f>
        <v>0</v>
      </c>
      <c r="AG28" s="243">
        <f>IF('Diseño 1"'!AN45="","",'Diseño 1"'!AN45)</f>
        <v>3.2387424300682759</v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>Unión c/ Lona</v>
      </c>
      <c r="J29" s="642"/>
      <c r="K29" s="20">
        <f>IF(I29="","",'Diseño 1"'!I46)</f>
        <v>1</v>
      </c>
      <c r="L29" s="17">
        <f>IF('Diseño 1"'!J46="","",'Diseño 1"'!J46)</f>
        <v>35</v>
      </c>
      <c r="M29" s="17">
        <f>IF('Diseño 1"'!K46="","",'Diseño 1"'!K46)</f>
        <v>20</v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>
        <f>IF('Diseño 1"'!S46="","",'Diseño 1"'!S46)</f>
        <v>0.2</v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>TDF</v>
      </c>
      <c r="Z29" s="634"/>
      <c r="AA29" s="633" t="str">
        <f>IF('Diseño 1"'!AC46="","",'Diseño 1"'!AC46)</f>
        <v>Escuadra</v>
      </c>
      <c r="AB29" s="634"/>
      <c r="AC29" s="115"/>
      <c r="AD29" s="116"/>
      <c r="AE29" s="24">
        <f>'Diseño 1"'!AJ46</f>
        <v>0.5</v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>S</v>
      </c>
      <c r="J30" s="642"/>
      <c r="K30" s="20">
        <f>IF(I30="","",'Diseño 1"'!I47)</f>
        <v>1</v>
      </c>
      <c r="L30" s="17">
        <f>IF('Diseño 1"'!J47="","",'Diseño 1"'!J47)</f>
        <v>20</v>
      </c>
      <c r="M30" s="17">
        <f>IF('Diseño 1"'!K47="","",'Diseño 1"'!K47)</f>
        <v>35</v>
      </c>
      <c r="N30" s="17">
        <f>'Diseño 1"'!L47</f>
        <v>0</v>
      </c>
      <c r="O30" s="17">
        <f>IF('Diseño 1"'!M47="","",'Diseño 1"'!M47)</f>
        <v>30</v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>
        <f>IF('Diseño 1"'!S47="","",'Diseño 1"'!S47)</f>
        <v>0.48</v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>TDF</v>
      </c>
      <c r="Z30" s="634"/>
      <c r="AA30" s="633" t="str">
        <f>IF('Diseño 1"'!AC47="","",'Diseño 1"'!AC47)</f>
        <v>TDF</v>
      </c>
      <c r="AB30" s="634"/>
      <c r="AC30" s="115"/>
      <c r="AD30" s="116"/>
      <c r="AE30" s="24">
        <f>'Diseño 1"'!AJ47</f>
        <v>0.5</v>
      </c>
      <c r="AF30" s="93">
        <f>'Diseño 1"'!AK47</f>
        <v>0</v>
      </c>
      <c r="AG30" s="243">
        <f>IF('Diseño 1"'!AN47="","",'Diseño 1"'!AN47)</f>
        <v>2.7191999999999998</v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>S</v>
      </c>
      <c r="J31" s="648"/>
      <c r="K31" s="97">
        <f>IF(I31="","",'Diseño 1"'!I48)</f>
        <v>1</v>
      </c>
      <c r="L31" s="98">
        <f>IF('Diseño 1"'!J48="","",'Diseño 1"'!J48)</f>
        <v>35</v>
      </c>
      <c r="M31" s="98">
        <f>IF('Diseño 1"'!K48="","",'Diseño 1"'!K48)</f>
        <v>30</v>
      </c>
      <c r="N31" s="98">
        <f>'Diseño 1"'!L48</f>
        <v>0</v>
      </c>
      <c r="O31" s="98">
        <f>IF('Diseño 1"'!M48="","",'Diseño 1"'!M48)</f>
        <v>17</v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>
        <f>IF('Diseño 1"'!S48="","",'Diseño 1"'!S48)</f>
        <v>0.48</v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>TDF</v>
      </c>
      <c r="Z31" s="632"/>
      <c r="AA31" s="631" t="str">
        <f>IF('Diseño 1"'!AC48="","",'Diseño 1"'!AC48)</f>
        <v>TDF</v>
      </c>
      <c r="AB31" s="632"/>
      <c r="AC31" s="101"/>
      <c r="AD31" s="102"/>
      <c r="AE31" s="103">
        <f>'Diseño 1"'!AJ48</f>
        <v>0.5</v>
      </c>
      <c r="AF31" s="104">
        <f>'Diseño 1"'!AK48</f>
        <v>0</v>
      </c>
      <c r="AG31" s="244">
        <f>IF('Diseño 1"'!AN48="","",'Diseño 1"'!AN48)</f>
        <v>3.1991999999999998</v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E3" zoomScale="117" zoomScaleNormal="70" workbookViewId="0">
      <selection activeCell="M7" sqref="M7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/>
      <c r="E5" s="126"/>
      <c r="F5" s="126"/>
      <c r="G5" s="139"/>
      <c r="H5" s="620" t="s">
        <v>5</v>
      </c>
      <c r="I5" s="594"/>
      <c r="J5" s="621"/>
      <c r="K5" s="231"/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/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/>
      <c r="E7" s="126"/>
      <c r="F7" s="126"/>
      <c r="G7" s="126"/>
      <c r="H7" s="620" t="s">
        <v>239</v>
      </c>
      <c r="I7" s="594"/>
      <c r="J7" s="593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 t="b">
        <v>0</v>
      </c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 t="b">
        <v>0</v>
      </c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 t="b">
        <v>0</v>
      </c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 t="b">
        <v>0</v>
      </c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2"'!D5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2"'!D6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2"'!K7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54.66417600889482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54.66417600889482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2026-04-22T20:09:10Z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