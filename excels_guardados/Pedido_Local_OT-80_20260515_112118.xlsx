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0" documentId="8_{F7C3C115-C7B9-4626-8B27-D15184C4BD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<sst xmlns="http://schemas.openxmlformats.org/spreadsheetml/2006/main" count="1724" uniqueCount="244">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</sst>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opLeftCell="F24" zoomScaleNormal="100" workbookViewId="0">
      <selection activeCell="V36" sqref="V36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46155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69</v>
      </c>
      <c r="E7" s="139"/>
      <c r="F7" s="139"/>
      <c r="G7" s="126"/>
      <c r="H7" s="620" t="s">
        <v>239</v>
      </c>
      <c r="I7" s="594"/>
      <c r="J7" s="621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0.50583999999999996</v>
      </c>
      <c r="P12" s="296">
        <f t="shared" si="0"/>
        <v>2.0233599999999998</v>
      </c>
      <c r="Q12" s="597" t="s">
        <v>23</v>
      </c>
      <c r="R12" s="598"/>
      <c r="S12" s="284">
        <f>ROUNDUP(AI49/6,0)</f>
        <v>1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2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1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2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0.50583999999999996</v>
      </c>
      <c r="P17" s="306">
        <f t="shared" si="1"/>
        <v>2.0233599999999998</v>
      </c>
      <c r="Q17" s="597" t="s">
        <v>40</v>
      </c>
      <c r="R17" s="598"/>
      <c r="S17" s="284">
        <f>ROUNDUP(AI49/6,0)</f>
        <v>1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3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2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4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1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608"/>
      <c r="F29" s="607" t="s">
        <v>100</v>
      </c>
      <c r="G29" s="594"/>
      <c r="H29" s="593"/>
      <c r="I29" s="192">
        <v>1</v>
      </c>
      <c r="J29" s="192">
        <v>49</v>
      </c>
      <c r="K29" s="192">
        <v>26</v>
      </c>
      <c r="L29" s="192"/>
      <c r="M29" s="192"/>
      <c r="N29" s="592"/>
      <c r="O29" s="594"/>
      <c r="P29" s="593"/>
      <c r="Q29" s="192"/>
      <c r="R29" s="192"/>
      <c r="S29" s="192">
        <v>0.5</v>
      </c>
      <c r="T29" s="192"/>
      <c r="U29" s="192"/>
      <c r="V29" s="193"/>
      <c r="W29" s="194"/>
      <c r="X29" s="192"/>
      <c r="Y29" s="192"/>
      <c r="Z29" s="195"/>
      <c r="AA29" s="592"/>
      <c r="AB29" s="593"/>
      <c r="AC29" s="592" t="s">
        <v>137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e">
        <f t="shared" ref="BF29:BF48" si="25">IF(F29="Pleno",((K29+2*AX$57/10)*(2*S29*100+J29)+2*(J29+2*AY$57/10)*(S29*100+AY$57/10)+2*(J29+K29)*(VLOOKUP(AA29,AS$55:AT$71,2))/10)/10000*I29,"N/D")</f>
        <v>#N/A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98</v>
      </c>
      <c r="G30" s="594"/>
      <c r="H30" s="593"/>
      <c r="I30" s="192">
        <v>1</v>
      </c>
      <c r="J30" s="192">
        <v>24.4</v>
      </c>
      <c r="K30" s="192">
        <v>19.399999999999999</v>
      </c>
      <c r="L30" s="192"/>
      <c r="M30" s="192"/>
      <c r="N30" s="592"/>
      <c r="O30" s="594"/>
      <c r="P30" s="593"/>
      <c r="Q30" s="192"/>
      <c r="R30" s="192"/>
      <c r="S30" s="192">
        <v>0.3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137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4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0.32723999999999998</v>
      </c>
      <c r="AN30" s="290">
        <f t="shared" si="8"/>
        <v>1.3089599999999999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0.32723999999999998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98</v>
      </c>
      <c r="G31" s="594"/>
      <c r="H31" s="593"/>
      <c r="I31" s="192">
        <v>1</v>
      </c>
      <c r="J31" s="192">
        <v>21.5</v>
      </c>
      <c r="K31" s="192">
        <v>21.5</v>
      </c>
      <c r="L31" s="192"/>
      <c r="M31" s="192"/>
      <c r="N31" s="592"/>
      <c r="O31" s="594"/>
      <c r="P31" s="593"/>
      <c r="Q31" s="192"/>
      <c r="R31" s="192"/>
      <c r="S31" s="192">
        <v>0.2</v>
      </c>
      <c r="T31" s="192"/>
      <c r="U31" s="192"/>
      <c r="V31" s="193"/>
      <c r="W31" s="194"/>
      <c r="X31" s="192"/>
      <c r="Y31" s="192"/>
      <c r="Z31" s="228"/>
      <c r="AA31" s="592" t="s">
        <v>151</v>
      </c>
      <c r="AB31" s="593"/>
      <c r="AC31" s="592" t="s">
        <v>137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0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0.17860000000000001</v>
      </c>
      <c r="AN31" s="290">
        <f t="shared" ref="AN31:AN46" si="37">IF(ISERROR(AM31*(IF(AJ31=1,8,IF(AJ31=0.8,6.4,IF(AJ31=0.6,4.8,IF(AJ31=0.5,4)))))),"",AM31*(IF(AJ31=1,8,IF(AJ31=0.8,6.4,IF(AJ31=0.6,4.8,IF(AJ31=0.5,4))))))</f>
        <v>0.71440000000000003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0.17860000000000001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/>
      <c r="G34" s="594"/>
      <c r="H34" s="593"/>
      <c r="I34" s="192"/>
      <c r="J34" s="192"/>
      <c r="K34" s="192"/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/>
      <c r="AB34" s="593"/>
      <c r="AC34" s="592"/>
      <c r="AD34" s="593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/>
      <c r="G35" s="594"/>
      <c r="H35" s="593"/>
      <c r="I35" s="192"/>
      <c r="J35" s="192"/>
      <c r="K35" s="192"/>
      <c r="L35" s="192"/>
      <c r="M35" s="192"/>
      <c r="N35" s="592"/>
      <c r="O35" s="594"/>
      <c r="P35" s="593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2"/>
      <c r="AB35" s="593"/>
      <c r="AC35" s="592"/>
      <c r="AD35" s="593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3</v>
      </c>
      <c r="AG49" s="203"/>
      <c r="AH49" s="204">
        <f>SUM(AH29:AH48)</f>
        <v>0</v>
      </c>
      <c r="AI49" s="204">
        <f>SUM(AI29:AI48)</f>
        <v>4</v>
      </c>
      <c r="AJ49" s="205"/>
      <c r="AK49" s="205"/>
      <c r="AL49" s="206"/>
      <c r="AM49" s="207">
        <f>SUM(AM29:AM48)</f>
        <v>0.50583999999999996</v>
      </c>
      <c r="AN49" s="208">
        <f>SUM(AN29:AN48)</f>
        <v>2.0233599999999998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tabSelected="1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46155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46155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69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46162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>
        <f>+'Diseño 1"'!K7</f>
        <v>0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2.0233599999999998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2.0233599999999998</v>
      </c>
      <c r="AH8" s="538"/>
      <c r="AI8" s="533">
        <f>+'Diseño 1"'!AM49</f>
        <v>0.50583999999999996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/>
      </c>
      <c r="H12" s="650"/>
      <c r="I12" s="670" t="str">
        <f>IF('Diseño 1"'!F29="","",'Diseño 1"'!F29)</f>
        <v>Pleno</v>
      </c>
      <c r="J12" s="650"/>
      <c r="K12" s="248">
        <f>IF(I12="","",'Diseño 1"'!I29)</f>
        <v>1</v>
      </c>
      <c r="L12" s="242">
        <f>IF('Diseño 1"'!J29="","",'Diseño 1"'!J29)</f>
        <v>49</v>
      </c>
      <c r="M12" s="242">
        <f>IF('Diseño 1"'!K29="","",'Diseño 1"'!K29)</f>
        <v>26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0.5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/>
      </c>
      <c r="Z12" s="667"/>
      <c r="AA12" s="649" t="str">
        <f>IF('Diseño 1"'!AC29="","",'Diseño 1"'!AC29)</f>
        <v>Liso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Ducto Recto</v>
      </c>
      <c r="J13" s="642"/>
      <c r="K13" s="20">
        <f>IF(I13="","",'Diseño 1"'!I30)</f>
        <v>1</v>
      </c>
      <c r="L13" s="17">
        <f>IF('Diseño 1"'!J30="","",'Diseño 1"'!J30)</f>
        <v>24.4</v>
      </c>
      <c r="M13" s="17">
        <f>IF('Diseño 1"'!K30="","",'Diseño 1"'!K30)</f>
        <v>19.399999999999999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0.3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Liso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1.3089599999999999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Ducto Recto</v>
      </c>
      <c r="J14" s="642"/>
      <c r="K14" s="20">
        <f>IF(I14="","",'Diseño 1"'!I31)</f>
        <v>1</v>
      </c>
      <c r="L14" s="17">
        <f>IF('Diseño 1"'!J31="","",'Diseño 1"'!J31)</f>
        <v>21.5</v>
      </c>
      <c r="M14" s="17">
        <f>IF('Diseño 1"'!K31="","",'Diseño 1"'!K31)</f>
        <v>21.5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0.2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Triple 50</v>
      </c>
      <c r="Z14" s="634"/>
      <c r="AA14" s="633" t="str">
        <f>IF('Diseño 1"'!AC31="","",'Diseño 1"'!AC31)</f>
        <v>Liso</v>
      </c>
      <c r="AB14" s="634"/>
      <c r="AC14" s="23" t="str">
        <f>IF('Diseño 1"'!AE32=TRUE,0.5,"")</f>
        <v/>
      </c>
      <c r="AD14" s="92" t="str">
        <f>IF('Diseño 1"'!AF32="","",'Diseño 1"'!AF32)</f>
        <v/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0.71440000000000003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/>
      </c>
      <c r="J15" s="642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/>
      </c>
      <c r="Z15" s="634"/>
      <c r="AA15" s="633" t="str">
        <f>IF('Diseño 1"'!AC32="","",'Diseño 1"'!AC32)</f>
        <v/>
      </c>
      <c r="AB15" s="634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/>
      </c>
      <c r="J16" s="642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/>
      </c>
      <c r="Z16" s="634"/>
      <c r="AA16" s="633" t="str">
        <f>IF('Diseño 1"'!AC33="","",'Diseño 1"'!AC33)</f>
        <v/>
      </c>
      <c r="AB16" s="634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/>
      </c>
      <c r="J17" s="642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/>
      </c>
      <c r="Z17" s="634"/>
      <c r="AA17" s="633" t="str">
        <f>IF('Diseño 1"'!AC34="","",'Diseño 1"'!AC34)</f>
        <v/>
      </c>
      <c r="AB17" s="634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/>
      </c>
      <c r="J18" s="642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/>
      </c>
      <c r="Z18" s="634"/>
      <c r="AA18" s="633" t="str">
        <f>IF('Diseño 1"'!AC35="","",'Diseño 1"'!AC35)</f>
        <v/>
      </c>
      <c r="AB18" s="634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2.0233599999999998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2.0233599999999998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2026-05-15T12:55:15Z</cp:lastPrinted>
  <dcterms:created xsi:type="dcterms:W3CDTF">2002-03-13T22:45:45Z</dcterms:created>
  <dcterms:modified xsi:type="dcterms:W3CDTF">2026-05-15T15:20:58Z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