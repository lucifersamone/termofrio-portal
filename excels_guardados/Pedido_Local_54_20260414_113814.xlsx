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 codeName="{28389E77-7640-9E18-AD5C-E98E2F4A8B83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mrubi\OneDrive\Escritorio\SWT\"/>
    </mc:Choice>
  </mc:AlternateContent>
  <xr:revisionPtr revIDLastSave="0" documentId="13_ncr:1_{31199C54-2FAB-4308-9687-02C5F3529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<sst xmlns="http://schemas.openxmlformats.org/spreadsheetml/2006/main" count="1727" uniqueCount="248">
  <si>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</si>
  <si>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</si>
  <si>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</si>
  <si>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</si>
  <si>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</si>
  <si>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</si>
  <si>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</si>
  <si>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</si>
  <si>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</si>
  <si>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</si>
  <si>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</si>
  <si>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</si>
  <si>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</si>
  <si>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</si>
  <si>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</si>
  <si>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</si>
  <si>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</si>
  <si>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</si>
  <si>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</si>
  <si>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</si>
  <si>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</si>
  <si>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</si>
  <si>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</si>
  <si>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</si>
  <si>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</si>
  <si>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</si>
  <si>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</si>
  <si>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</si>
  <si>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</si>
  <si>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</si>
  <si>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</si>
  <si>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</si>
  <si>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</si>
  <si>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</si>
  <si>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</si>
  <si>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</si>
  <si>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</si>
  <si>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</si>
  <si>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</si>
  <si>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</si>
  <si>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</si>
  <si>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</si>
  <si>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</si>
  <si>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</si>
  <si>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</si>
  <si>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</si>
  <si>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</si>
  <si>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</si>
  <si>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</si>
  <si>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</si>
  <si>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</si>
  <si>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</si>
  <si>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</si>
  <si>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</si>
  <si>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</si>
  <si>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</si>
  <si>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</si>
  <si>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</si>
  <si>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</si>
  <si>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</si>
  <si>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</si>
  <si>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</si>
  <si>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</si>
  <si>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</si>
  <si>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</si>
  <si>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</si>
  <si>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</si>
  <si>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</si>
  <si>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</si>
  <si>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</si>
  <si>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</si>
  <si>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</si>
  <si>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</si>
  <si>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</si>
  <si>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</si>
  <si>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</si>
  <si>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</si>
  <si>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</si>
  <si>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</si>
  <si>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</si>
  <si>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</si>
  <si>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</si>
  <si>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</si>
  <si>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</si>
  <si>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</si>
  <si>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</si>
  <si>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</si>
  <si>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</si>
  <si>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</si>
  <si>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</si>
  <si>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</si>
  <si>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</si>
  <si>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</si>
  <si>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</si>
  <si>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</si>
  <si>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</si>
  <si>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</si>
  <si>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</si>
  <si>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</si>
  <si>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</si>
  <si>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</si>
  <si>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</si>
  <si>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</si>
  <si>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</si>
  <si>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</si>
  <si>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</si>
  <si>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</si>
  <si>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</si>
  <si>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</si>
  <si>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</si>
  <si>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</si>
  <si>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</si>
  <si>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</si>
  <si>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</si>
  <si>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</si>
  <si>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</si>
  <si>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</si>
  <si>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</si>
  <si>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</si>
  <si>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</si>
  <si>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</si>
  <si>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</si>
  <si>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</si>
  <si>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</si>
  <si>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</si>
  <si>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</si>
  <si>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</si>
  <si>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</si>
  <si>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</si>
  <si>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</si>
  <si>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</si>
  <si>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</si>
  <si>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</si>
  <si>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</si>
  <si>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</si>
  <si>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</si>
  <si>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</si>
  <si>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</si>
  <si>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</si>
  <si>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</si>
  <si>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</si>
  <si>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</si>
  <si>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</si>
  <si>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</si>
  <si>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</si>
  <si>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</si>
  <si>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</si>
  <si>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</si>
  <si>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</si>
  <si>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</si>
  <si>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</si>
  <si>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</si>
  <si>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</si>
  <si>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</si>
  <si>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</si>
  <si>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</si>
  <si>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</si>
  <si>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</si>
  <si>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</si>
  <si>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</si>
  <si>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</si>
  <si>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</si>
  <si>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</si>
  <si>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</si>
  <si>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</si>
  <si>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</si>
  <si>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</si>
  <si>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</si>
  <si>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</si>
  <si>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</si>
  <si>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</si>
  <si>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</si>
  <si>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</si>
  <si>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</si>
  <si>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</si>
  <si>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</si>
  <si>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</si>
  <si>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</si>
  <si>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</si>
  <si>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</si>
  <si>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</si>
  <si>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</si>
  <si>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</si>
  <si>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</si>
  <si>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</si>
  <si>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</si>
  <si>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</si>
  <si>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</si>
  <si>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</si>
  <si>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</si>
  <si>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</si>
  <si>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</si>
  <si>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</si>
  <si>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</si>
  <si>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</si>
  <si>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</si>
  <si>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</si>
  <si>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</si>
  <si>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</si>
  <si>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</si>
  <si>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</si>
  <si>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</si>
  <si>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</si>
  <si>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</si>
  <si>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</si>
  <si>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</si>
  <si>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</si>
  <si>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</si>
  <si>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</si>
  <si>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</si>
  <si>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</si>
  <si>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</si>
  <si>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</si>
  <si>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</si>
  <si>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</si>
  <si>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</si>
  <si>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</si>
  <si>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</si>
  <si>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</si>
  <si>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</si>
  <si>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</si>
  <si>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</si>
  <si>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</si>
  <si>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</si>
  <si>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</si>
  <si>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</si>
  <si>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</si>
  <si>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</si>
  <si>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</si>
  <si>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</si>
  <si>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</si>
  <si>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</si>
  <si>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</si>
  <si>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</si>
  <si>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</si>
  <si>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</si>
  <si>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</si>
  <si>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</si>
  <si>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</si>
  <si>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</si>
  <si>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</si>
  <si>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</si>
  <si>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</si>
  <si>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</si>
  <si>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 xml:space="preserve">Subterraneo </t>
  </si>
  <si>
    <t>0.60</t>
  </si>
  <si>
    <t>201.5</t>
  </si>
  <si>
    <t>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</si>
</sst>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403205" y="4678680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344275" y="4650105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968990" y="4678680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803130" y="202692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551795" y="199834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0210800" y="202692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308771" y="4757057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1247664" y="4728482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873468" y="4757057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548391" y="2024605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291461" y="2005555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953263" y="2024605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193111" y="4757057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1142889" y="4728482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763250" y="4757057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9088261" y="1995311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831094" y="1976261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493015" y="1995311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13" zoomScaleNormal="100" workbookViewId="0">
      <selection activeCell="K34" sqref="K34:L34"/>
    </sheetView>
  </sheetViews>
  <sheetFormatPr baseColWidth="10" defaultColWidth="12.5546875" defaultRowHeight="15" customHeight="1" x14ac:dyDescent="0.25"/>
  <cols>
    <col min="1" max="1" width="3.5546875" style="129" customWidth="1"/>
    <col min="2" max="2" width="8.44140625" style="129" customWidth="1"/>
    <col min="3" max="3" width="6.5546875" style="129" customWidth="1"/>
    <col min="4" max="4" width="15.109375" style="129" customWidth="1"/>
    <col min="5" max="5" width="7" style="129" customWidth="1"/>
    <col min="6" max="6" width="7.109375" style="129" customWidth="1"/>
    <col min="7" max="7" width="5.6640625" style="129" customWidth="1"/>
    <col min="8" max="8" width="6.44140625" style="129" customWidth="1"/>
    <col min="9" max="9" width="6.33203125" style="129" customWidth="1"/>
    <col min="10" max="10" width="9.6640625" style="129" customWidth="1"/>
    <col min="11" max="11" width="11" style="129" bestFit="1" customWidth="1"/>
    <col min="12" max="12" width="7.88671875" style="129" customWidth="1"/>
    <col min="13" max="13" width="6.5546875" style="129" customWidth="1"/>
    <col min="14" max="14" width="7.6640625" style="129" customWidth="1"/>
    <col min="15" max="15" width="8" style="129" customWidth="1"/>
    <col min="16" max="16" width="5.6640625" style="129" customWidth="1"/>
    <col min="17" max="17" width="9.33203125" style="129" customWidth="1"/>
    <col min="18" max="18" width="9.5546875" style="129" customWidth="1"/>
    <col min="19" max="19" width="8.33203125" style="129" customWidth="1"/>
    <col min="20" max="21" width="7.5546875" style="129" customWidth="1"/>
    <col min="22" max="22" width="7.109375" style="129" customWidth="1"/>
    <col min="23" max="23" width="12.5546875" style="129" customWidth="1"/>
    <col min="24" max="24" width="8.441406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4140625" style="129" customWidth="1"/>
    <col min="29" max="29" width="17.109375" style="129" customWidth="1"/>
    <col min="30" max="30" width="12.5546875" style="129" customWidth="1"/>
    <col min="31" max="31" width="6.6640625" style="129" customWidth="1"/>
    <col min="32" max="32" width="11.109375" style="129" customWidth="1"/>
    <col min="33" max="33" width="7.5546875" style="129" hidden="1" customWidth="1"/>
    <col min="34" max="35" width="7.44140625" style="129" hidden="1" customWidth="1"/>
    <col min="36" max="36" width="6.33203125" style="129" customWidth="1"/>
    <col min="37" max="37" width="4.5546875" style="129" customWidth="1"/>
    <col min="38" max="38" width="12.44140625" style="129" hidden="1" customWidth="1"/>
    <col min="39" max="39" width="8.33203125" style="129" customWidth="1"/>
    <col min="40" max="40" width="9.44140625" style="129" customWidth="1"/>
    <col min="41" max="65" width="11.6640625" style="129" customWidth="1"/>
    <col min="66" max="87" width="11.44140625" style="129" customWidth="1"/>
    <col min="88" max="16384" width="12.5546875" style="129"/>
  </cols>
  <sheetData>
    <row r="1" spans="1:87" ht="12.75" customHeight="1" x14ac:dyDescent="0.25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5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5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5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5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46125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5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5">
      <c r="A7" s="126"/>
      <c r="B7" s="136" t="s">
        <v>9</v>
      </c>
      <c r="C7" s="137"/>
      <c r="D7" s="225">
        <v>54</v>
      </c>
      <c r="E7" s="139"/>
      <c r="F7" s="139"/>
      <c r="G7" s="126"/>
      <c r="H7" s="603" t="s">
        <v>239</v>
      </c>
      <c r="I7" s="593"/>
      <c r="J7" s="604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5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5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5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5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0</v>
      </c>
      <c r="P12" s="296">
        <f t="shared" si="0"/>
        <v>0</v>
      </c>
      <c r="Q12" s="617" t="s">
        <v>23</v>
      </c>
      <c r="R12" s="609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3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5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5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5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5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0</v>
      </c>
      <c r="P17" s="306">
        <f t="shared" si="1"/>
        <v>0</v>
      </c>
      <c r="Q17" s="617" t="s">
        <v>40</v>
      </c>
      <c r="R17" s="609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5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5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5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8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5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1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5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5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5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5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5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5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5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5">
      <c r="A29" s="184"/>
      <c r="B29" s="191"/>
      <c r="C29" s="192"/>
      <c r="D29" s="595" t="s">
        <v>244</v>
      </c>
      <c r="E29" s="596"/>
      <c r="F29" s="592" t="s">
        <v>100</v>
      </c>
      <c r="G29" s="593"/>
      <c r="H29" s="594"/>
      <c r="I29" s="192">
        <v>1</v>
      </c>
      <c r="J29" s="192">
        <v>93</v>
      </c>
      <c r="K29" s="192">
        <v>26</v>
      </c>
      <c r="L29" s="192"/>
      <c r="M29" s="192"/>
      <c r="N29" s="595"/>
      <c r="O29" s="593"/>
      <c r="P29" s="594"/>
      <c r="Q29" s="192"/>
      <c r="R29" s="192"/>
      <c r="S29" s="192" t="s">
        <v>245</v>
      </c>
      <c r="T29" s="192"/>
      <c r="U29" s="192"/>
      <c r="V29" s="193"/>
      <c r="W29" s="194"/>
      <c r="X29" s="192"/>
      <c r="Y29" s="192"/>
      <c r="Z29" s="195"/>
      <c r="AA29" s="595" t="s">
        <v>157</v>
      </c>
      <c r="AB29" s="594"/>
      <c r="AC29" s="595"/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0.6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0.6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e">
        <f t="shared" ref="BF29:BF48" si="25">IF(F29="Pleno",((K29+2*AX$57/10)*(2*S29*100+J29)+2*(J29+2*AY$57/10)*(S29*100+AY$57/10)+2*(J29+K29)*(VLOOKUP(AA29,AS$55:AT$71,2))/10)/10000*I29,"N/D")</f>
        <v>#VALUE!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5">
      <c r="A30" s="184"/>
      <c r="B30" s="191"/>
      <c r="C30" s="192"/>
      <c r="D30" s="595"/>
      <c r="E30" s="596"/>
      <c r="F30" s="592" t="s">
        <v>104</v>
      </c>
      <c r="G30" s="593"/>
      <c r="H30" s="594"/>
      <c r="I30" s="192">
        <v>1</v>
      </c>
      <c r="J30" s="192">
        <v>60</v>
      </c>
      <c r="K30" s="192">
        <v>80</v>
      </c>
      <c r="L30" s="192"/>
      <c r="M30" s="192"/>
      <c r="N30" s="595"/>
      <c r="O30" s="593"/>
      <c r="P30" s="594"/>
      <c r="Q30" s="192" t="s">
        <v>246</v>
      </c>
      <c r="R30" s="192">
        <v>31</v>
      </c>
      <c r="S30" s="192" t="s">
        <v>247</v>
      </c>
      <c r="T30" s="192"/>
      <c r="U30" s="192"/>
      <c r="V30" s="193"/>
      <c r="W30" s="194"/>
      <c r="X30" s="192"/>
      <c r="Y30" s="192"/>
      <c r="Z30" s="195"/>
      <c r="AA30" s="595"/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4</v>
      </c>
      <c r="AI30" s="286">
        <f t="shared" si="5"/>
        <v>0</v>
      </c>
      <c r="AJ30" s="287">
        <f t="shared" ref="AJ30:AJ48" si="29">IF(AE30=TRUE,0.5,AL30)</f>
        <v>0.6</v>
      </c>
      <c r="AK30" s="288"/>
      <c r="AL30" s="289">
        <f t="shared" si="6"/>
        <v>0.6</v>
      </c>
      <c r="AM30" s="290" t="str">
        <f t="shared" si="7"/>
        <v/>
      </c>
      <c r="AN30" s="290" t="str">
        <f t="shared" si="8"/>
        <v/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e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#VALUE!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5">
      <c r="A31" s="184"/>
      <c r="B31" s="227"/>
      <c r="C31" s="192"/>
      <c r="D31" s="595"/>
      <c r="E31" s="596"/>
      <c r="F31" s="592" t="s">
        <v>108</v>
      </c>
      <c r="G31" s="593"/>
      <c r="H31" s="594"/>
      <c r="I31" s="192">
        <v>1</v>
      </c>
      <c r="J31" s="192">
        <v>35</v>
      </c>
      <c r="K31" s="192">
        <v>20</v>
      </c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5" t="s">
        <v>151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4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5">
      <c r="A32" s="184"/>
      <c r="B32" s="191"/>
      <c r="C32" s="192"/>
      <c r="D32" s="595"/>
      <c r="E32" s="59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5">
      <c r="A33" s="184">
        <v>5</v>
      </c>
      <c r="B33" s="191"/>
      <c r="C33" s="192"/>
      <c r="D33" s="595"/>
      <c r="E33" s="59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5">
      <c r="A34" s="184">
        <v>6</v>
      </c>
      <c r="B34" s="191"/>
      <c r="C34" s="192"/>
      <c r="D34" s="595"/>
      <c r="E34" s="596"/>
      <c r="F34" s="592"/>
      <c r="G34" s="593"/>
      <c r="H34" s="594"/>
      <c r="I34" s="192"/>
      <c r="J34" s="192"/>
      <c r="K34" s="192"/>
      <c r="L34" s="192"/>
      <c r="M34" s="192"/>
      <c r="N34" s="595"/>
      <c r="O34" s="593"/>
      <c r="P34" s="594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5"/>
      <c r="AB34" s="594"/>
      <c r="AC34" s="595"/>
      <c r="AD34" s="594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5">
      <c r="A35" s="184">
        <v>7</v>
      </c>
      <c r="B35" s="191"/>
      <c r="C35" s="192"/>
      <c r="D35" s="595"/>
      <c r="E35" s="596"/>
      <c r="F35" s="592"/>
      <c r="G35" s="593"/>
      <c r="H35" s="594"/>
      <c r="I35" s="192"/>
      <c r="J35" s="192"/>
      <c r="K35" s="192"/>
      <c r="L35" s="192"/>
      <c r="M35" s="192"/>
      <c r="N35" s="595"/>
      <c r="O35" s="593"/>
      <c r="P35" s="594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5"/>
      <c r="AB35" s="594"/>
      <c r="AC35" s="595"/>
      <c r="AD35" s="594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5">
      <c r="A36" s="184">
        <v>8</v>
      </c>
      <c r="B36" s="191"/>
      <c r="C36" s="192"/>
      <c r="D36" s="595"/>
      <c r="E36" s="596"/>
      <c r="F36" s="592"/>
      <c r="G36" s="593"/>
      <c r="H36" s="594"/>
      <c r="I36" s="192"/>
      <c r="J36" s="192"/>
      <c r="K36" s="192"/>
      <c r="L36" s="192"/>
      <c r="M36" s="192"/>
      <c r="N36" s="595"/>
      <c r="O36" s="593"/>
      <c r="P36" s="594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5"/>
      <c r="AB36" s="594"/>
      <c r="AC36" s="595"/>
      <c r="AD36" s="594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5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5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5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5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5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5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5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5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5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5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5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5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3</v>
      </c>
      <c r="AG49" s="203"/>
      <c r="AH49" s="204">
        <f>SUM(AH29:AH48)</f>
        <v>8</v>
      </c>
      <c r="AI49" s="204">
        <f>SUM(AI29:AI48)</f>
        <v>0</v>
      </c>
      <c r="AJ49" s="205"/>
      <c r="AK49" s="205"/>
      <c r="AL49" s="206"/>
      <c r="AM49" s="207">
        <f>SUM(AM29:AM48)</f>
        <v>0</v>
      </c>
      <c r="AN49" s="208">
        <f>SUM(AN29:AN48)</f>
        <v>0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5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5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5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5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5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5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5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5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5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5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5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5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5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5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5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5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5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5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5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5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5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5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5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5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5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5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5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5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5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5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5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5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5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5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5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5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5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5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5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5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5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5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5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5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5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5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5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5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5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5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5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5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5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5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5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5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5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5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5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5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5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5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5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5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5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5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5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5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5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5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5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5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5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5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5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5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5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5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5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5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5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5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5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5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5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5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5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5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5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5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5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5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5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5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5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5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5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5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5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5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5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5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5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5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5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5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5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5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5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5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5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5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5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5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5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5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5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5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5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5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5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5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5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5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5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5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5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5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5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5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5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5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5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5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5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5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5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5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5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5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5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5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5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5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5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5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5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5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5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5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5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5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5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5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5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5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5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5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5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5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5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5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5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5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5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5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5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5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5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5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5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5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5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5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5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5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5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5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5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5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5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5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5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5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5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5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5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5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5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5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5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5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5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5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5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5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5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5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5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5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5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5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5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5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5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5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5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5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5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5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5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5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5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5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5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5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5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5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5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5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5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5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5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5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5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5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5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5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5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5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5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5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5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5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5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5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5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5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5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5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5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5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5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5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5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5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5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5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5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5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5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5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546875" defaultRowHeight="15" customHeight="1" x14ac:dyDescent="0.25"/>
  <cols>
    <col min="2" max="3" width="2.88671875" customWidth="1"/>
    <col min="4" max="4" width="6.109375" customWidth="1"/>
    <col min="5" max="5" width="7.5546875" customWidth="1"/>
    <col min="6" max="6" width="4.33203125" customWidth="1"/>
    <col min="7" max="7" width="12" customWidth="1"/>
    <col min="8" max="8" width="4.88671875" customWidth="1"/>
    <col min="9" max="9" width="5.33203125" customWidth="1"/>
    <col min="10" max="11" width="7.6640625" customWidth="1"/>
    <col min="12" max="12" width="5.6640625" customWidth="1"/>
    <col min="13" max="13" width="6.33203125" customWidth="1"/>
    <col min="14" max="14" width="6.5546875" customWidth="1"/>
    <col min="15" max="15" width="6.33203125" customWidth="1"/>
    <col min="16" max="16" width="6" customWidth="1"/>
    <col min="17" max="17" width="11.5546875" customWidth="1"/>
    <col min="18" max="18" width="5.6640625" customWidth="1"/>
    <col min="19" max="19" width="9.44140625" customWidth="1"/>
    <col min="20" max="20" width="10.6640625" bestFit="1" customWidth="1"/>
    <col min="21" max="23" width="5.6640625" customWidth="1"/>
    <col min="24" max="24" width="9.33203125" customWidth="1"/>
    <col min="25" max="25" width="8.109375" bestFit="1" customWidth="1"/>
    <col min="26" max="26" width="4.6640625" customWidth="1"/>
    <col min="27" max="27" width="6.109375" customWidth="1"/>
    <col min="28" max="28" width="5.44140625" customWidth="1"/>
    <col min="29" max="29" width="7.109375" hidden="1" customWidth="1"/>
    <col min="30" max="30" width="10.88671875" hidden="1" customWidth="1"/>
    <col min="31" max="31" width="7.33203125" customWidth="1"/>
    <col min="32" max="32" width="5.5546875" hidden="1" customWidth="1"/>
    <col min="33" max="33" width="10.44140625" customWidth="1"/>
    <col min="34" max="35" width="7.109375" customWidth="1"/>
    <col min="36" max="36" width="2.88671875" customWidth="1"/>
    <col min="37" max="40" width="11.5546875" customWidth="1"/>
  </cols>
  <sheetData>
    <row r="1" spans="3:40" ht="12.75" customHeight="1" thickBot="1" x14ac:dyDescent="0.3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5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5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3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3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46125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3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46125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5">
      <c r="C7" s="663" t="s">
        <v>9</v>
      </c>
      <c r="D7" s="664"/>
      <c r="E7" s="664"/>
      <c r="F7" s="664"/>
      <c r="G7" s="544">
        <f>+'Diseño 1"'!D7</f>
        <v>54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46132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3">
      <c r="C8" s="663" t="s">
        <v>190</v>
      </c>
      <c r="D8" s="664"/>
      <c r="E8" s="664"/>
      <c r="F8" s="664"/>
      <c r="G8" s="546">
        <f>+'Diseño 1"'!K7</f>
        <v>0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0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0</v>
      </c>
      <c r="AH8" s="538"/>
      <c r="AI8" s="533">
        <f>+'Diseño 1"'!AM49</f>
        <v>0</v>
      </c>
      <c r="AJ8" s="5"/>
      <c r="AK8" s="5"/>
      <c r="AL8" s="5"/>
      <c r="AM8" s="5"/>
      <c r="AN8" s="5"/>
    </row>
    <row r="9" spans="3:40" ht="15" customHeight="1" thickBot="1" x14ac:dyDescent="0.3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3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3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5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 t="str">
        <f>IF('Diseño 1"'!D29="","",'Diseño 1"'!D29)</f>
        <v xml:space="preserve">Subterraneo </v>
      </c>
      <c r="H12" s="694"/>
      <c r="I12" s="693" t="str">
        <f>IF('Diseño 1"'!F29="","",'Diseño 1"'!F29)</f>
        <v>Pleno</v>
      </c>
      <c r="J12" s="694"/>
      <c r="K12" s="248">
        <f>IF(I12="","",'Diseño 1"'!I29)</f>
        <v>1</v>
      </c>
      <c r="L12" s="242">
        <f>IF('Diseño 1"'!J29="","",'Diseño 1"'!J29)</f>
        <v>93</v>
      </c>
      <c r="M12" s="242">
        <f>IF('Diseño 1"'!K29="","",'Diseño 1"'!K29)</f>
        <v>26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 t="str">
        <f>IF('Diseño 1"'!S29="","",'Diseño 1"'!S29)</f>
        <v>0.60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Pestaña 25</v>
      </c>
      <c r="Z12" s="688"/>
      <c r="AA12" s="687" t="str">
        <f>IF('Diseño 1"'!AC29="","",'Diseño 1"'!AC29)</f>
        <v/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0.6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5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Transformación</v>
      </c>
      <c r="J13" s="651"/>
      <c r="K13" s="20">
        <f>IF(I13="","",'Diseño 1"'!I30)</f>
        <v>1</v>
      </c>
      <c r="L13" s="17">
        <f>IF('Diseño 1"'!J30="","",'Diseño 1"'!J30)</f>
        <v>60</v>
      </c>
      <c r="M13" s="17">
        <f>IF('Diseño 1"'!K30="","",'Diseño 1"'!K30)</f>
        <v>80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>201.5</v>
      </c>
      <c r="S13" s="17">
        <f>IF('Diseño 1"'!R30="","",'Diseño 1"'!R30)</f>
        <v>31</v>
      </c>
      <c r="T13" s="242" t="str">
        <f>IF('Diseño 1"'!S30="","",'Diseño 1"'!S30)</f>
        <v>0.55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/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0.6</v>
      </c>
      <c r="AF13" s="93">
        <f>'Diseño 1"'!AK30</f>
        <v>0</v>
      </c>
      <c r="AG13" s="243" t="str">
        <f>IF('Diseño 1"'!AN30="","",'Diseño 1"'!AN30)</f>
        <v/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5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Zapato s/ Templador</v>
      </c>
      <c r="J14" s="651"/>
      <c r="K14" s="20">
        <f>IF(I14="","",'Diseño 1"'!I31)</f>
        <v>1</v>
      </c>
      <c r="L14" s="17">
        <f>IF('Diseño 1"'!J31="","",'Diseño 1"'!J31)</f>
        <v>35</v>
      </c>
      <c r="M14" s="17">
        <f>IF('Diseño 1"'!K31="","",'Diseño 1"'!K31)</f>
        <v>20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Triple 50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 t="str">
        <f>IF('Diseño 1"'!AF32="","",'Diseño 1"'!AF32)</f>
        <v/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5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/>
      </c>
      <c r="J15" s="651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/>
      </c>
      <c r="Z15" s="650"/>
      <c r="AA15" s="649" t="str">
        <f>IF('Diseño 1"'!AC32="","",'Diseño 1"'!AC32)</f>
        <v/>
      </c>
      <c r="AB15" s="650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5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/>
      </c>
      <c r="J16" s="651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/>
      </c>
      <c r="Z16" s="650"/>
      <c r="AA16" s="649" t="str">
        <f>IF('Diseño 1"'!AC33="","",'Diseño 1"'!AC33)</f>
        <v/>
      </c>
      <c r="AB16" s="650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5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/>
      </c>
      <c r="J17" s="651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/>
      </c>
      <c r="Z17" s="650"/>
      <c r="AA17" s="649" t="str">
        <f>IF('Diseño 1"'!AC34="","",'Diseño 1"'!AC34)</f>
        <v/>
      </c>
      <c r="AB17" s="650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5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/>
      </c>
      <c r="J18" s="651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/>
      </c>
      <c r="Z18" s="650"/>
      <c r="AA18" s="649" t="str">
        <f>IF('Diseño 1"'!AC35="","",'Diseño 1"'!AC35)</f>
        <v/>
      </c>
      <c r="AB18" s="650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5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/>
      </c>
      <c r="J19" s="651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/>
      </c>
      <c r="Z19" s="650"/>
      <c r="AA19" s="649" t="str">
        <f>IF('Diseño 1"'!AC36="","",'Diseño 1"'!AC36)</f>
        <v/>
      </c>
      <c r="AB19" s="650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5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5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5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5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5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5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5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5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5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5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5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3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3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5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5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5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5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5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5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5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5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3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5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5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5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5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5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5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5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5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5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5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5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5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5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5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5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5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5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5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5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5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5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5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5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5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5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5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5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5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5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5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5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5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5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5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5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5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5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5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5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5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5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5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5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5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5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5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5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5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5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5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5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5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5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5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5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5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5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5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5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5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5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5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5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5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5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5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5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5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5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5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5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5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5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5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5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5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5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5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5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5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5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5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5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5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5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5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5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5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5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5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5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5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5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5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5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5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5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5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5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5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5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5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5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5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5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5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5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5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5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5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5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5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5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5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5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5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5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5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5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5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5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5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5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5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5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5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5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5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5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5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5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5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5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5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5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5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5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5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5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5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5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5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5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5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5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5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5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5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5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5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5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5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5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5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5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5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5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5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5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5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5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5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5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5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5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5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5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5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5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5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5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5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5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5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5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5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5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5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5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5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5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5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5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5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5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5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5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5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5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5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5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5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5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5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5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5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5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5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5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5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5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5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5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5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5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5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5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5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5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5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5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5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5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5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5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5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5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5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5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5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5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5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5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5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5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5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5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5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5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5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5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5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5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5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5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5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5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5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5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5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5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5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5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5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5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5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5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5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5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5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5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5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5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5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5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5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5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5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5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5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5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5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5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5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5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5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5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5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5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5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5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5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5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5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5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5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5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5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5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5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5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5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5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5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5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5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5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5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5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5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5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5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5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5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5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5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5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5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5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5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5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5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5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5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5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5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5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5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5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5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5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5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5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5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5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5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5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5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5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5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5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5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5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5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5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5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5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5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5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5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5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5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5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5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5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5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5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5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5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5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5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5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5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5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5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5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5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5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5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5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5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5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5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5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5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5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5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5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5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5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5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5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5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5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5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5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5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5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5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5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5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5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5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5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5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5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5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5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5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5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5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5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5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5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5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5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5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5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5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5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5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5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5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5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5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5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5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5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5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5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5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5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5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5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5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5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5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5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5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5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5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5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5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5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5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5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5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5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5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5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5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5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5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5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5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5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5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5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5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5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5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5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5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5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5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5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5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5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5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5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5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5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5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5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5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5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5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5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5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5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5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5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5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5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5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5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5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5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5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5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5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5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5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5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5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5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5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5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5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5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5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5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5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5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5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5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5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5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5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5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5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5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5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5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5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5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5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5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5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5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5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5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5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5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5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5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5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5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5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5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5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5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5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5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5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5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5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5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5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5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5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5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5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5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5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5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5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5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5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5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5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5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5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5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5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5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5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5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5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5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5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5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5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5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5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5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5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5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5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5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5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5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5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5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5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5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5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5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5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5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5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5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5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5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5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5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5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5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5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5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5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5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5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5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5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5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5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5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5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5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5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5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5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5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5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5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5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5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5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5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5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5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5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5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5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5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5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5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5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5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5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5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5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5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5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5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5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5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5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5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5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5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5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5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5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5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5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5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5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5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5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5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5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5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5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5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5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5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5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5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5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5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5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5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5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5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5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5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5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5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5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5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5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5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5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5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5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5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5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5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5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5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5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5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5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5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5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5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5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5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5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5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5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5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5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5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5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5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5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5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5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5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5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5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5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5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5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5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5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5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5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5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5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5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5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5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5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5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5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5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5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5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5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5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5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5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5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5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5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5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5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5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5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5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5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5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5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5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5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5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5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5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5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5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5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5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5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5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5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5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5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5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5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5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5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5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5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5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5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5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5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5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5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5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5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5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5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5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5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5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5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5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5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5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5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5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5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5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5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5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5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5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5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5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5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5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5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5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5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5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5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5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5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5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5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5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5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5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5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5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5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5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5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5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5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5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5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5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5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5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5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5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5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5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5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5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5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5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5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5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5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5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5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5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5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5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5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5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5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5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5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5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5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5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5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5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5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5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5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5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5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5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5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5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5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5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5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5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5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5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5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5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5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5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5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5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5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5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5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5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5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5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5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5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5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5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5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5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5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5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5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5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5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5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5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5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5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5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5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5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5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5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5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5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5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5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5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5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5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5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5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5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5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5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5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5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5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5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5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5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5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5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5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5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5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5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5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5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5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5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5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5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5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5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5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5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5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5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5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5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5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5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5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5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5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5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5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5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5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5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5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5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5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5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5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5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5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5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5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5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5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5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5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5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5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5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5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5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5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5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5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5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5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5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5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5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5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5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5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5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5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5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5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5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5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5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5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5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5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5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5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5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5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5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5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5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5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5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5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5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5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5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5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5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5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5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5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5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5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5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5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5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5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5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5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5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5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5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5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5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546875" defaultRowHeight="15" customHeight="1" x14ac:dyDescent="0.25"/>
  <cols>
    <col min="1" max="1" width="3.5546875" style="129" customWidth="1"/>
    <col min="2" max="2" width="8.44140625" style="129" customWidth="1"/>
    <col min="3" max="3" width="6.5546875" style="129" customWidth="1"/>
    <col min="4" max="4" width="15.109375" style="129" customWidth="1"/>
    <col min="5" max="5" width="7" style="129" customWidth="1"/>
    <col min="6" max="6" width="7.109375" style="129" customWidth="1"/>
    <col min="7" max="7" width="5.6640625" style="129" customWidth="1"/>
    <col min="8" max="8" width="6.44140625" style="129" customWidth="1"/>
    <col min="9" max="9" width="6.33203125" style="129" customWidth="1"/>
    <col min="10" max="10" width="9.6640625" style="129" customWidth="1"/>
    <col min="11" max="11" width="9.6640625" style="129" bestFit="1" customWidth="1"/>
    <col min="12" max="12" width="7.88671875" style="129" customWidth="1"/>
    <col min="13" max="13" width="6.5546875" style="129" customWidth="1"/>
    <col min="14" max="14" width="7.6640625" style="129" customWidth="1"/>
    <col min="15" max="15" width="8" style="129" customWidth="1"/>
    <col min="16" max="16" width="5.6640625" style="129" customWidth="1"/>
    <col min="17" max="17" width="9.33203125" style="129" customWidth="1"/>
    <col min="18" max="18" width="9.5546875" style="129" customWidth="1"/>
    <col min="19" max="19" width="8.33203125" style="129" customWidth="1"/>
    <col min="20" max="21" width="7.5546875" style="129" customWidth="1"/>
    <col min="22" max="22" width="7.109375" style="129" customWidth="1"/>
    <col min="23" max="23" width="12.5546875" style="129" customWidth="1"/>
    <col min="24" max="24" width="8.441406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4140625" style="129" customWidth="1"/>
    <col min="29" max="29" width="17.109375" style="129" customWidth="1"/>
    <col min="30" max="30" width="12.5546875" style="129" customWidth="1"/>
    <col min="31" max="31" width="6.6640625" style="129" customWidth="1"/>
    <col min="32" max="32" width="11.109375" style="129" customWidth="1"/>
    <col min="33" max="33" width="7.5546875" style="129" hidden="1" customWidth="1"/>
    <col min="34" max="35" width="7.44140625" style="129" hidden="1" customWidth="1"/>
    <col min="36" max="36" width="6.33203125" style="129" customWidth="1"/>
    <col min="37" max="37" width="4.5546875" style="129" customWidth="1"/>
    <col min="38" max="38" width="12.44140625" style="129" hidden="1" customWidth="1"/>
    <col min="39" max="39" width="8.33203125" style="129" customWidth="1"/>
    <col min="40" max="40" width="9.44140625" style="129" customWidth="1"/>
    <col min="41" max="65" width="11.6640625" style="129" customWidth="1"/>
    <col min="66" max="87" width="11.44140625" style="129" customWidth="1"/>
    <col min="88" max="16384" width="12.5546875" style="129"/>
  </cols>
  <sheetData>
    <row r="1" spans="1:87" ht="12.75" customHeight="1" x14ac:dyDescent="0.25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5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5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5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5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5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5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5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5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5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5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3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5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5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5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5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5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5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5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5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5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5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5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5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5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5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5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5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5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5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5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5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5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5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5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5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5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5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5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5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5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5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5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5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5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5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5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5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5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5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5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5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5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5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5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5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5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5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5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5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5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5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5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5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5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5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5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5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5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5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5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5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5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5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5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5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5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5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5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5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5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5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5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5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5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5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5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5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5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5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5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5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5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5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5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5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5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5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5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5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5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5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5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5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5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5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5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5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5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5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5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5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5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5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5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5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5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5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5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5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5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5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5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5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5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5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5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5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5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5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5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5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5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5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5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5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5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5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5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5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5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5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5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5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5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5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5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5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5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5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5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5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5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5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5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5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5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5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5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5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5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5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5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5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5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5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5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5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5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5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5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5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5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5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5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5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5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5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5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5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5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5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5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5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5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5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5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5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5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5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5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5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5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5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5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5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5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5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5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5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5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5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5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5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5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5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5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5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5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5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5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5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5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5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5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5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5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5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5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5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5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5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5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5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5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5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5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5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5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5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5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5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5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5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5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5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5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5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5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5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5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5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5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5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5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5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5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5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5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5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5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5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5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5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5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5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5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5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5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5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5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5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5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5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5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5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5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5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5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5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5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5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5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5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5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5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5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5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5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5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5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5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5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5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5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5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5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5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5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546875" defaultRowHeight="15" customHeight="1" x14ac:dyDescent="0.25"/>
  <cols>
    <col min="1" max="2" width="2.88671875" customWidth="1"/>
    <col min="3" max="3" width="6.109375" customWidth="1"/>
    <col min="4" max="5" width="7.5546875" customWidth="1"/>
    <col min="6" max="6" width="13.33203125" customWidth="1"/>
    <col min="7" max="7" width="4.88671875" customWidth="1"/>
    <col min="8" max="8" width="6.44140625" customWidth="1"/>
    <col min="9" max="9" width="8.5546875" customWidth="1"/>
    <col min="10" max="10" width="7.6640625" customWidth="1"/>
    <col min="11" max="11" width="5.6640625" customWidth="1"/>
    <col min="12" max="12" width="6.33203125" customWidth="1"/>
    <col min="13" max="13" width="6.5546875" customWidth="1"/>
    <col min="14" max="14" width="6.33203125" customWidth="1"/>
    <col min="15" max="15" width="6" customWidth="1"/>
    <col min="16" max="16" width="11.5546875" customWidth="1"/>
    <col min="17" max="17" width="7.6640625" customWidth="1"/>
    <col min="18" max="18" width="9.44140625" customWidth="1"/>
    <col min="19" max="19" width="10.5546875" bestFit="1" customWidth="1"/>
    <col min="20" max="22" width="5.6640625" customWidth="1"/>
    <col min="23" max="23" width="9.33203125" customWidth="1"/>
    <col min="24" max="24" width="5" customWidth="1"/>
    <col min="25" max="25" width="4.6640625" customWidth="1"/>
    <col min="26" max="26" width="6.109375" customWidth="1"/>
    <col min="27" max="27" width="5.44140625" customWidth="1"/>
    <col min="28" max="28" width="7.109375" hidden="1" customWidth="1"/>
    <col min="29" max="29" width="10.88671875" hidden="1" customWidth="1"/>
    <col min="30" max="30" width="7.33203125" customWidth="1"/>
    <col min="31" max="31" width="5.5546875" hidden="1" customWidth="1"/>
    <col min="32" max="32" width="12.44140625" customWidth="1"/>
    <col min="33" max="33" width="8.44140625" customWidth="1"/>
    <col min="34" max="34" width="9" customWidth="1"/>
    <col min="35" max="35" width="2.88671875" customWidth="1"/>
    <col min="36" max="39" width="11.5546875" customWidth="1"/>
  </cols>
  <sheetData>
    <row r="1" spans="2:39" ht="12.75" customHeight="1" x14ac:dyDescent="0.25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5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5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3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3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3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5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3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0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0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3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3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3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5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5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5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5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5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5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5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5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5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5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5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5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5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5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5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5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5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5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5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3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3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5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5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5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5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5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5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5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5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3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5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5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5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5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5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5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5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5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5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5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5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5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5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5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5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5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5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5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5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5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5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5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5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5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5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5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5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5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5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5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5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5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5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5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5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5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5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5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5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5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5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5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5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5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5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5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5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5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5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5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5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5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5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5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5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5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5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5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5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5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5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5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5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5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5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5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5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5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5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5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5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5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5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5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5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5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5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5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5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5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5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5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5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5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5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5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5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5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5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5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5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5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5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5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5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5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5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5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5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5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5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5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5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5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5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5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5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5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5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5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5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5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5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5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5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5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5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5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5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5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5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5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5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5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5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5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5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5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5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5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5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5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5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5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5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5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5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5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5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5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5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5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5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5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5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5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5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5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5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5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5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5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5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5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5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5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5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5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5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5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5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5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5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5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5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5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5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5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5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5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5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5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5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5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5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5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5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5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5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5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5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5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5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5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5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5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5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5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5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5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5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5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5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5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5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5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5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5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5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5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5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5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5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5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5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5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5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5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5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5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5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5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5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5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5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5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5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5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5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5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5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5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5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5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5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5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5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5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5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5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5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5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5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5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5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5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5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5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5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5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5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5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5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5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5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5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5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5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5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5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5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5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5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5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5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5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5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5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5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5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5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5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5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5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5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5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5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5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5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5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5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5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5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5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5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5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5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5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5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5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5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5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5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5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5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5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5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5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5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5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5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5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5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5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5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5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5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5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5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5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5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5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5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5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5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5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5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5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5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5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5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5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5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5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5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5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5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5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5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5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5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5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5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5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5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5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5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5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5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5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5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5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5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5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5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5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5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5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5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5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5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5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5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5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5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5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5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5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5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5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5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5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5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5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5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5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5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5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5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5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5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5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5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5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5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5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5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5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5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5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5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5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5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5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5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5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5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5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5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5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5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5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5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5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5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5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5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5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5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5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5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5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5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5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5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5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5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5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5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5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5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5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5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5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5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5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5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5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5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5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5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5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5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5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5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5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5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5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5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5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5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5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5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5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5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5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5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5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5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5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5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5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5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5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5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5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5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5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5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5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5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5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5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5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5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5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5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5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5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5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5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5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5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5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5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5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5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5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5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5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5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5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5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5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5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5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5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5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5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5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5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5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5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5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5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5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5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5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5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5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5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5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5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5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5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5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5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5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5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5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5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5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5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5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5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5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5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5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5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5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5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5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5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5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5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5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5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5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5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5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5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5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5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5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5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5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5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5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5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5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5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5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5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5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5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5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5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5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5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5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5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5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5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5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5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5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5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5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5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5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5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5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5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5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5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5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5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5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5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5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5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5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5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5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5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5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5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5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5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5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5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5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5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5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5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5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5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5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5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5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5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5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5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5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5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5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5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5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5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5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5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5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5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5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5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5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5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5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5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5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5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5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5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5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5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5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5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5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5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5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5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5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5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5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5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5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5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5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5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5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5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5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5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5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5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5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5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5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5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5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5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5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5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5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5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5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5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5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5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5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5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5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5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5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5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5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5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5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5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5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5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5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5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5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5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5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5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5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5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5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5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5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5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5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5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5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5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5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5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5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5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5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5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5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5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5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5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5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5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5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5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5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5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5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5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5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5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5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5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5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5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5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5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5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5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5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5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5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5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5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5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5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5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5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5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5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5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5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5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5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5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5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5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5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5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5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5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5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5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5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5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5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5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5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5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5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5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5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5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5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5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5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5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5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5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5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5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5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5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5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5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5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5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5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5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5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5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5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5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5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5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5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5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5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5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5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5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5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5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5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5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5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5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5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5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5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5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5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5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5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5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5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5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5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5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5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5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5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5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5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5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5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5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5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5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5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5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5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5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5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5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5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5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5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5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5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5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5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5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5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5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5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5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5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5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5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5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5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5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5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5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5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5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5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5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5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5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5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5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5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5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5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5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5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5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5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5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5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5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5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5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5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5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5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5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5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5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5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5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5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5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5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5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5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5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5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5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5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5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5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5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5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5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5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5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5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5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5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5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5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5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5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5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5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5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5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5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5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5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5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5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5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5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5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5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5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5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5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5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5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5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5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5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5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5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5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5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5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5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5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5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5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5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5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5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5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5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5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5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5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5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5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5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5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5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5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5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5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5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5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5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5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5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5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5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5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5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5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5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5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5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5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5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5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5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5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5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5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5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5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5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5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5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5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5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5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5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5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5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5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5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5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5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5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5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5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5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5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5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5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5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5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5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5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5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5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5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5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5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5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5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5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5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5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5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5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5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5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5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5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5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5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5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5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5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546875" defaultRowHeight="15" customHeight="1" x14ac:dyDescent="0.25"/>
  <cols>
    <col min="1" max="1" width="3.5546875" style="404" customWidth="1"/>
    <col min="2" max="2" width="8.44140625" style="404" customWidth="1"/>
    <col min="3" max="3" width="6.5546875" style="404" customWidth="1"/>
    <col min="4" max="4" width="15.109375" style="404" customWidth="1"/>
    <col min="5" max="5" width="7" style="404" customWidth="1"/>
    <col min="6" max="6" width="7.109375" style="404" customWidth="1"/>
    <col min="7" max="7" width="5.6640625" style="404" customWidth="1"/>
    <col min="8" max="8" width="6.44140625" style="404" customWidth="1"/>
    <col min="9" max="9" width="6.33203125" style="404" customWidth="1"/>
    <col min="10" max="10" width="9.6640625" style="404" customWidth="1"/>
    <col min="11" max="12" width="7.88671875" style="404" customWidth="1"/>
    <col min="13" max="13" width="6.5546875" style="404" customWidth="1"/>
    <col min="14" max="14" width="7.6640625" style="404" customWidth="1"/>
    <col min="15" max="15" width="8" style="404" customWidth="1"/>
    <col min="16" max="16" width="5.6640625" style="404" customWidth="1"/>
    <col min="17" max="17" width="9.33203125" style="404" customWidth="1"/>
    <col min="18" max="18" width="9.5546875" style="404" customWidth="1"/>
    <col min="19" max="19" width="8.33203125" style="404" customWidth="1"/>
    <col min="20" max="21" width="7.5546875" style="404" customWidth="1"/>
    <col min="22" max="22" width="7.109375" style="404" customWidth="1"/>
    <col min="23" max="23" width="12.5546875" style="404" customWidth="1"/>
    <col min="24" max="24" width="8.441406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4140625" style="404" customWidth="1"/>
    <col min="29" max="29" width="17.109375" style="404" customWidth="1"/>
    <col min="30" max="30" width="12.5546875" style="404" customWidth="1"/>
    <col min="31" max="31" width="6.6640625" style="404" customWidth="1"/>
    <col min="32" max="32" width="11.109375" style="404" customWidth="1"/>
    <col min="33" max="33" width="7.5546875" style="404" hidden="1" customWidth="1"/>
    <col min="34" max="35" width="7.44140625" style="404" hidden="1" customWidth="1"/>
    <col min="36" max="36" width="6.33203125" style="404" customWidth="1"/>
    <col min="37" max="37" width="4.5546875" style="404" customWidth="1"/>
    <col min="38" max="38" width="12.44140625" style="404" hidden="1" customWidth="1"/>
    <col min="39" max="39" width="8.33203125" style="404" customWidth="1"/>
    <col min="40" max="40" width="9.44140625" style="404" customWidth="1"/>
    <col min="41" max="65" width="11.6640625" style="404" customWidth="1"/>
    <col min="66" max="87" width="11.44140625" style="404" customWidth="1"/>
    <col min="88" max="16384" width="12.5546875" style="404"/>
  </cols>
  <sheetData>
    <row r="1" spans="1:87" ht="12.75" customHeight="1" thickBot="1" x14ac:dyDescent="0.3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5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5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5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5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5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5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5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5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5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5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5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3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5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5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5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5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5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5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5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5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5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5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5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5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5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5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5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5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5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5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5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5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5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5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5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5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5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5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5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5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5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5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5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5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5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5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5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3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3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5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5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5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5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5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5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5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5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5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5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5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5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5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5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5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5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5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5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5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5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5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5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5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5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5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5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5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5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5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5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5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5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5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5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5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5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5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5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5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5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5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5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5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5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5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5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5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5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5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5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5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5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5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5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5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5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5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5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5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5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5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5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5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5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5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5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5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5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5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5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5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5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5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5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5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5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5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5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5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5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5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5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5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5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5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5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5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5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5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5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5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5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5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5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5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5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5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5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5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5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5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5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5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5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5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5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5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5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5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5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5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5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5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5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5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5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5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5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5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5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5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5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5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5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5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5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5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5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5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5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5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5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5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5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5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5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5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5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5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5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5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5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5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5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5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5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5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5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5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5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5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5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5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5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5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5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5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5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5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5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5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5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5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5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5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5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5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5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5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5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5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5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5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5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5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5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5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5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5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5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5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5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5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5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5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5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5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5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5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5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5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5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5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5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5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5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5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5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5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5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5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5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5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5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5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5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5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5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5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5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5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5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5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5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5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5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5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5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5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5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5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5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5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5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5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5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5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5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5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5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5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5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5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5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5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5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5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5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5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5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5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5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5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5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5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5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5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5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5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5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5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546875" defaultRowHeight="15" customHeight="1" x14ac:dyDescent="0.25"/>
  <cols>
    <col min="1" max="2" width="2.88671875" style="322" customWidth="1"/>
    <col min="3" max="3" width="6.109375" style="322" customWidth="1"/>
    <col min="4" max="4" width="7.5546875" style="322" customWidth="1"/>
    <col min="5" max="5" width="4.33203125" style="322" customWidth="1"/>
    <col min="6" max="6" width="12.109375" style="322" bestFit="1" customWidth="1"/>
    <col min="7" max="7" width="4.88671875" style="322" customWidth="1"/>
    <col min="8" max="8" width="8.33203125" style="322" customWidth="1"/>
    <col min="9" max="9" width="9.109375" style="322" customWidth="1"/>
    <col min="10" max="10" width="7.6640625" style="322" customWidth="1"/>
    <col min="11" max="11" width="5.6640625" style="322" customWidth="1"/>
    <col min="12" max="12" width="6.33203125" style="322" customWidth="1"/>
    <col min="13" max="13" width="6.5546875" style="322" customWidth="1"/>
    <col min="14" max="14" width="6.33203125" style="322" customWidth="1"/>
    <col min="15" max="15" width="6" style="322" customWidth="1"/>
    <col min="16" max="16" width="11.5546875" style="322" customWidth="1"/>
    <col min="17" max="17" width="7.6640625" style="322" customWidth="1"/>
    <col min="18" max="18" width="9.44140625" style="322" customWidth="1"/>
    <col min="19" max="19" width="6.109375" style="322" customWidth="1"/>
    <col min="20" max="22" width="5.6640625" style="322" customWidth="1"/>
    <col min="23" max="23" width="9.33203125" style="322" customWidth="1"/>
    <col min="24" max="24" width="5" style="322" customWidth="1"/>
    <col min="25" max="25" width="4.6640625" style="322" customWidth="1"/>
    <col min="26" max="26" width="6.109375" style="322" customWidth="1"/>
    <col min="27" max="27" width="5.44140625" style="322" customWidth="1"/>
    <col min="28" max="28" width="7.109375" style="322" hidden="1" customWidth="1"/>
    <col min="29" max="29" width="10.88671875" style="322" hidden="1" customWidth="1"/>
    <col min="30" max="30" width="7.33203125" style="322" customWidth="1"/>
    <col min="31" max="31" width="5.5546875" style="322" hidden="1" customWidth="1"/>
    <col min="32" max="32" width="12.44140625" style="322" customWidth="1"/>
    <col min="33" max="34" width="9.6640625" style="322" bestFit="1" customWidth="1"/>
    <col min="35" max="35" width="2.88671875" style="322" customWidth="1"/>
    <col min="36" max="39" width="11.5546875" style="322" customWidth="1"/>
    <col min="40" max="16384" width="12.5546875" style="322"/>
  </cols>
  <sheetData>
    <row r="1" spans="2:39" ht="12.75" customHeight="1" x14ac:dyDescent="0.25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5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5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3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3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3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5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3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3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3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3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5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5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5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5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5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5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5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5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5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5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5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5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5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5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5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5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5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5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5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3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3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3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5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5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5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5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5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5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5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3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5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5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5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5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5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5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5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5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5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5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5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5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5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5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5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5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5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5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5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5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5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5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5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5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5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5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5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5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5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5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5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5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5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5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5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5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5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5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5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5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5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5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5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5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5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5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5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5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5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5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5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5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5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5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5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5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5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5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5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5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5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5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5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5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5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5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5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5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5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5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5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5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5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5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5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5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5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5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5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5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5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5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5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5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5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5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5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5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5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5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5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5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5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5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5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5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5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5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5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5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5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5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5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5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5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5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5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5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5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5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5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5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5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5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5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5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5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5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5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5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5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5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5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5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5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5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5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5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5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5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5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5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5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5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5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5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5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5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5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5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5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5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5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5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5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5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5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5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5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5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5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5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5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5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5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5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5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5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5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5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5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5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5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5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5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5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5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5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5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5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5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5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5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5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5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5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5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5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5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5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5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5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5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5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5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5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5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5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5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5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5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5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5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5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5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5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5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5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5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5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5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5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5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5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5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5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5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5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5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5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5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5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5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5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5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5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5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5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5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5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5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5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5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5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5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5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5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5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5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5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5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5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5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5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5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5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5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5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5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5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5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5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5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5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5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5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5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5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5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5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5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5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5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5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5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5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5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5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5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5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5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5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5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5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5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5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5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5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5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5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5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5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5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5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5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5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5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5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5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5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5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5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5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5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5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5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5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5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5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5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5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5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5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5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5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5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5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5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5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5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5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5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5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5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5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5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5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5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5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5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5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5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5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5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5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5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5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5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5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5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5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5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5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5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5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5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5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5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5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5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5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5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5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5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5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5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5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5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5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5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5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5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5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5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5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5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5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5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5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5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5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5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5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5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5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5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5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5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5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5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5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5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5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5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5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5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5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5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5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5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5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5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5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5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5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5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5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5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5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5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5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5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5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5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5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5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5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5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5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5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5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5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5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5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5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5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5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5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5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5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5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5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5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5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5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5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5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5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5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5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5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5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5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5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5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5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5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5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5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5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5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5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5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5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5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5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5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5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5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5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5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5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5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5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5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5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5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5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5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5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5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5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5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5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5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5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5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5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5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5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5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5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5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5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5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5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5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5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5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5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5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5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5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5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5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5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5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5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5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5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5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5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5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5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5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5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5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5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5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5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5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5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5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5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5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5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5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5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5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5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5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5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5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5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5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5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5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5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5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5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5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5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5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5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5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5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5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5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5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5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5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5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5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5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5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5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5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5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5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5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5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5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5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5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5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5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5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5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5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5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5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5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5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5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5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5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5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5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5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5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5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5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5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5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5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5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5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5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5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5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5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5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5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5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5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5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5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5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5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5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5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5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5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5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5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5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5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5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5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5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5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5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5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5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5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5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5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5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5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5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5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5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5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5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5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5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5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5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5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5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5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5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5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5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5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5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5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5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5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5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5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5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5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5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5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5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5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5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5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5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5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5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5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5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5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5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5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5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5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5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5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5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5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5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5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5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5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5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5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5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5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5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5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5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5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5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5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5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5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5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5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5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5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5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5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5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5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5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5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5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5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5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5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5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5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5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5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5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5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5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5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5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5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5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5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5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5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5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5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5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5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5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5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5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5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5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5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5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5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5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5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5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5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5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5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5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5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5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5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5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5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5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5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5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5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5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5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5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5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5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5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5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5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5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5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5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5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5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5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5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5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5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5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5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5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5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5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5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5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5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5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5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5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5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5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5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5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5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5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5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5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5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5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5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5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5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5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5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5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5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5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5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5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5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5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5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5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5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5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5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5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5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5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5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5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5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5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5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5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5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5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5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5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5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5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5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5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5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5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5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5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5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5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5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5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5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5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5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5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5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5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5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5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5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5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5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5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5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5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5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5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5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5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5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5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5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5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5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5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5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5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5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5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5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5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5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5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5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5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5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5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5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5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5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5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5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5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5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5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5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5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5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5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5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5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5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5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5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5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5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5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5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5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5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5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5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5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5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5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5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5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5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5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5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5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5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5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5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5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5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5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5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5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5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5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5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5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5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5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5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5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5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5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5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5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5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5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5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5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5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5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5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5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5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5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5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5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5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5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5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5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5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5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5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5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5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5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5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5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5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5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5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5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5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5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5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5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5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5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5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5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5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5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5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5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5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5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5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5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5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5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5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5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5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5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5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5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5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5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5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5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5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5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5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5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5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5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5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5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5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5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5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5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5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5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5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5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5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5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5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5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5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5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5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5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5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5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5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5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5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5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5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5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5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5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5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5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5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5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5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5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5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5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5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5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546875" defaultRowHeight="15" customHeight="1" x14ac:dyDescent="0.25"/>
  <cols>
    <col min="1" max="1" width="4.6640625" customWidth="1"/>
    <col min="2" max="2" width="10.6640625" customWidth="1"/>
    <col min="3" max="3" width="8.6640625" customWidth="1"/>
    <col min="4" max="4" width="12.5546875" customWidth="1"/>
    <col min="5" max="5" width="19" customWidth="1"/>
    <col min="6" max="6" width="6.5546875" customWidth="1"/>
    <col min="7" max="7" width="5.6640625" customWidth="1"/>
    <col min="8" max="8" width="10.6640625" customWidth="1"/>
    <col min="9" max="9" width="7.44140625" customWidth="1"/>
    <col min="10" max="10" width="8" customWidth="1"/>
    <col min="11" max="11" width="16.6640625" customWidth="1"/>
    <col min="12" max="12" width="14.109375" customWidth="1"/>
    <col min="13" max="13" width="11.44140625" customWidth="1"/>
    <col min="14" max="14" width="5.109375" customWidth="1"/>
    <col min="15" max="24" width="11.44140625" customWidth="1"/>
    <col min="25" max="26" width="10" customWidth="1"/>
  </cols>
  <sheetData>
    <row r="1" spans="1:29" ht="12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5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5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5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5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5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5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5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5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5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5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5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5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5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5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5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5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5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5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5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5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5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5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5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5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5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5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5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5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5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5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5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5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5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5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5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5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5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5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5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5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5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5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5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5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5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5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5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5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5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5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5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5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5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5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5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5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5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5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5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5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5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MARIAIGNACIA ANATOLIA RUBILAR HUENCHUMAN</cp:lastModifiedBy>
  <cp:lastPrinted>2025-12-04T15:08:23Z</cp:lastPrinted>
  <dcterms:created xsi:type="dcterms:W3CDTF">2002-03-13T22:45:45Z</dcterms:created>
  <dcterms:modified xsi:type="dcterms:W3CDTF">2026-04-13T19:58:42Z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