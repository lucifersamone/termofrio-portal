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3" documentId="13_ncr:1_{465A150C-4102-49C8-8AC7-81E88B3F6DDE}" xr6:coauthVersionLast="47" xr6:coauthVersionMax="47" xr10:uidLastSave="{5A656160-EAC1-4A9F-BDBE-0BC0E257A09E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<sst xmlns="http://schemas.openxmlformats.org/spreadsheetml/2006/main" count="1757" uniqueCount="244">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</sst>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D1" zoomScaleNormal="100" workbookViewId="0">
      <selection activeCell="D31" sqref="A31:XFD31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46150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63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7.5610810399999995</v>
      </c>
      <c r="P12" s="296">
        <f t="shared" si="0"/>
        <v>30.244324159999998</v>
      </c>
      <c r="Q12" s="617" t="s">
        <v>23</v>
      </c>
      <c r="R12" s="609"/>
      <c r="S12" s="284">
        <f>ROUNDUP(AI49/6,0)</f>
        <v>2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4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4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7.5610810399999995</v>
      </c>
      <c r="P17" s="306">
        <f t="shared" si="1"/>
        <v>30.244324159999998</v>
      </c>
      <c r="Q17" s="617" t="s">
        <v>40</v>
      </c>
      <c r="R17" s="609"/>
      <c r="S17" s="284">
        <f>ROUNDUP(AI49/6,0)</f>
        <v>2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6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3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76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5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5">
        <v>2</v>
      </c>
      <c r="E29" s="596"/>
      <c r="F29" s="592" t="s">
        <v>105</v>
      </c>
      <c r="G29" s="593"/>
      <c r="H29" s="594"/>
      <c r="I29" s="192">
        <v>1</v>
      </c>
      <c r="J29" s="192">
        <v>35</v>
      </c>
      <c r="K29" s="192">
        <v>20</v>
      </c>
      <c r="L29" s="192"/>
      <c r="M29" s="192"/>
      <c r="N29" s="595"/>
      <c r="O29" s="593"/>
      <c r="P29" s="594"/>
      <c r="Q29" s="192"/>
      <c r="R29" s="192"/>
      <c r="S29" s="192">
        <v>0.2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134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4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104</v>
      </c>
      <c r="G30" s="593"/>
      <c r="H30" s="594"/>
      <c r="I30" s="192">
        <v>1</v>
      </c>
      <c r="J30" s="192">
        <v>75</v>
      </c>
      <c r="K30" s="192">
        <v>30</v>
      </c>
      <c r="L30" s="192"/>
      <c r="M30" s="192"/>
      <c r="N30" s="595" t="s">
        <v>159</v>
      </c>
      <c r="O30" s="593"/>
      <c r="P30" s="594"/>
      <c r="Q30" s="192">
        <v>46</v>
      </c>
      <c r="R30" s="192">
        <v>46</v>
      </c>
      <c r="S30" s="192">
        <v>0.38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1.0509999999999999</v>
      </c>
      <c r="AN30" s="290">
        <f t="shared" si="8"/>
        <v>4.2039999999999997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1.0509999999999999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105</v>
      </c>
      <c r="G31" s="593"/>
      <c r="H31" s="594"/>
      <c r="I31" s="192">
        <v>1</v>
      </c>
      <c r="J31" s="192">
        <v>46</v>
      </c>
      <c r="K31" s="192">
        <v>46</v>
      </c>
      <c r="L31" s="192"/>
      <c r="M31" s="192"/>
      <c r="N31" s="595"/>
      <c r="O31" s="593"/>
      <c r="P31" s="594"/>
      <c r="Q31" s="192"/>
      <c r="R31" s="192"/>
      <c r="S31" s="192">
        <v>0.2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134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4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104</v>
      </c>
      <c r="G32" s="593"/>
      <c r="H32" s="594"/>
      <c r="I32" s="192">
        <v>1</v>
      </c>
      <c r="J32" s="192">
        <v>46</v>
      </c>
      <c r="K32" s="192">
        <v>46</v>
      </c>
      <c r="L32" s="192"/>
      <c r="M32" s="192"/>
      <c r="N32" s="595" t="s">
        <v>141</v>
      </c>
      <c r="O32" s="593"/>
      <c r="P32" s="594"/>
      <c r="Q32" s="192">
        <v>65</v>
      </c>
      <c r="R32" s="192">
        <v>35</v>
      </c>
      <c r="S32" s="192">
        <v>0.3</v>
      </c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0.86184000000000016</v>
      </c>
      <c r="AN32" s="290">
        <f t="shared" si="37"/>
        <v>3.4473600000000006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>
        <f t="shared" si="32"/>
        <v>0.86184000000000016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33</v>
      </c>
      <c r="G33" s="593"/>
      <c r="H33" s="594"/>
      <c r="I33" s="192">
        <v>1</v>
      </c>
      <c r="J33" s="192">
        <v>65</v>
      </c>
      <c r="K33" s="192">
        <v>35</v>
      </c>
      <c r="L33" s="192"/>
      <c r="M33" s="192">
        <v>15</v>
      </c>
      <c r="N33" s="595"/>
      <c r="O33" s="593"/>
      <c r="P33" s="594"/>
      <c r="Q33" s="192"/>
      <c r="R33" s="192"/>
      <c r="S33" s="192">
        <v>0.4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1.0571599999999999</v>
      </c>
      <c r="AN33" s="290">
        <f t="shared" si="37"/>
        <v>4.2286399999999995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>
        <f t="shared" si="26"/>
        <v>1.0571599999999999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105</v>
      </c>
      <c r="G34" s="593"/>
      <c r="H34" s="594"/>
      <c r="I34" s="192">
        <v>1</v>
      </c>
      <c r="J34" s="192">
        <v>46</v>
      </c>
      <c r="K34" s="192">
        <v>46</v>
      </c>
      <c r="L34" s="192"/>
      <c r="M34" s="192"/>
      <c r="N34" s="595"/>
      <c r="O34" s="593"/>
      <c r="P34" s="594"/>
      <c r="Q34" s="192"/>
      <c r="R34" s="192"/>
      <c r="S34" s="192">
        <v>0.2</v>
      </c>
      <c r="T34" s="192"/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134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4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104</v>
      </c>
      <c r="G35" s="593"/>
      <c r="H35" s="594"/>
      <c r="I35" s="192">
        <v>1</v>
      </c>
      <c r="J35" s="192">
        <v>46</v>
      </c>
      <c r="K35" s="192">
        <v>46</v>
      </c>
      <c r="L35" s="192"/>
      <c r="M35" s="192"/>
      <c r="N35" s="595" t="s">
        <v>159</v>
      </c>
      <c r="O35" s="593"/>
      <c r="P35" s="594"/>
      <c r="Q35" s="192">
        <v>60</v>
      </c>
      <c r="R35" s="192">
        <v>30</v>
      </c>
      <c r="S35" s="192">
        <v>0.7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136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8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1.6006400000000001</v>
      </c>
      <c r="AN35" s="290">
        <f t="shared" si="37"/>
        <v>6.4025600000000003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>
        <f t="shared" si="32"/>
        <v>1.6006400000000001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98</v>
      </c>
      <c r="G36" s="593"/>
      <c r="H36" s="594"/>
      <c r="I36" s="192">
        <v>1</v>
      </c>
      <c r="J36" s="192">
        <v>60</v>
      </c>
      <c r="K36" s="192">
        <v>30</v>
      </c>
      <c r="L36" s="192"/>
      <c r="M36" s="192"/>
      <c r="N36" s="595"/>
      <c r="O36" s="593"/>
      <c r="P36" s="594"/>
      <c r="Q36" s="192"/>
      <c r="R36" s="192"/>
      <c r="S36" s="192">
        <v>0.9</v>
      </c>
      <c r="T36" s="192"/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136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1.8696599999999999</v>
      </c>
      <c r="AN36" s="290">
        <f t="shared" si="37"/>
        <v>7.4786399999999995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1.8696599999999999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 t="s">
        <v>105</v>
      </c>
      <c r="G37" s="593"/>
      <c r="H37" s="594"/>
      <c r="I37" s="192">
        <v>1</v>
      </c>
      <c r="J37" s="192">
        <v>46</v>
      </c>
      <c r="K37" s="192">
        <v>46</v>
      </c>
      <c r="L37" s="192"/>
      <c r="M37" s="192"/>
      <c r="N37" s="595"/>
      <c r="O37" s="593"/>
      <c r="P37" s="594"/>
      <c r="Q37" s="192"/>
      <c r="R37" s="192"/>
      <c r="S37" s="192">
        <v>0.2</v>
      </c>
      <c r="T37" s="192"/>
      <c r="U37" s="192"/>
      <c r="V37" s="193"/>
      <c r="W37" s="194"/>
      <c r="X37" s="192"/>
      <c r="Y37" s="192"/>
      <c r="Z37" s="195"/>
      <c r="AA37" s="595" t="s">
        <v>136</v>
      </c>
      <c r="AB37" s="594"/>
      <c r="AC37" s="595" t="s">
        <v>134</v>
      </c>
      <c r="AD37" s="594"/>
      <c r="AE37" s="197"/>
      <c r="AF37" s="284">
        <f t="shared" si="2"/>
        <v>1</v>
      </c>
      <c r="AG37" s="285">
        <f t="shared" si="3"/>
        <v>0</v>
      </c>
      <c r="AH37" s="285">
        <f t="shared" si="4"/>
        <v>4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 t="s">
        <v>103</v>
      </c>
      <c r="G38" s="593"/>
      <c r="H38" s="594"/>
      <c r="I38" s="192">
        <v>1</v>
      </c>
      <c r="J38" s="192">
        <v>46</v>
      </c>
      <c r="K38" s="192">
        <v>46</v>
      </c>
      <c r="L38" s="192"/>
      <c r="M38" s="192"/>
      <c r="N38" s="595" t="s">
        <v>159</v>
      </c>
      <c r="O38" s="593"/>
      <c r="P38" s="594"/>
      <c r="Q38" s="192">
        <v>60</v>
      </c>
      <c r="R38" s="192">
        <v>30</v>
      </c>
      <c r="S38" s="192">
        <v>0.4</v>
      </c>
      <c r="T38" s="192"/>
      <c r="U38" s="192"/>
      <c r="V38" s="193"/>
      <c r="W38" s="194"/>
      <c r="X38" s="192"/>
      <c r="Y38" s="192"/>
      <c r="Z38" s="195"/>
      <c r="AA38" s="595" t="s">
        <v>136</v>
      </c>
      <c r="AB38" s="594"/>
      <c r="AC38" s="595" t="s">
        <v>136</v>
      </c>
      <c r="AD38" s="594"/>
      <c r="AE38" s="197"/>
      <c r="AF38" s="284">
        <f t="shared" si="2"/>
        <v>1</v>
      </c>
      <c r="AG38" s="285">
        <f t="shared" si="3"/>
        <v>0</v>
      </c>
      <c r="AH38" s="285">
        <f t="shared" si="4"/>
        <v>8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0.46162104000000004</v>
      </c>
      <c r="AN38" s="290">
        <f t="shared" si="37"/>
        <v>1.8464841600000002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>
        <f t="shared" si="31"/>
        <v>0.46162104000000004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 t="s">
        <v>108</v>
      </c>
      <c r="G39" s="593"/>
      <c r="H39" s="594"/>
      <c r="I39" s="192">
        <v>1</v>
      </c>
      <c r="J39" s="192">
        <v>35</v>
      </c>
      <c r="K39" s="192">
        <v>20</v>
      </c>
      <c r="L39" s="192"/>
      <c r="M39" s="192"/>
      <c r="N39" s="595"/>
      <c r="O39" s="593"/>
      <c r="P39" s="594"/>
      <c r="Q39" s="192"/>
      <c r="R39" s="192"/>
      <c r="S39" s="192">
        <v>0.2</v>
      </c>
      <c r="T39" s="192"/>
      <c r="U39" s="192"/>
      <c r="V39" s="193"/>
      <c r="W39" s="194"/>
      <c r="X39" s="192"/>
      <c r="Y39" s="192"/>
      <c r="Z39" s="195"/>
      <c r="AA39" s="595" t="s">
        <v>136</v>
      </c>
      <c r="AB39" s="594"/>
      <c r="AC39" s="595" t="s">
        <v>151</v>
      </c>
      <c r="AD39" s="594"/>
      <c r="AE39" s="197"/>
      <c r="AF39" s="284">
        <f t="shared" si="2"/>
        <v>1</v>
      </c>
      <c r="AG39" s="285">
        <f t="shared" si="3"/>
        <v>0</v>
      </c>
      <c r="AH39" s="285">
        <f t="shared" si="4"/>
        <v>4</v>
      </c>
      <c r="AI39" s="286">
        <f t="shared" si="5"/>
        <v>0</v>
      </c>
      <c r="AJ39" s="287">
        <f t="shared" si="36"/>
        <v>0.5</v>
      </c>
      <c r="AK39" s="288"/>
      <c r="AL39" s="289">
        <f t="shared" si="6"/>
        <v>0.5</v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 t="s">
        <v>96</v>
      </c>
      <c r="G40" s="593"/>
      <c r="H40" s="594"/>
      <c r="I40" s="192">
        <v>1</v>
      </c>
      <c r="J40" s="192">
        <v>35</v>
      </c>
      <c r="K40" s="192">
        <v>20</v>
      </c>
      <c r="L40" s="192"/>
      <c r="M40" s="192"/>
      <c r="N40" s="595"/>
      <c r="O40" s="593"/>
      <c r="P40" s="594"/>
      <c r="Q40" s="192"/>
      <c r="R40" s="192"/>
      <c r="S40" s="192">
        <v>0.4</v>
      </c>
      <c r="T40" s="192"/>
      <c r="U40" s="192"/>
      <c r="V40" s="193"/>
      <c r="W40" s="194"/>
      <c r="X40" s="192"/>
      <c r="Y40" s="192"/>
      <c r="Z40" s="195"/>
      <c r="AA40" s="595" t="s">
        <v>136</v>
      </c>
      <c r="AB40" s="594"/>
      <c r="AC40" s="595" t="s">
        <v>136</v>
      </c>
      <c r="AD40" s="594"/>
      <c r="AE40" s="197"/>
      <c r="AF40" s="284">
        <f t="shared" si="2"/>
        <v>1</v>
      </c>
      <c r="AG40" s="285">
        <f t="shared" si="3"/>
        <v>0</v>
      </c>
      <c r="AH40" s="285">
        <f t="shared" si="4"/>
        <v>8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0.65915999999999997</v>
      </c>
      <c r="AN40" s="290">
        <f t="shared" si="37"/>
        <v>2.6366399999999999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>
        <f t="shared" si="21"/>
        <v>0.65915999999999997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12</v>
      </c>
      <c r="AG49" s="203"/>
      <c r="AH49" s="204">
        <f>SUM(AH29:AH48)</f>
        <v>68</v>
      </c>
      <c r="AI49" s="204">
        <f>SUM(AI29:AI48)</f>
        <v>8</v>
      </c>
      <c r="AJ49" s="205"/>
      <c r="AK49" s="205"/>
      <c r="AL49" s="206"/>
      <c r="AM49" s="207">
        <f>SUM(AM29:AM48)</f>
        <v>7.5610810399999995</v>
      </c>
      <c r="AN49" s="208">
        <f>SUM(AN29:AN48)</f>
        <v>30.244324159999998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46150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46150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63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46157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30.244324159999998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30.244324159999998</v>
      </c>
      <c r="AH8" s="538"/>
      <c r="AI8" s="533">
        <f>+'Diseño 1"'!AM49</f>
        <v>7.5610810399999995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>
        <f>IF('Diseño 1"'!D29="","",'Diseño 1"'!D29)</f>
        <v>2</v>
      </c>
      <c r="H12" s="694"/>
      <c r="I12" s="693" t="str">
        <f>IF('Diseño 1"'!F29="","",'Diseño 1"'!F29)</f>
        <v>Unión c/ Lona</v>
      </c>
      <c r="J12" s="694"/>
      <c r="K12" s="248">
        <f>IF(I12="","",'Diseño 1"'!I29)</f>
        <v>1</v>
      </c>
      <c r="L12" s="242">
        <f>IF('Diseño 1"'!J29="","",'Diseño 1"'!J29)</f>
        <v>35</v>
      </c>
      <c r="M12" s="242">
        <f>IF('Diseño 1"'!K29="","",'Diseño 1"'!K29)</f>
        <v>20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0.2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Pestaña 30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Transformación</v>
      </c>
      <c r="J13" s="651"/>
      <c r="K13" s="20">
        <f>IF(I13="","",'Diseño 1"'!I30)</f>
        <v>1</v>
      </c>
      <c r="L13" s="17">
        <f>IF('Diseño 1"'!J30="","",'Diseño 1"'!J30)</f>
        <v>75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>Simétrica - Sup. Pareja</v>
      </c>
      <c r="Q13" s="651"/>
      <c r="R13" s="17">
        <f>IF('Diseño 1"'!Q30="","",'Diseño 1"'!Q30)</f>
        <v>46</v>
      </c>
      <c r="S13" s="17">
        <f>IF('Diseño 1"'!R30="","",'Diseño 1"'!R30)</f>
        <v>46</v>
      </c>
      <c r="T13" s="242">
        <f>IF('Diseño 1"'!S30="","",'Diseño 1"'!S30)</f>
        <v>0.38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4.2039999999999997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Unión c/ Lona</v>
      </c>
      <c r="J14" s="651"/>
      <c r="K14" s="20">
        <f>IF(I14="","",'Diseño 1"'!I31)</f>
        <v>1</v>
      </c>
      <c r="L14" s="17">
        <f>IF('Diseño 1"'!J31="","",'Diseño 1"'!J31)</f>
        <v>46</v>
      </c>
      <c r="M14" s="17">
        <f>IF('Diseño 1"'!K31="","",'Diseño 1"'!K31)</f>
        <v>46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Pestaña 30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Transformación</v>
      </c>
      <c r="J15" s="651"/>
      <c r="K15" s="20">
        <f>IF(I15="","",'Diseño 1"'!I32)</f>
        <v>1</v>
      </c>
      <c r="L15" s="17">
        <f>IF('Diseño 1"'!J32="","",'Diseño 1"'!J32)</f>
        <v>46</v>
      </c>
      <c r="M15" s="17">
        <f>IF('Diseño 1"'!K32="","",'Diseño 1"'!K32)</f>
        <v>46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>Pareja Der. - Simétrica</v>
      </c>
      <c r="Q15" s="651"/>
      <c r="R15" s="17">
        <f>IF('Diseño 1"'!Q32="","",'Diseño 1"'!Q32)</f>
        <v>65</v>
      </c>
      <c r="S15" s="17">
        <f>IF('Diseño 1"'!R32="","",'Diseño 1"'!R32)</f>
        <v>35</v>
      </c>
      <c r="T15" s="242">
        <f>IF('Diseño 1"'!S32="","",'Diseño 1"'!S32)</f>
        <v>0.3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3.4473600000000006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S</v>
      </c>
      <c r="J16" s="651"/>
      <c r="K16" s="20">
        <f>IF(I16="","",'Diseño 1"'!I33)</f>
        <v>1</v>
      </c>
      <c r="L16" s="17">
        <f>IF('Diseño 1"'!J33="","",'Diseño 1"'!J33)</f>
        <v>65</v>
      </c>
      <c r="M16" s="17">
        <f>IF('Diseño 1"'!K33="","",'Diseño 1"'!K33)</f>
        <v>35</v>
      </c>
      <c r="N16" s="17">
        <f>'Diseño 1"'!L33</f>
        <v>0</v>
      </c>
      <c r="O16" s="17">
        <f>IF('Diseño 1"'!M33="","",'Diseño 1"'!M33)</f>
        <v>15</v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0.4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4.2286399999999995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Unión c/ Lona</v>
      </c>
      <c r="J17" s="651"/>
      <c r="K17" s="20">
        <f>IF(I17="","",'Diseño 1"'!I34)</f>
        <v>1</v>
      </c>
      <c r="L17" s="17">
        <f>IF('Diseño 1"'!J34="","",'Diseño 1"'!J34)</f>
        <v>46</v>
      </c>
      <c r="M17" s="17">
        <f>IF('Diseño 1"'!K34="","",'Diseño 1"'!K34)</f>
        <v>46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0.2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Pestaña 30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Transformación</v>
      </c>
      <c r="J18" s="651"/>
      <c r="K18" s="20">
        <f>IF(I18="","",'Diseño 1"'!I35)</f>
        <v>1</v>
      </c>
      <c r="L18" s="17">
        <f>IF('Diseño 1"'!J35="","",'Diseño 1"'!J35)</f>
        <v>46</v>
      </c>
      <c r="M18" s="17">
        <f>IF('Diseño 1"'!K35="","",'Diseño 1"'!K35)</f>
        <v>46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>Simétrica - Sup. Pareja</v>
      </c>
      <c r="Q18" s="651"/>
      <c r="R18" s="17">
        <f>IF('Diseño 1"'!Q35="","",'Diseño 1"'!Q35)</f>
        <v>60</v>
      </c>
      <c r="S18" s="17">
        <f>IF('Diseño 1"'!R35="","",'Diseño 1"'!R35)</f>
        <v>30</v>
      </c>
      <c r="T18" s="242">
        <f>IF('Diseño 1"'!S35="","",'Diseño 1"'!S35)</f>
        <v>0.7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TDF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6.4025600000000003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Ducto Recto</v>
      </c>
      <c r="J19" s="651"/>
      <c r="K19" s="20">
        <f>IF(I19="","",'Diseño 1"'!I36)</f>
        <v>1</v>
      </c>
      <c r="L19" s="17">
        <f>IF('Diseño 1"'!J36="","",'Diseño 1"'!J36)</f>
        <v>60</v>
      </c>
      <c r="M19" s="17">
        <f>IF('Diseño 1"'!K36="","",'Diseño 1"'!K36)</f>
        <v>30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0.9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TDF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7.4786399999999995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>Unión c/ Lona</v>
      </c>
      <c r="J20" s="651"/>
      <c r="K20" s="20">
        <f>IF(I20="","",'Diseño 1"'!I37)</f>
        <v>1</v>
      </c>
      <c r="L20" s="17">
        <f>IF('Diseño 1"'!J37="","",'Diseño 1"'!J37)</f>
        <v>46</v>
      </c>
      <c r="M20" s="17">
        <f>IF('Diseño 1"'!K37="","",'Diseño 1"'!K37)</f>
        <v>46</v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0.2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>TDF</v>
      </c>
      <c r="Z20" s="650"/>
      <c r="AA20" s="649" t="str">
        <f>IF('Diseño 1"'!AC37="","",'Diseño 1"'!AC37)</f>
        <v>Pestaña 30</v>
      </c>
      <c r="AB20" s="650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>Transf. Red - Cuad</v>
      </c>
      <c r="J21" s="651"/>
      <c r="K21" s="20">
        <f>IF(I21="","",'Diseño 1"'!I38)</f>
        <v>1</v>
      </c>
      <c r="L21" s="17">
        <f>IF('Diseño 1"'!J38="","",'Diseño 1"'!J38)</f>
        <v>46</v>
      </c>
      <c r="M21" s="17">
        <f>IF('Diseño 1"'!K38="","",'Diseño 1"'!K38)</f>
        <v>46</v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>Simétrica - Sup. Pareja</v>
      </c>
      <c r="Q21" s="651"/>
      <c r="R21" s="17">
        <f>IF('Diseño 1"'!Q38="","",'Diseño 1"'!Q38)</f>
        <v>60</v>
      </c>
      <c r="S21" s="17">
        <f>IF('Diseño 1"'!R38="","",'Diseño 1"'!R38)</f>
        <v>30</v>
      </c>
      <c r="T21" s="242">
        <f>IF('Diseño 1"'!S38="","",'Diseño 1"'!S38)</f>
        <v>0.4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>TDF</v>
      </c>
      <c r="Z21" s="650"/>
      <c r="AA21" s="649" t="str">
        <f>IF('Diseño 1"'!AC38="","",'Diseño 1"'!AC38)</f>
        <v>TDF</v>
      </c>
      <c r="AB21" s="650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1.8464841600000002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>Zapato s/ Templador</v>
      </c>
      <c r="J22" s="651"/>
      <c r="K22" s="20">
        <f>IF(I22="","",'Diseño 1"'!I39)</f>
        <v>1</v>
      </c>
      <c r="L22" s="17">
        <f>IF('Diseño 1"'!J39="","",'Diseño 1"'!J39)</f>
        <v>35</v>
      </c>
      <c r="M22" s="17">
        <f>IF('Diseño 1"'!K39="","",'Diseño 1"'!K39)</f>
        <v>20</v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0.2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>TDF</v>
      </c>
      <c r="Z22" s="650"/>
      <c r="AA22" s="649" t="str">
        <f>IF('Diseño 1"'!AC39="","",'Diseño 1"'!AC39)</f>
        <v>Triple 50</v>
      </c>
      <c r="AB22" s="650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>Ducto c/ Templador</v>
      </c>
      <c r="J23" s="651"/>
      <c r="K23" s="20">
        <f>IF(I23="","",'Diseño 1"'!I40)</f>
        <v>1</v>
      </c>
      <c r="L23" s="17">
        <f>IF('Diseño 1"'!J40="","",'Diseño 1"'!J40)</f>
        <v>35</v>
      </c>
      <c r="M23" s="17">
        <f>IF('Diseño 1"'!K40="","",'Diseño 1"'!K40)</f>
        <v>20</v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>
        <f>IF('Diseño 1"'!S40="","",'Diseño 1"'!S40)</f>
        <v>0.4</v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>TDF</v>
      </c>
      <c r="Z23" s="650"/>
      <c r="AA23" s="649" t="str">
        <f>IF('Diseño 1"'!AC40="","",'Diseño 1"'!AC40)</f>
        <v>TDF</v>
      </c>
      <c r="AB23" s="650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2.6366399999999999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30.244324159999998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30.244324159999998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2026-05-11T12:48:10Z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