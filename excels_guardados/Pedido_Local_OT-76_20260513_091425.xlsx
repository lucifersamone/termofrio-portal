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" documentId="8_{57940F8A-3C2A-40D3-AB86-B856976C6C37}" xr6:coauthVersionLast="47" xr6:coauthVersionMax="47" xr10:uidLastSave="{A1EBE228-01B4-48CB-9734-8058EC5F2F4D}"/>
  <bookViews>
    <workbookView xWindow="5790" yWindow="2670" windowWidth="21600" windowHeight="11295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4" i="8"/>
  <c r="AF17" i="9" s="1"/>
  <c r="AN33" i="8"/>
  <c r="AF16" i="9" s="1"/>
  <c r="AN32" i="8"/>
  <c r="AF15" i="9" s="1"/>
  <c r="AF49" i="8"/>
  <c r="AI29" i="8"/>
  <c r="AH29" i="8"/>
  <c r="AH49" i="8" s="1"/>
  <c r="O13" i="8"/>
  <c r="AN47" i="8"/>
  <c r="AF30" i="9" s="1"/>
  <c r="AN35" i="8" l="1"/>
  <c r="AF18" i="9" s="1"/>
  <c r="AN36" i="8"/>
  <c r="AF19" i="9" s="1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M41" i="3" s="1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M38" i="3" s="1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AM42" i="3" s="1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AM43" i="3" s="1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AM44" i="3" s="1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AM45" i="3" s="1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AM46" i="3" s="1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F35" i="3"/>
  <c r="AH35" i="3" s="1"/>
  <c r="AG35" i="3"/>
  <c r="AL35" i="3"/>
  <c r="AJ35" i="3" s="1"/>
  <c r="AE18" i="4" s="1"/>
  <c r="AF36" i="3"/>
  <c r="AH36" i="3" s="1"/>
  <c r="AG36" i="3"/>
  <c r="AI36" i="3"/>
  <c r="AL36" i="3"/>
  <c r="AJ36" i="3" s="1"/>
  <c r="AE19" i="4" s="1"/>
  <c r="AF37" i="3"/>
  <c r="AH37" i="3" s="1"/>
  <c r="AG37" i="3"/>
  <c r="AI37" i="3"/>
  <c r="AL37" i="3"/>
  <c r="AJ37" i="3" s="1"/>
  <c r="AE20" i="4" s="1"/>
  <c r="AF38" i="3"/>
  <c r="AH38" i="3" s="1"/>
  <c r="AG38" i="3"/>
  <c r="AI38" i="3"/>
  <c r="AL38" i="3"/>
  <c r="AJ38" i="3" s="1"/>
  <c r="AE21" i="4" s="1"/>
  <c r="AF39" i="3"/>
  <c r="AH39" i="3" s="1"/>
  <c r="AG39" i="3"/>
  <c r="AI39" i="3"/>
  <c r="AL39" i="3"/>
  <c r="AJ39" i="3" s="1"/>
  <c r="AE22" i="4" s="1"/>
  <c r="AM39" i="3"/>
  <c r="AG40" i="3"/>
  <c r="AF40" i="3" s="1"/>
  <c r="AH40" i="3" s="1"/>
  <c r="AL40" i="3"/>
  <c r="AJ40" i="3" s="1"/>
  <c r="AE23" i="4" s="1"/>
  <c r="AF41" i="3"/>
  <c r="AH41" i="3" s="1"/>
  <c r="AG41" i="3"/>
  <c r="AI41" i="3"/>
  <c r="AL41" i="3"/>
  <c r="AJ41" i="3" s="1"/>
  <c r="AE24" i="4" s="1"/>
  <c r="AF42" i="3"/>
  <c r="AH42" i="3" s="1"/>
  <c r="AG42" i="3"/>
  <c r="AI42" i="3"/>
  <c r="AL42" i="3"/>
  <c r="AJ42" i="3" s="1"/>
  <c r="AE25" i="4" s="1"/>
  <c r="AF43" i="3"/>
  <c r="AH43" i="3" s="1"/>
  <c r="AG43" i="3"/>
  <c r="AI43" i="3"/>
  <c r="AL43" i="3"/>
  <c r="AJ43" i="3" s="1"/>
  <c r="AE26" i="4" s="1"/>
  <c r="AF44" i="3"/>
  <c r="AH44" i="3" s="1"/>
  <c r="AG44" i="3"/>
  <c r="AI44" i="3"/>
  <c r="AL44" i="3"/>
  <c r="AJ44" i="3" s="1"/>
  <c r="AE27" i="4" s="1"/>
  <c r="AF45" i="3"/>
  <c r="AH45" i="3" s="1"/>
  <c r="AG45" i="3"/>
  <c r="AI45" i="3"/>
  <c r="AL45" i="3"/>
  <c r="AJ45" i="3" s="1"/>
  <c r="AE28" i="4" s="1"/>
  <c r="AF46" i="3"/>
  <c r="AH46" i="3" s="1"/>
  <c r="AG46" i="3"/>
  <c r="AI46" i="3"/>
  <c r="AL46" i="3"/>
  <c r="AJ46" i="3" s="1"/>
  <c r="AE29" i="4" s="1"/>
  <c r="AN52" i="3"/>
  <c r="AN51" i="3"/>
  <c r="AM37" i="3" l="1"/>
  <c r="AN37" i="3" s="1"/>
  <c r="AG20" i="4" s="1"/>
  <c r="AM31" i="3"/>
  <c r="AN31" i="3" s="1"/>
  <c r="AG14" i="4" s="1"/>
  <c r="AI40" i="3"/>
  <c r="AM36" i="3"/>
  <c r="AN36" i="3" s="1"/>
  <c r="AG19" i="4" s="1"/>
  <c r="AM35" i="3"/>
  <c r="AN35" i="3" s="1"/>
  <c r="AG18" i="4" s="1"/>
  <c r="AI35" i="3"/>
  <c r="AM34" i="3"/>
  <c r="AN34" i="3" s="1"/>
  <c r="AG17" i="4" s="1"/>
  <c r="AH33" i="3"/>
  <c r="AM32" i="3"/>
  <c r="AN32" i="3" s="1"/>
  <c r="AG15" i="4" s="1"/>
  <c r="AH31" i="3"/>
  <c r="AH34" i="3"/>
  <c r="AN46" i="3"/>
  <c r="AG29" i="4" s="1"/>
  <c r="AH32" i="3"/>
  <c r="AM33" i="3"/>
  <c r="AN33" i="3" s="1"/>
  <c r="AG16" i="4" s="1"/>
  <c r="AM40" i="3"/>
  <c r="AN40" i="3" s="1"/>
  <c r="AG23" i="4" s="1"/>
  <c r="AN44" i="3"/>
  <c r="AG27" i="4" s="1"/>
  <c r="AN42" i="3"/>
  <c r="AG25" i="4" s="1"/>
  <c r="AN43" i="3"/>
  <c r="AG26" i="4" s="1"/>
  <c r="AN39" i="3"/>
  <c r="AG22" i="4" s="1"/>
  <c r="AN45" i="3"/>
  <c r="AG28" i="4" s="1"/>
  <c r="AN41" i="3"/>
  <c r="AG24" i="4" s="1"/>
  <c r="AN38" i="3"/>
  <c r="AG21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J28" i="6"/>
  <c r="H31" i="6"/>
  <c r="J31" i="6" s="1"/>
  <c r="H26" i="6"/>
  <c r="J26" i="6" s="1"/>
  <c r="H27" i="6"/>
  <c r="J27" i="6" s="1"/>
  <c r="H28" i="6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S24" i="5" s="1"/>
  <c r="S25" i="5" s="1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L48" i="5"/>
  <c r="AJ48" i="5" s="1"/>
  <c r="AD31" i="6" s="1"/>
  <c r="AI48" i="5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M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L46" i="5"/>
  <c r="AJ46" i="5" s="1"/>
  <c r="AD29" i="6" s="1"/>
  <c r="AI46" i="5"/>
  <c r="AG46" i="5"/>
  <c r="AF46" i="5"/>
  <c r="AH46" i="5" s="1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L45" i="5"/>
  <c r="AJ45" i="5" s="1"/>
  <c r="AD28" i="6" s="1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M44" i="5"/>
  <c r="AL44" i="5"/>
  <c r="AJ44" i="5" s="1"/>
  <c r="AD27" i="6" s="1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L43" i="5"/>
  <c r="AJ43" i="5" s="1"/>
  <c r="AD26" i="6" s="1"/>
  <c r="AI43" i="5"/>
  <c r="AG43" i="5"/>
  <c r="AF43" i="5"/>
  <c r="AC31" i="6" s="1"/>
  <c r="BO42" i="5"/>
  <c r="BN42" i="5"/>
  <c r="BM42" i="5"/>
  <c r="AM42" i="5" s="1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M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I40" i="5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 s="1"/>
  <c r="AS38" i="5"/>
  <c r="AR38" i="5"/>
  <c r="AQ38" i="5"/>
  <c r="AP38" i="5"/>
  <c r="AL38" i="5"/>
  <c r="AJ38" i="5" s="1"/>
  <c r="AD21" i="6" s="1"/>
  <c r="AI38" i="5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M37" i="5"/>
  <c r="AL37" i="5"/>
  <c r="AJ37" i="5" s="1"/>
  <c r="AD20" i="6" s="1"/>
  <c r="AI37" i="5"/>
  <c r="AG37" i="5"/>
  <c r="AF37" i="5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M36" i="5" s="1"/>
  <c r="AP36" i="5"/>
  <c r="AL36" i="5"/>
  <c r="AJ36" i="5" s="1"/>
  <c r="AD19" i="6" s="1"/>
  <c r="AI36" i="5"/>
  <c r="AG36" i="5"/>
  <c r="AF36" i="5"/>
  <c r="AC19" i="6" s="1"/>
  <c r="BO35" i="5"/>
  <c r="BN35" i="5"/>
  <c r="BM35" i="5"/>
  <c r="BK35" i="5"/>
  <c r="AM35" i="5" s="1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I35" i="5"/>
  <c r="AG35" i="5"/>
  <c r="AF35" i="5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M34" i="5"/>
  <c r="AL34" i="5"/>
  <c r="AJ34" i="5" s="1"/>
  <c r="AD17" i="6" s="1"/>
  <c r="AI34" i="5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I32" i="5"/>
  <c r="AG32" i="5"/>
  <c r="AF32" i="5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I30" i="5"/>
  <c r="AG30" i="5"/>
  <c r="AF30" i="5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I48" i="3"/>
  <c r="AG48" i="3"/>
  <c r="AF48" i="3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N47" i="5" l="1"/>
  <c r="AF30" i="6" s="1"/>
  <c r="AM30" i="3"/>
  <c r="AN30" i="3" s="1"/>
  <c r="AG13" i="4" s="1"/>
  <c r="AH40" i="5"/>
  <c r="AN38" i="5"/>
  <c r="AF21" i="6" s="1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6" i="5"/>
  <c r="AF29" i="6" s="1"/>
  <c r="AN42" i="5"/>
  <c r="AF25" i="6" s="1"/>
  <c r="AN44" i="5"/>
  <c r="AF27" i="6" s="1"/>
  <c r="AN39" i="5"/>
  <c r="AF22" i="6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36" i="5"/>
  <c r="AF19" i="6" s="1"/>
  <c r="AN40" i="5"/>
  <c r="AF23" i="6" s="1"/>
  <c r="AH29" i="5"/>
  <c r="AH34" i="5"/>
  <c r="AN34" i="5"/>
  <c r="AF17" i="6" s="1"/>
  <c r="AH36" i="5"/>
  <c r="AH42" i="5"/>
  <c r="AN35" i="5"/>
  <c r="AF18" i="6" s="1"/>
  <c r="AH30" i="5"/>
  <c r="P15" i="3"/>
  <c r="O15" i="3"/>
  <c r="AF49" i="3"/>
  <c r="AD12" i="4"/>
  <c r="O16" i="3"/>
  <c r="AH29" i="3"/>
  <c r="AN43" i="5"/>
  <c r="AF26" i="6" s="1"/>
  <c r="P16" i="3"/>
  <c r="AH47" i="3"/>
  <c r="AE12" i="4"/>
  <c r="P11" i="5"/>
  <c r="O16" i="5"/>
  <c r="AC22" i="6"/>
  <c r="AH39" i="5"/>
  <c r="AN45" i="5"/>
  <c r="AF28" i="6" s="1"/>
  <c r="O11" i="3"/>
  <c r="AN41" i="5"/>
  <c r="AF24" i="6" s="1"/>
  <c r="P11" i="3"/>
  <c r="AN48" i="3"/>
  <c r="AG31" i="4" s="1"/>
  <c r="AC14" i="6"/>
  <c r="AH31" i="5"/>
  <c r="AN37" i="5"/>
  <c r="AF20" i="6" s="1"/>
  <c r="AC18" i="6"/>
  <c r="AH35" i="5"/>
  <c r="AD26" i="4"/>
  <c r="P16" i="5"/>
  <c r="AD12" i="6"/>
  <c r="O11" i="5"/>
  <c r="AN48" i="5"/>
  <c r="AF31" i="6" s="1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S18" i="5"/>
  <c r="S15" i="5"/>
  <c r="S19" i="5"/>
  <c r="AH49" i="5"/>
  <c r="S20" i="5" s="1"/>
  <c r="S21" i="5" s="1"/>
  <c r="AH49" i="3"/>
  <c r="AG8" i="4" l="1"/>
  <c r="S16" i="5"/>
  <c r="Z8" i="6"/>
  <c r="S12" i="5"/>
  <c r="S14" i="5" s="1"/>
  <c r="O17" i="3"/>
  <c r="O17" i="5"/>
  <c r="AF12" i="6"/>
  <c r="Y8" i="6"/>
  <c r="AF8" i="6" s="1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P17" i="5" l="1"/>
</calcChain>
</file>

<file path=xl/sharedStrings.xml><?xml version="1.0" encoding="utf-8"?>
<sst xmlns="http://schemas.openxmlformats.org/spreadsheetml/2006/main" count="1718" uniqueCount="243">
  <si>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</si>
  <si>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</si>
  <si>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</si>
  <si>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</si>
  <si>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</si>
  <si>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</si>
  <si>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</si>
  <si>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</si>
  <si>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</si>
  <si>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</si>
  <si>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</si>
  <si>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</si>
  <si>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</si>
  <si>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</si>
  <si>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</si>
  <si>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</si>
  <si>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</si>
  <si>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</si>
  <si>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</si>
  <si>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</si>
  <si>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</si>
  <si>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</si>
  <si>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</si>
  <si>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</si>
  <si>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</si>
  <si>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</si>
  <si>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</si>
  <si>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</si>
  <si>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</si>
  <si>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</si>
  <si>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</si>
  <si>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</si>
  <si>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</si>
  <si>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</si>
  <si>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</si>
  <si>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</si>
  <si>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</si>
  <si>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</si>
  <si>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</si>
  <si>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</si>
  <si>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</si>
  <si>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</si>
  <si>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</si>
  <si>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</si>
  <si>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</si>
  <si>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</si>
  <si>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</si>
  <si>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</si>
  <si>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</si>
  <si>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</si>
  <si>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</si>
  <si>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</si>
  <si>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</si>
  <si>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</si>
  <si>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</si>
  <si>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</si>
  <si>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</si>
  <si>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</si>
  <si>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</si>
  <si>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</si>
  <si>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</si>
  <si>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</si>
  <si>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</si>
  <si>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</si>
  <si>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</si>
  <si>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</si>
  <si>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</si>
  <si>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</si>
  <si>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</si>
  <si>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</si>
  <si>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</si>
  <si>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</si>
  <si>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</si>
  <si>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</si>
  <si>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</si>
  <si>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</si>
  <si>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</si>
  <si>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</si>
  <si>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</si>
  <si>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</si>
  <si>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</si>
  <si>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</si>
  <si>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</si>
  <si>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</si>
  <si>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</si>
  <si>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</si>
  <si>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</si>
  <si>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</si>
  <si>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</si>
  <si>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</si>
  <si>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</si>
  <si>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</si>
  <si>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</si>
  <si>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</si>
  <si>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</si>
  <si>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</si>
  <si>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</si>
  <si>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</si>
  <si>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</si>
  <si>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</si>
  <si>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</si>
  <si>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</si>
  <si>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</si>
  <si>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</si>
  <si>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</si>
  <si>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</si>
  <si>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</si>
  <si>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</si>
  <si>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</si>
  <si>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</si>
  <si>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</si>
  <si>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</si>
  <si>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</si>
  <si>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</si>
  <si>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</si>
  <si>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</si>
  <si>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</si>
  <si>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</si>
  <si>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</si>
  <si>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</si>
  <si>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</si>
  <si>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</si>
  <si>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</si>
  <si>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</si>
  <si>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</si>
  <si>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</si>
  <si>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</si>
  <si>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</si>
  <si>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</si>
  <si>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</si>
  <si>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</si>
  <si>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</si>
  <si>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</si>
  <si>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</si>
  <si>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</si>
  <si>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</si>
  <si>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</si>
  <si>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</si>
  <si>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</si>
  <si>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</si>
  <si>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</si>
  <si>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</si>
  <si>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</si>
  <si>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</si>
  <si>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</si>
  <si>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</si>
  <si>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</si>
  <si>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</si>
  <si>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</si>
  <si>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</si>
  <si>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</si>
  <si>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</si>
  <si>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</si>
  <si>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</si>
  <si>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</si>
  <si>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</si>
  <si>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</si>
  <si>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</si>
  <si>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</si>
  <si>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</si>
  <si>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</si>
  <si>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</si>
  <si>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</si>
  <si>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</si>
  <si>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</si>
  <si>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</si>
  <si>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</si>
  <si>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</si>
  <si>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</si>
  <si>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</si>
  <si>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</si>
  <si>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</si>
  <si>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</si>
  <si>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</si>
  <si>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</si>
  <si>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</si>
  <si>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</si>
  <si>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</si>
  <si>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</si>
  <si>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</si>
  <si>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</si>
  <si>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</si>
  <si>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</si>
  <si>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</si>
  <si>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</si>
  <si>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</si>
  <si>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</si>
  <si>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</si>
  <si>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</si>
  <si>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</si>
  <si>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</si>
  <si>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</si>
  <si>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</si>
  <si>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</si>
  <si>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</si>
  <si>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</si>
  <si>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</si>
  <si>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</si>
  <si>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</si>
  <si>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</si>
  <si>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</si>
  <si>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</si>
  <si>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</si>
  <si>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</si>
  <si>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</si>
  <si>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</si>
  <si>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</si>
  <si>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</si>
  <si>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</si>
  <si>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</si>
  <si>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</si>
  <si>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</si>
  <si>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</si>
  <si>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</si>
  <si>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</si>
  <si>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</si>
  <si>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</si>
  <si>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</si>
  <si>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</si>
  <si>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</si>
  <si>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</si>
  <si>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</si>
  <si>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</si>
  <si>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</si>
  <si>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</si>
  <si>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</si>
  <si>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</si>
  <si>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</si>
  <si>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</si>
  <si>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</si>
  <si>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</si>
  <si>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</si>
  <si>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</si>
  <si>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</si>
  <si>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</si>
  <si>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</si>
  <si>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</si>
  <si>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</si>
  <si>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</si>
  <si>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</si>
  <si>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</si>
  <si>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 xml:space="preserve">Jose Hidalgo </t>
  </si>
  <si>
    <t>Con aislacion interior, cambio ducto abollado observado por 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</si>
</sst>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35428" y="4817993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54798" y="4789418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90363" y="4817993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7735" y="4765431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61972" y="4736856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600104" y="4765431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="92" zoomScaleNormal="70" workbookViewId="0">
      <selection activeCell="D8" sqref="D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46155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>
        <v>13655</v>
      </c>
      <c r="E6" s="139"/>
      <c r="F6" s="139"/>
      <c r="G6" s="139"/>
      <c r="H6" s="603" t="s">
        <v>8</v>
      </c>
      <c r="I6" s="593"/>
      <c r="J6" s="604"/>
      <c r="K6" s="231">
        <v>46155</v>
      </c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76</v>
      </c>
      <c r="E7" s="139"/>
      <c r="F7" s="139"/>
      <c r="G7" s="126"/>
      <c r="H7" s="603" t="s">
        <v>239</v>
      </c>
      <c r="I7" s="593"/>
      <c r="J7" s="604"/>
      <c r="K7" s="245" t="s">
        <v>241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5.2501788276328627</v>
      </c>
      <c r="P12" s="296">
        <f t="shared" si="0"/>
        <v>21.000715310531451</v>
      </c>
      <c r="Q12" s="617" t="s">
        <v>23</v>
      </c>
      <c r="R12" s="609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242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5.2501788276328627</v>
      </c>
      <c r="P17" s="306">
        <f t="shared" si="1"/>
        <v>21.000715310531451</v>
      </c>
      <c r="Q17" s="617" t="s">
        <v>40</v>
      </c>
      <c r="R17" s="609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595"/>
      <c r="E29" s="596"/>
      <c r="F29" s="592" t="s">
        <v>86</v>
      </c>
      <c r="G29" s="593"/>
      <c r="H29" s="594"/>
      <c r="I29" s="192">
        <v>5</v>
      </c>
      <c r="J29" s="192">
        <v>45</v>
      </c>
      <c r="K29" s="192">
        <v>45</v>
      </c>
      <c r="L29" s="192"/>
      <c r="M29" s="192"/>
      <c r="N29" s="595"/>
      <c r="O29" s="593"/>
      <c r="P29" s="594"/>
      <c r="Q29" s="192"/>
      <c r="R29" s="192"/>
      <c r="S29" s="192">
        <v>0.37</v>
      </c>
      <c r="T29" s="192"/>
      <c r="U29" s="192"/>
      <c r="V29" s="193"/>
      <c r="W29" s="194"/>
      <c r="X29" s="192"/>
      <c r="Y29" s="192"/>
      <c r="Z29" s="195"/>
      <c r="AA29" s="595" t="s">
        <v>133</v>
      </c>
      <c r="AB29" s="594"/>
      <c r="AC29" s="595" t="s">
        <v>157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5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4.7776490230273856</v>
      </c>
      <c r="AN29" s="290">
        <f t="shared" ref="AN29:AN48" si="8">IF(ISERROR(AM29*(IF(AJ29=1,8,IF(AJ29=0.8,6.4,IF(AJ29=0.6,4.8,IF(AJ29=0.5,4)))))),"",AM29*(IF(AJ29=1,8,IF(AJ29=0.8,6.4,IF(AJ29=0.6,4.8,IF(AJ29=0.5,4))))))</f>
        <v>19.110596092109542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>
        <f t="shared" ref="AR29:AR48" si="11">IF(F29="Caja Difusora Esp.",((2*S29*100+J29)*(K29+2*AX$57/10)-PI()*((T29/2)^2-(T29+(AX$55+AY$55)/10)*12)+2*(S29*100+AY$57/10)*(K29+2*AY$57/10))/10000*I29,"N/D")</f>
        <v>4.7776490230273856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5"/>
      <c r="E30" s="596"/>
      <c r="F30" s="592" t="s">
        <v>86</v>
      </c>
      <c r="G30" s="593"/>
      <c r="H30" s="594"/>
      <c r="I30" s="192">
        <v>1</v>
      </c>
      <c r="J30" s="192">
        <v>45</v>
      </c>
      <c r="K30" s="192">
        <v>45</v>
      </c>
      <c r="L30" s="192"/>
      <c r="M30" s="192"/>
      <c r="N30" s="595"/>
      <c r="O30" s="593"/>
      <c r="P30" s="594"/>
      <c r="Q30" s="192"/>
      <c r="R30" s="192"/>
      <c r="S30" s="192">
        <v>0.12</v>
      </c>
      <c r="T30" s="192"/>
      <c r="U30" s="192"/>
      <c r="V30" s="193"/>
      <c r="W30" s="194"/>
      <c r="X30" s="192"/>
      <c r="Y30" s="192"/>
      <c r="Z30" s="195"/>
      <c r="AA30" s="595" t="s">
        <v>133</v>
      </c>
      <c r="AB30" s="594"/>
      <c r="AC30" s="595" t="s">
        <v>157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0.47252980460547706</v>
      </c>
      <c r="AN30" s="290">
        <f t="shared" si="8"/>
        <v>1.8901192184219082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>
        <f t="shared" si="11"/>
        <v>0.47252980460547706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595"/>
      <c r="E31" s="59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5"/>
      <c r="AB31" s="594"/>
      <c r="AC31" s="595"/>
      <c r="AD31" s="594"/>
      <c r="AE31" s="197"/>
      <c r="AF31" s="284" t="str">
        <f t="shared" si="2"/>
        <v/>
      </c>
      <c r="AG31" s="285">
        <f t="shared" si="3"/>
        <v>0</v>
      </c>
      <c r="AH31" s="285">
        <f t="shared" si="4"/>
        <v>0</v>
      </c>
      <c r="AI31" s="286">
        <f t="shared" si="5"/>
        <v>0</v>
      </c>
      <c r="AJ31" s="287" t="str">
        <f t="shared" ref="AJ31:AJ46" si="36">IF(AE31=TRUE,0.5,AL31)</f>
        <v/>
      </c>
      <c r="AK31" s="288"/>
      <c r="AL31" s="289" t="str">
        <f t="shared" si="6"/>
        <v/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5"/>
      <c r="E32" s="59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/>
      <c r="G34" s="593"/>
      <c r="H34" s="594"/>
      <c r="I34" s="192"/>
      <c r="J34" s="192"/>
      <c r="K34" s="192"/>
      <c r="L34" s="192"/>
      <c r="M34" s="192"/>
      <c r="N34" s="595"/>
      <c r="O34" s="593"/>
      <c r="P34" s="594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5"/>
      <c r="AB34" s="594"/>
      <c r="AC34" s="595"/>
      <c r="AD34" s="594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/>
      <c r="G35" s="593"/>
      <c r="H35" s="594"/>
      <c r="I35" s="192"/>
      <c r="J35" s="192"/>
      <c r="K35" s="192"/>
      <c r="L35" s="192"/>
      <c r="M35" s="192"/>
      <c r="N35" s="595"/>
      <c r="O35" s="593"/>
      <c r="P35" s="594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5"/>
      <c r="AB35" s="594"/>
      <c r="AC35" s="595"/>
      <c r="AD35" s="594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/>
      <c r="G36" s="593"/>
      <c r="H36" s="594"/>
      <c r="I36" s="192"/>
      <c r="J36" s="192"/>
      <c r="K36" s="192"/>
      <c r="L36" s="192"/>
      <c r="M36" s="192"/>
      <c r="N36" s="595"/>
      <c r="O36" s="593"/>
      <c r="P36" s="594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5"/>
      <c r="AB36" s="594"/>
      <c r="AC36" s="595"/>
      <c r="AD36" s="594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6</v>
      </c>
      <c r="AG49" s="203"/>
      <c r="AH49" s="204">
        <f>SUM(AH29:AH48)</f>
        <v>0</v>
      </c>
      <c r="AI49" s="204">
        <f>SUM(AI29:AI48)</f>
        <v>0</v>
      </c>
      <c r="AJ49" s="205"/>
      <c r="AK49" s="205"/>
      <c r="AL49" s="206"/>
      <c r="AM49" s="207">
        <f>SUM(AM29:AM48)</f>
        <v>5.2501788276328627</v>
      </c>
      <c r="AN49" s="208">
        <f>SUM(AN29:AN48)</f>
        <v>21.000715310531451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topLeftCell="A7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46155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>
        <f>+'Diseño 1"'!D6</f>
        <v>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46155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76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46162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 xml:space="preserve">Jose Hidalgo 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46155</v>
      </c>
      <c r="U8" s="672"/>
      <c r="V8" s="672"/>
      <c r="W8" s="673"/>
      <c r="X8" s="534">
        <f>SUMIFS('Diseño 1"'!AN29:AN48,'Diseño 1"'!AJ29:AJ48,0.5)</f>
        <v>21.000715310531451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21.000715310531451</v>
      </c>
      <c r="AH8" s="538"/>
      <c r="AI8" s="533">
        <f>+'Diseño 1"'!AM49</f>
        <v>5.2501788276328627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 t="str">
        <f>IF('Diseño 1"'!D29="","",'Diseño 1"'!D29)</f>
        <v/>
      </c>
      <c r="H12" s="694"/>
      <c r="I12" s="693" t="str">
        <f>IF('Diseño 1"'!F29="","",'Diseño 1"'!F29)</f>
        <v>Caja Difusora Esp.</v>
      </c>
      <c r="J12" s="694"/>
      <c r="K12" s="248">
        <f>IF(I12="","",'Diseño 1"'!I29)</f>
        <v>5</v>
      </c>
      <c r="L12" s="242">
        <f>IF('Diseño 1"'!J29="","",'Diseño 1"'!J29)</f>
        <v>45</v>
      </c>
      <c r="M12" s="242">
        <f>IF('Diseño 1"'!K29="","",'Diseño 1"'!K29)</f>
        <v>45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0.37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Copla Rodón</v>
      </c>
      <c r="Z12" s="688"/>
      <c r="AA12" s="687" t="str">
        <f>IF('Diseño 1"'!AC29="","",'Diseño 1"'!AC29)</f>
        <v>Pestaña 25</v>
      </c>
      <c r="AB12" s="688"/>
      <c r="AC12" s="251" t="str">
        <f>IF('Diseño 1"'!AE29=TRUE,0.5,"")</f>
        <v/>
      </c>
      <c r="AD12" s="252">
        <f>IF('Diseño 1"'!AF29="","",'Diseño 1"'!AF29)</f>
        <v>5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19.110596092109542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Caja Difusora Esp.</v>
      </c>
      <c r="J13" s="651"/>
      <c r="K13" s="20">
        <f>IF(I13="","",'Diseño 1"'!I30)</f>
        <v>1</v>
      </c>
      <c r="L13" s="17">
        <f>IF('Diseño 1"'!J30="","",'Diseño 1"'!J30)</f>
        <v>45</v>
      </c>
      <c r="M13" s="17">
        <f>IF('Diseño 1"'!K30="","",'Diseño 1"'!K30)</f>
        <v>45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0.12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Copla Rodón</v>
      </c>
      <c r="Z13" s="650"/>
      <c r="AA13" s="649" t="str">
        <f>IF('Diseño 1"'!AC30="","",'Diseño 1"'!AC30)</f>
        <v>Pestaña 25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1.8901192184219082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/>
      </c>
      <c r="J14" s="651"/>
      <c r="K14" s="20" t="str">
        <f>IF(I14="","",'Diseño 1"'!I31)</f>
        <v/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/>
      </c>
      <c r="Z14" s="650"/>
      <c r="AA14" s="649" t="str">
        <f>IF('Diseño 1"'!AC31="","",'Diseño 1"'!AC31)</f>
        <v/>
      </c>
      <c r="AB14" s="650"/>
      <c r="AC14" s="23" t="str">
        <f>IF('Diseño 1"'!AE32=TRUE,0.5,"")</f>
        <v/>
      </c>
      <c r="AD14" s="92" t="str">
        <f>IF('Diseño 1"'!AF32="","",'Diseño 1"'!AF32)</f>
        <v/>
      </c>
      <c r="AE14" s="24" t="str">
        <f>'Diseño 1"'!AJ31</f>
        <v/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/>
      </c>
      <c r="J15" s="651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/>
      </c>
      <c r="Z15" s="650"/>
      <c r="AA15" s="649" t="str">
        <f>IF('Diseño 1"'!AC32="","",'Diseño 1"'!AC32)</f>
        <v/>
      </c>
      <c r="AB15" s="650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/>
      </c>
      <c r="J16" s="651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/>
      </c>
      <c r="Z16" s="650"/>
      <c r="AA16" s="649" t="str">
        <f>IF('Diseño 1"'!AC33="","",'Diseño 1"'!AC33)</f>
        <v/>
      </c>
      <c r="AB16" s="650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/>
      </c>
      <c r="J17" s="651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/>
      </c>
      <c r="Z17" s="650"/>
      <c r="AA17" s="649" t="str">
        <f>IF('Diseño 1"'!AC34="","",'Diseño 1"'!AC34)</f>
        <v/>
      </c>
      <c r="AB17" s="650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/>
      </c>
      <c r="J18" s="651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/>
      </c>
      <c r="Z18" s="650"/>
      <c r="AA18" s="649" t="str">
        <f>IF('Diseño 1"'!AC35="","",'Diseño 1"'!AC35)</f>
        <v/>
      </c>
      <c r="AB18" s="650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/>
      </c>
      <c r="J19" s="651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/>
      </c>
      <c r="Z19" s="650"/>
      <c r="AA19" s="649" t="str">
        <f>IF('Diseño 1"'!AC36="","",'Diseño 1"'!AC36)</f>
        <v/>
      </c>
      <c r="AB19" s="650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Con aislacion interior, cambio ducto abollado observado por ITO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E3" zoomScale="117" zoomScaleNormal="70" workbookViewId="0">
      <selection activeCell="K7" sqref="K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/>
      <c r="E5" s="126"/>
      <c r="F5" s="126"/>
      <c r="G5" s="139"/>
      <c r="H5" s="603" t="s">
        <v>5</v>
      </c>
      <c r="I5" s="593"/>
      <c r="J5" s="604"/>
      <c r="K5" s="231"/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/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/>
      <c r="E7" s="126"/>
      <c r="F7" s="126"/>
      <c r="G7" s="126"/>
      <c r="H7" s="603" t="s">
        <v>239</v>
      </c>
      <c r="I7" s="593"/>
      <c r="J7" s="594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 t="b">
        <v>0</v>
      </c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 t="b">
        <v>0</v>
      </c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 t="b">
        <v>0</v>
      </c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 t="b">
        <v>0</v>
      </c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2"'!D5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2"'!D6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2"'!K7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21.000715310531451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21.000715310531451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2026-05-13T13:00:26Z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