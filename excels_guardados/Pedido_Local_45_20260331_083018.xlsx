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9" documentId="13_ncr:1_{17661896-8565-42CD-BBA4-266BB6B5E655}" xr6:coauthVersionLast="47" xr6:coauthVersionMax="47" xr10:uidLastSave="{A46EFD68-0B51-4EB4-9C1C-3DE7D7A0F02B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<sst xmlns="http://schemas.openxmlformats.org/spreadsheetml/2006/main" count="1744" uniqueCount="246">
  <si>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</si>
  <si>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</si>
  <si>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</si>
  <si>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</si>
  <si>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</si>
  <si>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</si>
  <si>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</si>
  <si>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</si>
  <si>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</si>
  <si>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</si>
  <si>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</si>
  <si>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</si>
  <si>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</si>
  <si>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</si>
  <si>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</si>
  <si>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</si>
  <si>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</si>
  <si>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</si>
  <si>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</si>
  <si>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</si>
  <si>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</si>
  <si>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</si>
  <si>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</si>
  <si>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</si>
  <si>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</si>
  <si>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</si>
  <si>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</si>
  <si>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</si>
  <si>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</si>
  <si>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</si>
  <si>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</si>
  <si>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</si>
  <si>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</si>
  <si>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</si>
  <si>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</si>
  <si>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</si>
  <si>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</si>
  <si>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</si>
  <si>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</si>
  <si>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</si>
  <si>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</si>
  <si>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</si>
  <si>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</si>
  <si>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</si>
  <si>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</si>
  <si>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</si>
  <si>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</si>
  <si>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</si>
  <si>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</si>
  <si>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</si>
  <si>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</si>
  <si>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</si>
  <si>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</si>
  <si>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</si>
  <si>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</si>
  <si>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</si>
  <si>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</si>
  <si>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</si>
  <si>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</si>
  <si>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</si>
  <si>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</si>
  <si>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</si>
  <si>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</si>
  <si>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</si>
  <si>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</si>
  <si>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</si>
  <si>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</si>
  <si>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</si>
  <si>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</si>
  <si>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</si>
  <si>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</si>
  <si>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</si>
  <si>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</si>
  <si>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</si>
  <si>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</si>
  <si>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</si>
  <si>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</si>
  <si>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</si>
  <si>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</si>
  <si>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</si>
  <si>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</si>
  <si>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</si>
  <si>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</si>
  <si>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</si>
  <si>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</si>
  <si>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</si>
  <si>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</si>
  <si>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</si>
  <si>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</si>
  <si>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</si>
  <si>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</si>
  <si>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</si>
  <si>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</si>
  <si>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</si>
  <si>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</si>
  <si>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</si>
  <si>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</si>
  <si>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</si>
  <si>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</si>
  <si>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</si>
  <si>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</si>
  <si>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</si>
  <si>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</si>
  <si>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</si>
  <si>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</si>
  <si>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</si>
  <si>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</si>
  <si>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</si>
  <si>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</si>
  <si>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</si>
  <si>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</si>
  <si>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</si>
  <si>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</si>
  <si>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</si>
  <si>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</si>
  <si>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</si>
  <si>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</si>
  <si>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</si>
  <si>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</si>
  <si>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</si>
  <si>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</si>
  <si>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</si>
  <si>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</si>
  <si>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</si>
  <si>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</si>
  <si>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</si>
  <si>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</si>
  <si>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</si>
  <si>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</si>
  <si>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</si>
  <si>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</si>
  <si>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</si>
  <si>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</si>
  <si>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</si>
  <si>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</si>
  <si>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</si>
  <si>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</si>
  <si>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</si>
  <si>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</si>
  <si>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</si>
  <si>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</si>
  <si>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</si>
  <si>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</si>
  <si>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</si>
  <si>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</si>
  <si>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</si>
  <si>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</si>
  <si>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</si>
  <si>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</si>
  <si>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</si>
  <si>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</si>
  <si>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</si>
  <si>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</si>
  <si>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</si>
  <si>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</si>
  <si>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</si>
  <si>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</si>
  <si>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</si>
  <si>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</si>
  <si>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</si>
  <si>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</si>
  <si>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</si>
  <si>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</si>
  <si>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</si>
  <si>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</si>
  <si>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</si>
  <si>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</si>
  <si>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</si>
  <si>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</si>
  <si>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</si>
  <si>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</si>
  <si>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</si>
  <si>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</si>
  <si>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</si>
  <si>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</si>
  <si>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</si>
  <si>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</si>
  <si>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</si>
  <si>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</si>
  <si>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</si>
  <si>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</si>
  <si>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</si>
  <si>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</si>
  <si>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</si>
  <si>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</si>
  <si>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</si>
  <si>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</si>
  <si>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</si>
  <si>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</si>
  <si>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</si>
  <si>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</si>
  <si>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</si>
  <si>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</si>
  <si>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</si>
  <si>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</si>
  <si>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</si>
  <si>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</si>
  <si>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</si>
  <si>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</si>
  <si>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</si>
  <si>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</si>
  <si>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</si>
  <si>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</si>
  <si>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</si>
  <si>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</si>
  <si>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</si>
  <si>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</si>
  <si>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</si>
  <si>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</si>
  <si>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</si>
  <si>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</si>
  <si>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</si>
  <si>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</si>
  <si>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</si>
  <si>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</si>
  <si>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</si>
  <si>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</si>
  <si>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</si>
  <si>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</si>
  <si>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</si>
  <si>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</si>
  <si>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</si>
  <si>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</si>
  <si>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</si>
  <si>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</si>
  <si>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</si>
  <si>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</si>
  <si>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</si>
  <si>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</si>
  <si>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</si>
  <si>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</si>
  <si>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</si>
  <si>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</si>
  <si>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</si>
  <si>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</si>
  <si>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</si>
  <si>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</si>
  <si>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</si>
  <si>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</si>
  <si>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</si>
  <si>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</si>
  <si>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</si>
  <si>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</si>
  <si>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</si>
  <si>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2.1</t>
  </si>
  <si>
    <t xml:space="preserve">Piso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</si>
</sst>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S37" sqref="S3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46111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45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5.6838135325718619</v>
      </c>
      <c r="P12" s="296">
        <f t="shared" si="0"/>
        <v>22.735254130287448</v>
      </c>
      <c r="Q12" s="617" t="s">
        <v>23</v>
      </c>
      <c r="R12" s="609"/>
      <c r="S12" s="284">
        <f>ROUNDUP(AI49/6,0)</f>
        <v>6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12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16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5.6838135325718619</v>
      </c>
      <c r="P17" s="306">
        <f t="shared" si="1"/>
        <v>22.735254130287448</v>
      </c>
      <c r="Q17" s="617" t="s">
        <v>40</v>
      </c>
      <c r="R17" s="609"/>
      <c r="S17" s="284">
        <f>ROUNDUP(AI49/6,0)</f>
        <v>6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22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11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52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4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180</v>
      </c>
      <c r="C29" s="192" t="s">
        <v>244</v>
      </c>
      <c r="D29" s="595" t="s">
        <v>245</v>
      </c>
      <c r="E29" s="596"/>
      <c r="F29" s="592" t="s">
        <v>98</v>
      </c>
      <c r="G29" s="593"/>
      <c r="H29" s="594"/>
      <c r="I29" s="192">
        <v>1</v>
      </c>
      <c r="J29" s="192">
        <v>40</v>
      </c>
      <c r="K29" s="192">
        <v>30</v>
      </c>
      <c r="L29" s="192"/>
      <c r="M29" s="192"/>
      <c r="N29" s="595"/>
      <c r="O29" s="593"/>
      <c r="P29" s="594"/>
      <c r="Q29" s="192"/>
      <c r="R29" s="192"/>
      <c r="S29" s="192">
        <v>0.57999999999999996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1.0030999999999999</v>
      </c>
      <c r="AN29" s="290">
        <f t="shared" ref="AN29:AN48" si="8">IF(ISERROR(AM29*(IF(AJ29=1,8,IF(AJ29=0.8,6.4,IF(AJ29=0.6,4.8,IF(AJ29=0.5,4)))))),"",AM29*(IF(AJ29=1,8,IF(AJ29=0.8,6.4,IF(AJ29=0.6,4.8,IF(AJ29=0.5,4))))))</f>
        <v>4.0123999999999995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1.0030999999999999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104</v>
      </c>
      <c r="G30" s="593"/>
      <c r="H30" s="594"/>
      <c r="I30" s="192">
        <v>1</v>
      </c>
      <c r="J30" s="192">
        <v>40</v>
      </c>
      <c r="K30" s="192">
        <v>30</v>
      </c>
      <c r="L30" s="192"/>
      <c r="M30" s="192"/>
      <c r="N30" s="595"/>
      <c r="O30" s="593"/>
      <c r="P30" s="594"/>
      <c r="Q30" s="192">
        <v>30</v>
      </c>
      <c r="R30" s="192">
        <v>30</v>
      </c>
      <c r="S30" s="192">
        <v>0.45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0.81624000000000008</v>
      </c>
      <c r="AN30" s="290">
        <f t="shared" si="8"/>
        <v>3.2649600000000003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0.81624000000000008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 t="s">
        <v>98</v>
      </c>
      <c r="G31" s="593"/>
      <c r="H31" s="594"/>
      <c r="I31" s="192">
        <v>2</v>
      </c>
      <c r="J31" s="192">
        <v>30</v>
      </c>
      <c r="K31" s="192">
        <v>30</v>
      </c>
      <c r="L31" s="192"/>
      <c r="M31" s="192"/>
      <c r="N31" s="595"/>
      <c r="O31" s="593"/>
      <c r="P31" s="594"/>
      <c r="Q31" s="192"/>
      <c r="R31" s="192"/>
      <c r="S31" s="192">
        <v>0.9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2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2.51532</v>
      </c>
      <c r="AN31" s="290">
        <f t="shared" ref="AN31:AN46" si="37">IF(ISERROR(AM31*(IF(AJ31=1,8,IF(AJ31=0.8,6.4,IF(AJ31=0.6,4.8,IF(AJ31=0.5,4)))))),"",AM31*(IF(AJ31=1,8,IF(AJ31=0.8,6.4,IF(AJ31=0.6,4.8,IF(AJ31=0.5,4))))))</f>
        <v>10.06128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2.51532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 t="s">
        <v>108</v>
      </c>
      <c r="G32" s="593"/>
      <c r="H32" s="594"/>
      <c r="I32" s="192">
        <v>2</v>
      </c>
      <c r="J32" s="192">
        <v>30</v>
      </c>
      <c r="K32" s="192">
        <v>25</v>
      </c>
      <c r="L32" s="192"/>
      <c r="M32" s="192"/>
      <c r="N32" s="595"/>
      <c r="O32" s="593"/>
      <c r="P32" s="594"/>
      <c r="Q32" s="192"/>
      <c r="R32" s="192"/>
      <c r="S32" s="192">
        <v>0.2</v>
      </c>
      <c r="T32" s="192"/>
      <c r="U32" s="192"/>
      <c r="V32" s="193"/>
      <c r="W32" s="194"/>
      <c r="X32" s="192"/>
      <c r="Y32" s="192"/>
      <c r="Z32" s="195"/>
      <c r="AA32" s="595" t="s">
        <v>151</v>
      </c>
      <c r="AB32" s="594"/>
      <c r="AC32" s="595" t="s">
        <v>136</v>
      </c>
      <c r="AD32" s="594"/>
      <c r="AE32" s="197"/>
      <c r="AF32" s="284">
        <f t="shared" si="2"/>
        <v>2</v>
      </c>
      <c r="AG32" s="285">
        <f t="shared" si="3"/>
        <v>0</v>
      </c>
      <c r="AH32" s="285">
        <f t="shared" si="4"/>
        <v>4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 t="s">
        <v>98</v>
      </c>
      <c r="G33" s="593"/>
      <c r="H33" s="594"/>
      <c r="I33" s="192">
        <v>1</v>
      </c>
      <c r="J33" s="192">
        <v>30</v>
      </c>
      <c r="K33" s="192">
        <v>25</v>
      </c>
      <c r="L33" s="192"/>
      <c r="M33" s="192"/>
      <c r="N33" s="595"/>
      <c r="O33" s="593"/>
      <c r="P33" s="594"/>
      <c r="Q33" s="192"/>
      <c r="R33" s="192"/>
      <c r="S33" s="192">
        <v>0.13</v>
      </c>
      <c r="T33" s="192"/>
      <c r="U33" s="192"/>
      <c r="V33" s="193"/>
      <c r="W33" s="194"/>
      <c r="X33" s="192"/>
      <c r="Y33" s="192"/>
      <c r="Z33" s="195"/>
      <c r="AA33" s="595" t="s">
        <v>136</v>
      </c>
      <c r="AB33" s="594"/>
      <c r="AC33" s="595" t="s">
        <v>136</v>
      </c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8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0.28325</v>
      </c>
      <c r="AN33" s="290">
        <f t="shared" si="37"/>
        <v>1.133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0.28325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103</v>
      </c>
      <c r="G34" s="593"/>
      <c r="H34" s="594"/>
      <c r="I34" s="192">
        <v>1</v>
      </c>
      <c r="J34" s="192">
        <v>30</v>
      </c>
      <c r="K34" s="192">
        <v>25</v>
      </c>
      <c r="L34" s="192"/>
      <c r="M34" s="192"/>
      <c r="N34" s="595"/>
      <c r="O34" s="593"/>
      <c r="P34" s="594"/>
      <c r="Q34" s="192"/>
      <c r="R34" s="192"/>
      <c r="S34" s="192">
        <v>0.3</v>
      </c>
      <c r="T34" s="192">
        <v>20</v>
      </c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133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4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0.34034176628593105</v>
      </c>
      <c r="AN34" s="290">
        <f t="shared" si="37"/>
        <v>1.3613670651437242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>
        <f t="shared" si="31"/>
        <v>0.34034176628593105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98</v>
      </c>
      <c r="G35" s="593"/>
      <c r="H35" s="594"/>
      <c r="I35" s="192">
        <v>1</v>
      </c>
      <c r="J35" s="192">
        <v>30</v>
      </c>
      <c r="K35" s="192">
        <v>25</v>
      </c>
      <c r="L35" s="192"/>
      <c r="M35" s="192"/>
      <c r="N35" s="595"/>
      <c r="O35" s="593"/>
      <c r="P35" s="594"/>
      <c r="Q35" s="192"/>
      <c r="R35" s="192"/>
      <c r="S35" s="192">
        <v>0.22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136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0.38522000000000001</v>
      </c>
      <c r="AN35" s="290">
        <f t="shared" si="37"/>
        <v>1.54088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0.38522000000000001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 t="s">
        <v>103</v>
      </c>
      <c r="G36" s="593"/>
      <c r="H36" s="594"/>
      <c r="I36" s="192">
        <v>1</v>
      </c>
      <c r="J36" s="192">
        <v>30</v>
      </c>
      <c r="K36" s="192">
        <v>25</v>
      </c>
      <c r="L36" s="192"/>
      <c r="M36" s="192"/>
      <c r="N36" s="595"/>
      <c r="O36" s="593"/>
      <c r="P36" s="594"/>
      <c r="Q36" s="192"/>
      <c r="R36" s="192"/>
      <c r="S36" s="192">
        <v>0.3</v>
      </c>
      <c r="T36" s="192">
        <v>20</v>
      </c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133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4</v>
      </c>
      <c r="AI36" s="286">
        <f t="shared" si="5"/>
        <v>0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0.34034176628593105</v>
      </c>
      <c r="AN36" s="290">
        <f t="shared" si="37"/>
        <v>1.3613670651437242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>
        <f t="shared" si="31"/>
        <v>0.34034176628593105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10</v>
      </c>
      <c r="AG49" s="203"/>
      <c r="AH49" s="204">
        <f>SUM(AH29:AH48)</f>
        <v>20</v>
      </c>
      <c r="AI49" s="204">
        <f>SUM(AI29:AI48)</f>
        <v>32</v>
      </c>
      <c r="AJ49" s="205"/>
      <c r="AK49" s="205"/>
      <c r="AL49" s="206"/>
      <c r="AM49" s="207">
        <f>SUM(AM29:AM48)</f>
        <v>5.6838135325718619</v>
      </c>
      <c r="AN49" s="208">
        <f>SUM(AN29:AN48)</f>
        <v>22.735254130287448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46111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46111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45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46118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22.735254130287448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22.735254130287448</v>
      </c>
      <c r="AH8" s="538"/>
      <c r="AI8" s="533">
        <f>+'Diseño 1"'!AM49</f>
        <v>5.6838135325718619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>Fan Coil</v>
      </c>
      <c r="E12" s="694"/>
      <c r="F12" s="247" t="str">
        <f>IF('Diseño 1"'!C29=0,"",'Diseño 1"'!C29)</f>
        <v>2.1</v>
      </c>
      <c r="G12" s="693" t="str">
        <f>IF('Diseño 1"'!D29="","",'Diseño 1"'!D29)</f>
        <v xml:space="preserve">Piso 2 </v>
      </c>
      <c r="H12" s="694"/>
      <c r="I12" s="693" t="str">
        <f>IF('Diseño 1"'!F29="","",'Diseño 1"'!F29)</f>
        <v>Ducto Recto</v>
      </c>
      <c r="J12" s="694"/>
      <c r="K12" s="248">
        <f>IF(I12="","",'Diseño 1"'!I29)</f>
        <v>1</v>
      </c>
      <c r="L12" s="242">
        <f>IF('Diseño 1"'!J29="","",'Diseño 1"'!J29)</f>
        <v>40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0.57999999999999996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4.0123999999999995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Transformación</v>
      </c>
      <c r="J13" s="651"/>
      <c r="K13" s="20">
        <f>IF(I13="","",'Diseño 1"'!I30)</f>
        <v>1</v>
      </c>
      <c r="L13" s="17">
        <f>IF('Diseño 1"'!J30="","",'Diseño 1"'!J30)</f>
        <v>40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>
        <f>IF('Diseño 1"'!Q30="","",'Diseño 1"'!Q30)</f>
        <v>30</v>
      </c>
      <c r="S13" s="17">
        <f>IF('Diseño 1"'!R30="","",'Diseño 1"'!R30)</f>
        <v>30</v>
      </c>
      <c r="T13" s="242">
        <f>IF('Diseño 1"'!S30="","",'Diseño 1"'!S30)</f>
        <v>0.45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3.2649600000000003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Ducto Recto</v>
      </c>
      <c r="J14" s="651"/>
      <c r="K14" s="20">
        <f>IF(I14="","",'Diseño 1"'!I31)</f>
        <v>2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0.9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2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10.06128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Zapato s/ Templador</v>
      </c>
      <c r="J15" s="651"/>
      <c r="K15" s="20">
        <f>IF(I15="","",'Diseño 1"'!I32)</f>
        <v>2</v>
      </c>
      <c r="L15" s="17">
        <f>IF('Diseño 1"'!J32="","",'Diseño 1"'!J32)</f>
        <v>30</v>
      </c>
      <c r="M15" s="17">
        <f>IF('Diseño 1"'!K32="","",'Diseño 1"'!K32)</f>
        <v>25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0.2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Triple 50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>Ducto Recto</v>
      </c>
      <c r="J16" s="651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25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0.13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>TDF</v>
      </c>
      <c r="Z16" s="650"/>
      <c r="AA16" s="649" t="str">
        <f>IF('Diseño 1"'!AC33="","",'Diseño 1"'!AC33)</f>
        <v>TDF</v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1.133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Transf. Red - Cuad</v>
      </c>
      <c r="J17" s="651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25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0.3</v>
      </c>
      <c r="U17" s="17">
        <f>IF('Diseño 1"'!T34="","",'Diseño 1"'!T34)</f>
        <v>20</v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Copla Rodón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1.3613670651437242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Ducto Recto</v>
      </c>
      <c r="J18" s="651"/>
      <c r="K18" s="20">
        <f>IF(I18="","",'Diseño 1"'!I35)</f>
        <v>1</v>
      </c>
      <c r="L18" s="17">
        <f>IF('Diseño 1"'!J35="","",'Diseño 1"'!J35)</f>
        <v>30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0.22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TDF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1.54088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>Transf. Red - Cuad</v>
      </c>
      <c r="J19" s="651"/>
      <c r="K19" s="20">
        <f>IF(I19="","",'Diseño 1"'!I36)</f>
        <v>1</v>
      </c>
      <c r="L19" s="17">
        <f>IF('Diseño 1"'!J36="","",'Diseño 1"'!J36)</f>
        <v>30</v>
      </c>
      <c r="M19" s="17">
        <f>IF('Diseño 1"'!K36="","",'Diseño 1"'!K36)</f>
        <v>25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0.3</v>
      </c>
      <c r="U19" s="17">
        <f>IF('Diseño 1"'!T36="","",'Diseño 1"'!T36)</f>
        <v>20</v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Copla Rodón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1.3613670651437242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22.735254130287448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22.735254130287448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2026-03-31T11:28:48Z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