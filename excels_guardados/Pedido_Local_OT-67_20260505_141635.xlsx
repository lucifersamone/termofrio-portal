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0" documentId="8_{B677E62E-E98D-4AE0-A289-A8A30FBF2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<sst xmlns="http://schemas.openxmlformats.org/spreadsheetml/2006/main" count="1721" uniqueCount="244">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</sst>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AA33" sqref="AA33:AB33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46146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67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4.9931171940049826</v>
      </c>
      <c r="P12" s="296">
        <f t="shared" si="0"/>
        <v>19.97246877601993</v>
      </c>
      <c r="Q12" s="597" t="s">
        <v>23</v>
      </c>
      <c r="R12" s="598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4.9931171940049826</v>
      </c>
      <c r="P17" s="306">
        <f t="shared" si="1"/>
        <v>19.97246877601993</v>
      </c>
      <c r="Q17" s="597" t="s">
        <v>40</v>
      </c>
      <c r="R17" s="598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608"/>
      <c r="F29" s="607" t="s">
        <v>86</v>
      </c>
      <c r="G29" s="594"/>
      <c r="H29" s="593"/>
      <c r="I29" s="192">
        <v>5</v>
      </c>
      <c r="J29" s="192">
        <v>46.2</v>
      </c>
      <c r="K29" s="192">
        <v>46.2</v>
      </c>
      <c r="L29" s="192"/>
      <c r="M29" s="192"/>
      <c r="N29" s="592"/>
      <c r="O29" s="594"/>
      <c r="P29" s="593"/>
      <c r="Q29" s="192"/>
      <c r="R29" s="192"/>
      <c r="S29" s="192">
        <v>0.3</v>
      </c>
      <c r="T29" s="192">
        <v>25</v>
      </c>
      <c r="U29" s="192"/>
      <c r="V29" s="193"/>
      <c r="W29" s="194"/>
      <c r="X29" s="192"/>
      <c r="Y29" s="192"/>
      <c r="Z29" s="195"/>
      <c r="AA29" s="592" t="s">
        <v>145</v>
      </c>
      <c r="AB29" s="593"/>
      <c r="AC29" s="592"/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5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4.4579309950041521</v>
      </c>
      <c r="AN29" s="290">
        <f t="shared" ref="AN29:AN48" si="8">IF(ISERROR(AM29*(IF(AJ29=1,8,IF(AJ29=0.8,6.4,IF(AJ29=0.6,4.8,IF(AJ29=0.5,4)))))),"",AM29*(IF(AJ29=1,8,IF(AJ29=0.8,6.4,IF(AJ29=0.6,4.8,IF(AJ29=0.5,4))))))</f>
        <v>17.831723980016609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>
        <f t="shared" ref="AR29:AR48" si="11">IF(F29="Caja Difusora Esp.",((2*S29*100+J29)*(K29+2*AX$57/10)-PI()*((T29/2)^2-(T29+(AX$55+AY$55)/10)*12)+2*(S29*100+AY$57/10)*(K29+2*AY$57/10))/10000*I29,"N/D")</f>
        <v>4.4579309950041521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86</v>
      </c>
      <c r="G30" s="594"/>
      <c r="H30" s="593"/>
      <c r="I30" s="192">
        <v>1</v>
      </c>
      <c r="J30" s="192">
        <v>46.2</v>
      </c>
      <c r="K30" s="192">
        <v>46.2</v>
      </c>
      <c r="L30" s="192"/>
      <c r="M30" s="192"/>
      <c r="N30" s="592"/>
      <c r="O30" s="594"/>
      <c r="P30" s="593"/>
      <c r="Q30" s="192"/>
      <c r="R30" s="192"/>
      <c r="S30" s="192">
        <v>0.12</v>
      </c>
      <c r="T30" s="192">
        <v>25</v>
      </c>
      <c r="U30" s="192"/>
      <c r="V30" s="193"/>
      <c r="W30" s="194"/>
      <c r="X30" s="192"/>
      <c r="Y30" s="192"/>
      <c r="Z30" s="195"/>
      <c r="AA30" s="592" t="s">
        <v>145</v>
      </c>
      <c r="AB30" s="593"/>
      <c r="AC30" s="592"/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0.53518619900083042</v>
      </c>
      <c r="AN30" s="290">
        <f t="shared" si="8"/>
        <v>2.1407447960033217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>
        <f t="shared" si="11"/>
        <v>0.53518619900083042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/>
      <c r="AB31" s="593"/>
      <c r="AC31" s="592"/>
      <c r="AD31" s="593"/>
      <c r="AE31" s="197"/>
      <c r="AF31" s="284" t="str">
        <f t="shared" si="2"/>
        <v/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 t="str">
        <f t="shared" ref="AJ31:AJ46" si="36">IF(AE31=TRUE,0.5,AL31)</f>
        <v/>
      </c>
      <c r="AK31" s="288"/>
      <c r="AL31" s="289" t="str">
        <f t="shared" si="6"/>
        <v/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6</v>
      </c>
      <c r="AG49" s="203"/>
      <c r="AH49" s="204">
        <f>SUM(AH29:AH48)</f>
        <v>0</v>
      </c>
      <c r="AI49" s="204">
        <f>SUM(AI29:AI48)</f>
        <v>0</v>
      </c>
      <c r="AJ49" s="205"/>
      <c r="AK49" s="205"/>
      <c r="AL49" s="206"/>
      <c r="AM49" s="207">
        <f>SUM(AM29:AM48)</f>
        <v>4.9931171940049826</v>
      </c>
      <c r="AN49" s="208">
        <f>SUM(AN29:AN48)</f>
        <v>19.97246877601993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46146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46146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67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46153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19.97246877601993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19.97246877601993</v>
      </c>
      <c r="AH8" s="538"/>
      <c r="AI8" s="533">
        <f>+'Diseño 1"'!AM49</f>
        <v>4.9931171940049826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/>
      </c>
      <c r="H12" s="650"/>
      <c r="I12" s="670" t="str">
        <f>IF('Diseño 1"'!F29="","",'Diseño 1"'!F29)</f>
        <v>Caja Difusora Esp.</v>
      </c>
      <c r="J12" s="650"/>
      <c r="K12" s="248">
        <f>IF(I12="","",'Diseño 1"'!I29)</f>
        <v>5</v>
      </c>
      <c r="L12" s="242">
        <f>IF('Diseño 1"'!J29="","",'Diseño 1"'!J29)</f>
        <v>46.2</v>
      </c>
      <c r="M12" s="242">
        <f>IF('Diseño 1"'!K29="","",'Diseño 1"'!K29)</f>
        <v>46.2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0.3</v>
      </c>
      <c r="U12" s="242">
        <f>IF('Diseño 1"'!T29="","",'Diseño 1"'!T29)</f>
        <v>25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Escuadra</v>
      </c>
      <c r="Z12" s="667"/>
      <c r="AA12" s="649" t="str">
        <f>IF('Diseño 1"'!AC29="","",'Diseño 1"'!AC29)</f>
        <v/>
      </c>
      <c r="AB12" s="667"/>
      <c r="AC12" s="251" t="str">
        <f>IF('Diseño 1"'!AE29=TRUE,0.5,"")</f>
        <v/>
      </c>
      <c r="AD12" s="252">
        <f>IF('Diseño 1"'!AF29="","",'Diseño 1"'!AF29)</f>
        <v>5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17.831723980016609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Caja Difusora Esp.</v>
      </c>
      <c r="J13" s="642"/>
      <c r="K13" s="20">
        <f>IF(I13="","",'Diseño 1"'!I30)</f>
        <v>1</v>
      </c>
      <c r="L13" s="17">
        <f>IF('Diseño 1"'!J30="","",'Diseño 1"'!J30)</f>
        <v>46.2</v>
      </c>
      <c r="M13" s="17">
        <f>IF('Diseño 1"'!K30="","",'Diseño 1"'!K30)</f>
        <v>46.2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0.12</v>
      </c>
      <c r="U13" s="17">
        <f>IF('Diseño 1"'!T30="","",'Diseño 1"'!T30)</f>
        <v>25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Escuadra</v>
      </c>
      <c r="Z13" s="634"/>
      <c r="AA13" s="633" t="str">
        <f>IF('Diseño 1"'!AC30="","",'Diseño 1"'!AC30)</f>
        <v/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2.1407447960033217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/>
      </c>
      <c r="J14" s="642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/>
      </c>
      <c r="Z14" s="634"/>
      <c r="AA14" s="633" t="str">
        <f>IF('Diseño 1"'!AC31="","",'Diseño 1"'!AC31)</f>
        <v/>
      </c>
      <c r="AB14" s="634"/>
      <c r="AC14" s="23" t="str">
        <f>IF('Diseño 1"'!AE32=TRUE,0.5,"")</f>
        <v/>
      </c>
      <c r="AD14" s="92" t="str">
        <f>IF('Diseño 1"'!AF32="","",'Diseño 1"'!AF32)</f>
        <v/>
      </c>
      <c r="AE14" s="24" t="str">
        <f>'Diseño 1"'!AJ31</f>
        <v/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/>
      </c>
      <c r="J15" s="642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19.97246877601993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19.97246877601993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2026-05-05T18:12:00Z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