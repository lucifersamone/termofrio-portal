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6" documentId="13_ncr:1_{197FCA55-3BB5-41DB-A4D2-EAC9E1FAB96D}" xr6:coauthVersionLast="47" xr6:coauthVersionMax="47" xr10:uidLastSave="{E8D05BC9-6C84-43E0-A590-36F562508B5C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<sst xmlns="http://schemas.openxmlformats.org/spreadsheetml/2006/main" count="1734" uniqueCount="246">
  <si>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</si>
  <si>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</si>
  <si>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</si>
  <si>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</si>
  <si>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</si>
  <si>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</si>
  <si>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</si>
  <si>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</si>
  <si>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</si>
  <si>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</si>
  <si>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</si>
  <si>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</si>
  <si>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</si>
  <si>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</si>
  <si>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</si>
  <si>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</si>
  <si>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</si>
  <si>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</si>
  <si>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</si>
  <si>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</si>
  <si>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</si>
  <si>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</si>
  <si>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</si>
  <si>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</si>
  <si>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</si>
  <si>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</si>
  <si>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</si>
  <si>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</si>
  <si>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</si>
  <si>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</si>
  <si>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</si>
  <si>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</si>
  <si>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</si>
  <si>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</si>
  <si>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</si>
  <si>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</si>
  <si>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</si>
  <si>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</si>
  <si>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</si>
  <si>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</si>
  <si>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</si>
  <si>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</si>
  <si>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</si>
  <si>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</si>
  <si>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</si>
  <si>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</si>
  <si>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</si>
  <si>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</si>
  <si>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</si>
  <si>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</si>
  <si>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</si>
  <si>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</si>
  <si>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</si>
  <si>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</si>
  <si>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</si>
  <si>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</si>
  <si>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</si>
  <si>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</si>
  <si>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</si>
  <si>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</si>
  <si>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</si>
  <si>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</si>
  <si>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</si>
  <si>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</si>
  <si>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</si>
  <si>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</si>
  <si>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</si>
  <si>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</si>
  <si>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</si>
  <si>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</si>
  <si>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</si>
  <si>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</si>
  <si>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</si>
  <si>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</si>
  <si>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</si>
  <si>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</si>
  <si>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</si>
  <si>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</si>
  <si>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</si>
  <si>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</si>
  <si>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</si>
  <si>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</si>
  <si>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</si>
  <si>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</si>
  <si>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</si>
  <si>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</si>
  <si>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</si>
  <si>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</si>
  <si>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</si>
  <si>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</si>
  <si>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</si>
  <si>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</si>
  <si>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</si>
  <si>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</si>
  <si>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</si>
  <si>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</si>
  <si>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</si>
  <si>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</si>
  <si>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</si>
  <si>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</si>
  <si>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</si>
  <si>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</si>
  <si>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</si>
  <si>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</si>
  <si>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</si>
  <si>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</si>
  <si>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</si>
  <si>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</si>
  <si>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</si>
  <si>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</si>
  <si>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</si>
  <si>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</si>
  <si>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</si>
  <si>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</si>
  <si>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</si>
  <si>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</si>
  <si>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</si>
  <si>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</si>
  <si>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</si>
  <si>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</si>
  <si>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</si>
  <si>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</si>
  <si>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</si>
  <si>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</si>
  <si>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</si>
  <si>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</si>
  <si>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</si>
  <si>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</si>
  <si>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</si>
  <si>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</si>
  <si>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</si>
  <si>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</si>
  <si>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</si>
  <si>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</si>
  <si>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</si>
  <si>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</si>
  <si>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</si>
  <si>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</si>
  <si>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</si>
  <si>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</si>
  <si>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</si>
  <si>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</si>
  <si>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</si>
  <si>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</si>
  <si>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</si>
  <si>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</si>
  <si>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</si>
  <si>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</si>
  <si>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</si>
  <si>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</si>
  <si>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</si>
  <si>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</si>
  <si>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</si>
  <si>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</si>
  <si>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</si>
  <si>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</si>
  <si>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</si>
  <si>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</si>
  <si>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</si>
  <si>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</si>
  <si>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</si>
  <si>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</si>
  <si>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</si>
  <si>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</si>
  <si>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</si>
  <si>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</si>
  <si>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</si>
  <si>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</si>
  <si>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</si>
  <si>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</si>
  <si>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</si>
  <si>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</si>
  <si>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</si>
  <si>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</si>
  <si>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</si>
  <si>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</si>
  <si>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</si>
  <si>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</si>
  <si>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</si>
  <si>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</si>
  <si>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</si>
  <si>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</si>
  <si>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</si>
  <si>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</si>
  <si>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</si>
  <si>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</si>
  <si>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</si>
  <si>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</si>
  <si>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</si>
  <si>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</si>
  <si>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</si>
  <si>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</si>
  <si>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</si>
  <si>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</si>
  <si>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</si>
  <si>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</si>
  <si>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</si>
  <si>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</si>
  <si>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</si>
  <si>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</si>
  <si>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</si>
  <si>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</si>
  <si>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</si>
  <si>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</si>
  <si>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</si>
  <si>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</si>
  <si>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</si>
  <si>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</si>
  <si>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</si>
  <si>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</si>
  <si>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</si>
  <si>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</si>
  <si>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</si>
  <si>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</si>
  <si>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</si>
  <si>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</si>
  <si>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</si>
  <si>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</si>
  <si>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</si>
  <si>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</si>
  <si>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</si>
  <si>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</si>
  <si>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</si>
  <si>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</si>
  <si>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</si>
  <si>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</si>
  <si>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</si>
  <si>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</si>
  <si>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</si>
  <si>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</si>
  <si>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</si>
  <si>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</si>
  <si>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</si>
  <si>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</si>
  <si>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</si>
  <si>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</si>
  <si>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</si>
  <si>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</si>
  <si>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</si>
  <si>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</si>
  <si>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</si>
  <si>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</si>
  <si>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</si>
  <si>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</si>
  <si>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06-04-2'026</t>
  </si>
  <si>
    <t>Segundo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</si>
</sst>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topLeftCell="A4" zoomScaleNormal="100" workbookViewId="0">
      <selection activeCell="G26" sqref="G26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597" t="s">
        <v>3</v>
      </c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  <c r="BF2" s="598"/>
      <c r="BG2" s="598"/>
      <c r="BH2" s="598"/>
      <c r="BI2" s="598"/>
      <c r="BJ2" s="598"/>
      <c r="BK2" s="598"/>
      <c r="BL2" s="598"/>
      <c r="BM2" s="599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00"/>
      <c r="AQ3" s="601"/>
      <c r="AR3" s="601"/>
      <c r="AS3" s="601"/>
      <c r="AT3" s="601"/>
      <c r="AU3" s="601"/>
      <c r="AV3" s="601"/>
      <c r="AW3" s="601"/>
      <c r="AX3" s="601"/>
      <c r="AY3" s="601"/>
      <c r="AZ3" s="601"/>
      <c r="BA3" s="601"/>
      <c r="BB3" s="601"/>
      <c r="BC3" s="601"/>
      <c r="BD3" s="601"/>
      <c r="BE3" s="601"/>
      <c r="BF3" s="601"/>
      <c r="BG3" s="601"/>
      <c r="BH3" s="601"/>
      <c r="BI3" s="601"/>
      <c r="BJ3" s="601"/>
      <c r="BK3" s="601"/>
      <c r="BL3" s="601"/>
      <c r="BM3" s="602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03" t="s">
        <v>5</v>
      </c>
      <c r="I5" s="593"/>
      <c r="J5" s="604"/>
      <c r="K5" s="231" t="s">
        <v>244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03" t="s">
        <v>8</v>
      </c>
      <c r="I6" s="593"/>
      <c r="J6" s="60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52</v>
      </c>
      <c r="E7" s="139"/>
      <c r="F7" s="139"/>
      <c r="G7" s="126"/>
      <c r="H7" s="603" t="s">
        <v>239</v>
      </c>
      <c r="I7" s="593"/>
      <c r="J7" s="60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198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0"/>
      <c r="R11" s="609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2.46739</v>
      </c>
      <c r="P12" s="296">
        <f t="shared" si="0"/>
        <v>9.8695599999999999</v>
      </c>
      <c r="Q12" s="617" t="s">
        <v>23</v>
      </c>
      <c r="R12" s="609"/>
      <c r="S12" s="284">
        <f>ROUNDUP(AI49/6,0)</f>
        <v>0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1" t="s">
        <v>25</v>
      </c>
      <c r="AQ12" s="601"/>
      <c r="AR12" s="601"/>
      <c r="AS12" s="622" t="s">
        <v>26</v>
      </c>
      <c r="AT12" s="601"/>
      <c r="AU12" s="601"/>
      <c r="AV12" s="619" t="s">
        <v>27</v>
      </c>
      <c r="AW12" s="601"/>
      <c r="AX12" s="619" t="s">
        <v>28</v>
      </c>
      <c r="AY12" s="601"/>
      <c r="AZ12" s="601"/>
      <c r="BA12" s="619" t="s">
        <v>29</v>
      </c>
      <c r="BB12" s="601"/>
      <c r="BC12" s="619" t="s">
        <v>30</v>
      </c>
      <c r="BD12" s="601"/>
      <c r="BE12" s="601"/>
      <c r="BF12" s="619" t="s">
        <v>31</v>
      </c>
      <c r="BG12" s="601"/>
      <c r="BH12" s="601"/>
      <c r="BI12" s="619" t="s">
        <v>32</v>
      </c>
      <c r="BJ12" s="601"/>
      <c r="BK12" s="601"/>
      <c r="BL12" s="619" t="s">
        <v>33</v>
      </c>
      <c r="BM12" s="602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617" t="s">
        <v>34</v>
      </c>
      <c r="R13" s="609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628" t="s">
        <v>238</v>
      </c>
      <c r="AC13" s="628"/>
      <c r="AD13" s="628"/>
      <c r="AE13" s="628"/>
      <c r="AF13" s="628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7" t="s">
        <v>35</v>
      </c>
      <c r="R14" s="609"/>
      <c r="S14" s="301">
        <f>S12*2</f>
        <v>0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7" t="s">
        <v>36</v>
      </c>
      <c r="R15" s="609"/>
      <c r="S15" s="298">
        <f>ROUNDUP(AI49/16,0)</f>
        <v>0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7" t="s">
        <v>38</v>
      </c>
      <c r="R16" s="609"/>
      <c r="S16" s="284">
        <f>ROUNDUP(AI49/2,0)</f>
        <v>0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2.46739</v>
      </c>
      <c r="P17" s="306">
        <f t="shared" si="1"/>
        <v>9.8695599999999999</v>
      </c>
      <c r="Q17" s="617" t="s">
        <v>40</v>
      </c>
      <c r="R17" s="609"/>
      <c r="S17" s="284">
        <f>ROUNDUP(AI49/6,0)</f>
        <v>0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32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2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5" t="s">
        <v>245</v>
      </c>
      <c r="E29" s="596"/>
      <c r="F29" s="592" t="s">
        <v>104</v>
      </c>
      <c r="G29" s="593"/>
      <c r="H29" s="594"/>
      <c r="I29" s="192">
        <v>1</v>
      </c>
      <c r="J29" s="192">
        <v>77</v>
      </c>
      <c r="K29" s="192">
        <v>22</v>
      </c>
      <c r="L29" s="192"/>
      <c r="M29" s="192"/>
      <c r="N29" s="595"/>
      <c r="O29" s="593"/>
      <c r="P29" s="594"/>
      <c r="Q29" s="192">
        <v>40</v>
      </c>
      <c r="R29" s="192">
        <v>30</v>
      </c>
      <c r="S29" s="192">
        <v>0.38</v>
      </c>
      <c r="T29" s="192"/>
      <c r="U29" s="192"/>
      <c r="V29" s="193"/>
      <c r="W29" s="194"/>
      <c r="X29" s="192"/>
      <c r="Y29" s="192"/>
      <c r="Z29" s="195"/>
      <c r="AA29" s="595" t="s">
        <v>151</v>
      </c>
      <c r="AB29" s="594"/>
      <c r="AC29" s="595" t="s">
        <v>136</v>
      </c>
      <c r="AD29" s="594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4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0.6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0.6</v>
      </c>
      <c r="AM29" s="290" t="str">
        <f t="shared" ref="AM29:AM48" si="7">IF(F29="","",IF(ISERROR(HLOOKUP(F29,AP$28:BO$48,AO29)),"",IF(HLOOKUP(F29,AP$28:BO$48,AO29)="N/D","",HLOOKUP(F29,AP$28:BO$48,AO29))))</f>
        <v/>
      </c>
      <c r="AN29" s="290" t="str">
        <f t="shared" ref="AN29:AN48" si="8">IF(ISERROR(AM29*(IF(AJ29=1,8,IF(AJ29=0.8,6.4,IF(AJ29=0.6,4.8,IF(AJ29=0.5,4)))))),"",AM29*(IF(AJ29=1,8,IF(AJ29=0.8,6.4,IF(AJ29=0.6,4.8,IF(AJ29=0.5,4))))))</f>
        <v/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5"/>
      <c r="E30" s="596"/>
      <c r="F30" s="592" t="s">
        <v>105</v>
      </c>
      <c r="G30" s="593"/>
      <c r="H30" s="594"/>
      <c r="I30" s="192">
        <v>1</v>
      </c>
      <c r="J30" s="192">
        <v>77</v>
      </c>
      <c r="K30" s="192">
        <v>22</v>
      </c>
      <c r="L30" s="192"/>
      <c r="M30" s="192"/>
      <c r="N30" s="595"/>
      <c r="O30" s="593"/>
      <c r="P30" s="594"/>
      <c r="Q30" s="192"/>
      <c r="R30" s="192"/>
      <c r="S30" s="192">
        <v>0.2</v>
      </c>
      <c r="T30" s="192"/>
      <c r="U30" s="192"/>
      <c r="V30" s="193"/>
      <c r="W30" s="194"/>
      <c r="X30" s="192"/>
      <c r="Y30" s="192"/>
      <c r="Z30" s="195"/>
      <c r="AA30" s="595" t="s">
        <v>136</v>
      </c>
      <c r="AB30" s="594"/>
      <c r="AC30" s="595" t="s">
        <v>137</v>
      </c>
      <c r="AD30" s="594"/>
      <c r="AE30" s="197"/>
      <c r="AF30" s="284">
        <f t="shared" si="2"/>
        <v>1</v>
      </c>
      <c r="AG30" s="285">
        <f t="shared" si="3"/>
        <v>0</v>
      </c>
      <c r="AH30" s="285">
        <f t="shared" si="4"/>
        <v>4</v>
      </c>
      <c r="AI30" s="286">
        <f t="shared" si="5"/>
        <v>0</v>
      </c>
      <c r="AJ30" s="287">
        <f t="shared" ref="AJ30:AJ48" si="29">IF(AE30=TRUE,0.5,AL30)</f>
        <v>0.6</v>
      </c>
      <c r="AK30" s="288"/>
      <c r="AL30" s="289">
        <f t="shared" si="6"/>
        <v>0.6</v>
      </c>
      <c r="AM30" s="290" t="str">
        <f t="shared" si="7"/>
        <v/>
      </c>
      <c r="AN30" s="290" t="str">
        <f t="shared" si="8"/>
        <v/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5"/>
      <c r="E31" s="596"/>
      <c r="F31" s="592" t="s">
        <v>33</v>
      </c>
      <c r="G31" s="593"/>
      <c r="H31" s="594"/>
      <c r="I31" s="192">
        <v>1</v>
      </c>
      <c r="J31" s="192">
        <v>30</v>
      </c>
      <c r="K31" s="192">
        <v>30</v>
      </c>
      <c r="L31" s="192"/>
      <c r="M31" s="192">
        <v>45</v>
      </c>
      <c r="N31" s="595"/>
      <c r="O31" s="593"/>
      <c r="P31" s="594"/>
      <c r="Q31" s="192"/>
      <c r="R31" s="192"/>
      <c r="S31" s="192">
        <v>0.7</v>
      </c>
      <c r="T31" s="192"/>
      <c r="U31" s="192"/>
      <c r="V31" s="193"/>
      <c r="W31" s="194"/>
      <c r="X31" s="192"/>
      <c r="Y31" s="192"/>
      <c r="Z31" s="228"/>
      <c r="AA31" s="595" t="s">
        <v>136</v>
      </c>
      <c r="AB31" s="594"/>
      <c r="AC31" s="595" t="s">
        <v>136</v>
      </c>
      <c r="AD31" s="594"/>
      <c r="AE31" s="197"/>
      <c r="AF31" s="284">
        <f t="shared" si="2"/>
        <v>1</v>
      </c>
      <c r="AG31" s="285">
        <f t="shared" si="3"/>
        <v>0</v>
      </c>
      <c r="AH31" s="285">
        <f t="shared" si="4"/>
        <v>8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1.0110600000000001</v>
      </c>
      <c r="AN31" s="290">
        <f t="shared" ref="AN31:AN46" si="37">IF(ISERROR(AM31*(IF(AJ31=1,8,IF(AJ31=0.8,6.4,IF(AJ31=0.6,4.8,IF(AJ31=0.5,4)))))),"",AM31*(IF(AJ31=1,8,IF(AJ31=0.8,6.4,IF(AJ31=0.6,4.8,IF(AJ31=0.5,4))))))</f>
        <v>4.0442400000000003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>
        <f t="shared" si="26"/>
        <v>1.0110600000000001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5"/>
      <c r="E32" s="596"/>
      <c r="F32" s="592" t="s">
        <v>33</v>
      </c>
      <c r="G32" s="593"/>
      <c r="H32" s="594"/>
      <c r="I32" s="192">
        <v>1</v>
      </c>
      <c r="J32" s="192">
        <v>25</v>
      </c>
      <c r="K32" s="192">
        <v>25</v>
      </c>
      <c r="L32" s="192"/>
      <c r="M32" s="192">
        <v>40</v>
      </c>
      <c r="N32" s="595"/>
      <c r="O32" s="593"/>
      <c r="P32" s="594"/>
      <c r="Q32" s="192"/>
      <c r="R32" s="192"/>
      <c r="S32" s="192">
        <v>0.61</v>
      </c>
      <c r="T32" s="192"/>
      <c r="U32" s="192"/>
      <c r="V32" s="193"/>
      <c r="W32" s="194"/>
      <c r="X32" s="192"/>
      <c r="Y32" s="192"/>
      <c r="Z32" s="195"/>
      <c r="AA32" s="595" t="s">
        <v>136</v>
      </c>
      <c r="AB32" s="594"/>
      <c r="AC32" s="595" t="s">
        <v>136</v>
      </c>
      <c r="AD32" s="594"/>
      <c r="AE32" s="197"/>
      <c r="AF32" s="284">
        <f t="shared" si="2"/>
        <v>1</v>
      </c>
      <c r="AG32" s="285">
        <f t="shared" si="3"/>
        <v>0</v>
      </c>
      <c r="AH32" s="285">
        <f t="shared" si="4"/>
        <v>8</v>
      </c>
      <c r="AI32" s="286">
        <f t="shared" si="5"/>
        <v>0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0.75408999999999993</v>
      </c>
      <c r="AN32" s="290">
        <f t="shared" si="37"/>
        <v>3.0163599999999997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>
        <f t="shared" si="26"/>
        <v>0.75408999999999993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5"/>
      <c r="E33" s="596"/>
      <c r="F33" s="592" t="s">
        <v>104</v>
      </c>
      <c r="G33" s="593"/>
      <c r="H33" s="594"/>
      <c r="I33" s="192">
        <v>1</v>
      </c>
      <c r="J33" s="192">
        <v>30</v>
      </c>
      <c r="K33" s="192">
        <v>30</v>
      </c>
      <c r="L33" s="192"/>
      <c r="M33" s="192"/>
      <c r="N33" s="595"/>
      <c r="O33" s="593"/>
      <c r="P33" s="594"/>
      <c r="Q33" s="192">
        <v>25</v>
      </c>
      <c r="R33" s="192">
        <v>25</v>
      </c>
      <c r="S33" s="192">
        <v>0.45</v>
      </c>
      <c r="T33" s="192"/>
      <c r="U33" s="192"/>
      <c r="V33" s="193"/>
      <c r="W33" s="194"/>
      <c r="X33" s="192"/>
      <c r="Y33" s="192"/>
      <c r="Z33" s="195"/>
      <c r="AA33" s="595" t="s">
        <v>136</v>
      </c>
      <c r="AB33" s="594"/>
      <c r="AC33" s="595" t="s">
        <v>136</v>
      </c>
      <c r="AD33" s="594"/>
      <c r="AE33" s="197"/>
      <c r="AF33" s="284">
        <f t="shared" si="2"/>
        <v>1</v>
      </c>
      <c r="AG33" s="285">
        <f t="shared" si="3"/>
        <v>0</v>
      </c>
      <c r="AH33" s="285">
        <f t="shared" si="4"/>
        <v>8</v>
      </c>
      <c r="AI33" s="286">
        <f t="shared" si="5"/>
        <v>0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0.70224000000000009</v>
      </c>
      <c r="AN33" s="290">
        <f t="shared" si="37"/>
        <v>2.8089600000000003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>
        <f t="shared" si="32"/>
        <v>0.70224000000000009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5"/>
      <c r="E34" s="596"/>
      <c r="F34" s="592"/>
      <c r="G34" s="593"/>
      <c r="H34" s="594"/>
      <c r="I34" s="192"/>
      <c r="J34" s="192"/>
      <c r="K34" s="192"/>
      <c r="L34" s="192"/>
      <c r="M34" s="192"/>
      <c r="N34" s="595"/>
      <c r="O34" s="593"/>
      <c r="P34" s="594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5"/>
      <c r="AB34" s="594"/>
      <c r="AC34" s="595"/>
      <c r="AD34" s="594"/>
      <c r="AE34" s="197"/>
      <c r="AF34" s="284" t="str">
        <f t="shared" si="2"/>
        <v/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 t="str">
        <f t="shared" si="36"/>
        <v/>
      </c>
      <c r="AK34" s="288"/>
      <c r="AL34" s="289" t="str">
        <f t="shared" si="6"/>
        <v/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5"/>
      <c r="E35" s="596"/>
      <c r="F35" s="592"/>
      <c r="G35" s="593"/>
      <c r="H35" s="594"/>
      <c r="I35" s="192"/>
      <c r="J35" s="192"/>
      <c r="K35" s="192"/>
      <c r="L35" s="192"/>
      <c r="M35" s="192"/>
      <c r="N35" s="595"/>
      <c r="O35" s="593"/>
      <c r="P35" s="594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595"/>
      <c r="AB35" s="594"/>
      <c r="AC35" s="595"/>
      <c r="AD35" s="594"/>
      <c r="AE35" s="197"/>
      <c r="AF35" s="284" t="str">
        <f t="shared" si="2"/>
        <v/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 t="str">
        <f t="shared" si="36"/>
        <v/>
      </c>
      <c r="AK35" s="288"/>
      <c r="AL35" s="289" t="str">
        <f t="shared" si="6"/>
        <v/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5"/>
      <c r="E36" s="596"/>
      <c r="F36" s="592"/>
      <c r="G36" s="593"/>
      <c r="H36" s="594"/>
      <c r="I36" s="192"/>
      <c r="J36" s="192"/>
      <c r="K36" s="192"/>
      <c r="L36" s="192"/>
      <c r="M36" s="192"/>
      <c r="N36" s="595"/>
      <c r="O36" s="593"/>
      <c r="P36" s="594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5"/>
      <c r="AB36" s="594"/>
      <c r="AC36" s="595"/>
      <c r="AD36" s="594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5"/>
      <c r="E37" s="596"/>
      <c r="F37" s="592"/>
      <c r="G37" s="593"/>
      <c r="H37" s="594"/>
      <c r="I37" s="192"/>
      <c r="J37" s="192"/>
      <c r="K37" s="192"/>
      <c r="L37" s="192"/>
      <c r="M37" s="192"/>
      <c r="N37" s="595"/>
      <c r="O37" s="593"/>
      <c r="P37" s="594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5"/>
      <c r="AB37" s="594"/>
      <c r="AC37" s="595"/>
      <c r="AD37" s="594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5"/>
      <c r="E38" s="596"/>
      <c r="F38" s="592"/>
      <c r="G38" s="593"/>
      <c r="H38" s="594"/>
      <c r="I38" s="192"/>
      <c r="J38" s="192"/>
      <c r="K38" s="192"/>
      <c r="L38" s="192"/>
      <c r="M38" s="192"/>
      <c r="N38" s="595"/>
      <c r="O38" s="593"/>
      <c r="P38" s="594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5"/>
      <c r="AB38" s="594"/>
      <c r="AC38" s="595"/>
      <c r="AD38" s="594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5"/>
      <c r="E39" s="596"/>
      <c r="F39" s="592"/>
      <c r="G39" s="593"/>
      <c r="H39" s="594"/>
      <c r="I39" s="192"/>
      <c r="J39" s="192"/>
      <c r="K39" s="192"/>
      <c r="L39" s="192"/>
      <c r="M39" s="192"/>
      <c r="N39" s="595"/>
      <c r="O39" s="593"/>
      <c r="P39" s="594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5"/>
      <c r="AB39" s="594"/>
      <c r="AC39" s="595"/>
      <c r="AD39" s="594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5"/>
      <c r="E40" s="596"/>
      <c r="F40" s="592"/>
      <c r="G40" s="593"/>
      <c r="H40" s="594"/>
      <c r="I40" s="192"/>
      <c r="J40" s="192"/>
      <c r="K40" s="192"/>
      <c r="L40" s="192"/>
      <c r="M40" s="192"/>
      <c r="N40" s="595"/>
      <c r="O40" s="593"/>
      <c r="P40" s="594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5"/>
      <c r="AB40" s="594"/>
      <c r="AC40" s="595"/>
      <c r="AD40" s="594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5"/>
      <c r="E41" s="596"/>
      <c r="F41" s="592"/>
      <c r="G41" s="593"/>
      <c r="H41" s="594"/>
      <c r="I41" s="192"/>
      <c r="J41" s="192"/>
      <c r="K41" s="192"/>
      <c r="L41" s="192"/>
      <c r="M41" s="192"/>
      <c r="N41" s="595"/>
      <c r="O41" s="593"/>
      <c r="P41" s="594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5"/>
      <c r="AB41" s="594"/>
      <c r="AC41" s="595"/>
      <c r="AD41" s="594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5"/>
      <c r="E42" s="596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5"/>
      <c r="E43" s="596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5"/>
      <c r="E44" s="596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5"/>
      <c r="E45" s="596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5"/>
      <c r="E46" s="596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5"/>
      <c r="E47" s="596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5"/>
      <c r="E48" s="596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5</v>
      </c>
      <c r="AG49" s="203"/>
      <c r="AH49" s="204">
        <f>SUM(AH29:AH48)</f>
        <v>32</v>
      </c>
      <c r="AI49" s="204">
        <f>SUM(AI29:AI48)</f>
        <v>0</v>
      </c>
      <c r="AJ49" s="205"/>
      <c r="AK49" s="205"/>
      <c r="AL49" s="206"/>
      <c r="AM49" s="207">
        <f>SUM(AM29:AM48)</f>
        <v>2.46739</v>
      </c>
      <c r="AN49" s="208">
        <f>SUM(AN29:AN48)</f>
        <v>9.8695599999999999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23" t="s">
        <v>110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5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45" t="s">
        <v>225</v>
      </c>
      <c r="AI2" s="646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47" t="s">
        <v>188</v>
      </c>
      <c r="AF3" s="647"/>
      <c r="AG3" s="647"/>
      <c r="AH3" s="647"/>
      <c r="AI3" s="648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54" t="s">
        <v>4</v>
      </c>
      <c r="D5" s="655"/>
      <c r="E5" s="655"/>
      <c r="F5" s="655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56" t="s">
        <v>5</v>
      </c>
      <c r="R5" s="657"/>
      <c r="S5" s="658"/>
      <c r="T5" s="674" t="str">
        <f>+'Diseño 1"'!K5</f>
        <v>06-04-2'026</v>
      </c>
      <c r="U5" s="675"/>
      <c r="V5" s="675"/>
      <c r="W5" s="676"/>
      <c r="X5" s="659" t="s">
        <v>6</v>
      </c>
      <c r="Y5" s="660"/>
      <c r="Z5" s="661"/>
      <c r="AA5" s="661"/>
      <c r="AB5" s="661"/>
      <c r="AC5" s="661"/>
      <c r="AD5" s="661"/>
      <c r="AE5" s="661"/>
      <c r="AF5" s="661"/>
      <c r="AG5" s="661"/>
      <c r="AH5" s="661"/>
      <c r="AI5" s="662"/>
      <c r="AJ5" s="5"/>
      <c r="AK5" s="5"/>
      <c r="AL5" s="5"/>
      <c r="AM5" s="5"/>
      <c r="AN5" s="5"/>
    </row>
    <row r="6" spans="3:40" ht="15" customHeight="1" thickBot="1" x14ac:dyDescent="0.25">
      <c r="C6" s="663" t="s">
        <v>7</v>
      </c>
      <c r="D6" s="664"/>
      <c r="E6" s="664"/>
      <c r="F6" s="664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65" t="s">
        <v>214</v>
      </c>
      <c r="R6" s="666"/>
      <c r="S6" s="667"/>
      <c r="T6" s="668" t="str">
        <f>+T5</f>
        <v>06-04-2'026</v>
      </c>
      <c r="U6" s="669"/>
      <c r="V6" s="669"/>
      <c r="W6" s="670"/>
      <c r="X6" s="702" t="s">
        <v>189</v>
      </c>
      <c r="Y6" s="702"/>
      <c r="Z6" s="702"/>
      <c r="AA6" s="702"/>
      <c r="AB6" s="702"/>
      <c r="AC6" s="702"/>
      <c r="AD6" s="702"/>
      <c r="AE6" s="702"/>
      <c r="AF6" s="702"/>
      <c r="AG6" s="702"/>
      <c r="AH6" s="703"/>
      <c r="AI6" s="677" t="s">
        <v>235</v>
      </c>
      <c r="AJ6" s="5"/>
      <c r="AK6" s="5"/>
      <c r="AL6" s="5"/>
      <c r="AM6" s="5"/>
      <c r="AN6" s="5"/>
    </row>
    <row r="7" spans="3:40" ht="15" customHeight="1" x14ac:dyDescent="0.2">
      <c r="C7" s="663" t="s">
        <v>9</v>
      </c>
      <c r="D7" s="664"/>
      <c r="E7" s="664"/>
      <c r="F7" s="664"/>
      <c r="G7" s="544">
        <f>+'Diseño 1"'!D7</f>
        <v>52</v>
      </c>
      <c r="H7" s="122"/>
      <c r="I7" s="122"/>
      <c r="J7" s="122"/>
      <c r="K7" s="122"/>
      <c r="L7" s="122"/>
      <c r="M7" s="122"/>
      <c r="N7" s="122"/>
      <c r="O7" s="122"/>
      <c r="P7" s="545"/>
      <c r="Q7" s="665" t="s">
        <v>236</v>
      </c>
      <c r="R7" s="666"/>
      <c r="S7" s="667"/>
      <c r="T7" s="671" t="e">
        <f>WORKDAY(T6,5,0)</f>
        <v>#VALUE!</v>
      </c>
      <c r="U7" s="672"/>
      <c r="V7" s="672"/>
      <c r="W7" s="673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704" t="s">
        <v>39</v>
      </c>
      <c r="AH7" s="705"/>
      <c r="AI7" s="678"/>
      <c r="AJ7" s="5"/>
      <c r="AK7" s="5"/>
      <c r="AL7" s="5"/>
      <c r="AM7" s="5"/>
      <c r="AN7" s="5"/>
    </row>
    <row r="8" spans="3:40" ht="15" customHeight="1" thickBot="1" x14ac:dyDescent="0.25">
      <c r="C8" s="663" t="s">
        <v>190</v>
      </c>
      <c r="D8" s="664"/>
      <c r="E8" s="664"/>
      <c r="F8" s="664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65" t="s">
        <v>215</v>
      </c>
      <c r="R8" s="666"/>
      <c r="S8" s="667"/>
      <c r="T8" s="671">
        <f>+'Diseño 1"'!K6</f>
        <v>0</v>
      </c>
      <c r="U8" s="672"/>
      <c r="V8" s="672"/>
      <c r="W8" s="673"/>
      <c r="X8" s="534">
        <f>SUMIFS('Diseño 1"'!AN29:AN48,'Diseño 1"'!AJ29:AJ48,0.5)</f>
        <v>9.8695599999999999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9.8695599999999999</v>
      </c>
      <c r="AH8" s="538"/>
      <c r="AI8" s="533">
        <f>+'Diseño 1"'!AM49</f>
        <v>2.46739</v>
      </c>
      <c r="AJ8" s="5"/>
      <c r="AK8" s="5"/>
      <c r="AL8" s="5"/>
      <c r="AM8" s="5"/>
      <c r="AN8" s="5"/>
    </row>
    <row r="9" spans="3:40" ht="15" customHeight="1" thickBot="1" x14ac:dyDescent="0.25">
      <c r="C9" s="679" t="s">
        <v>216</v>
      </c>
      <c r="D9" s="680"/>
      <c r="E9" s="680"/>
      <c r="F9" s="68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81"/>
      <c r="R9" s="682"/>
      <c r="S9" s="683"/>
      <c r="T9" s="684"/>
      <c r="U9" s="685"/>
      <c r="V9" s="685"/>
      <c r="W9" s="68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43" t="s">
        <v>208</v>
      </c>
      <c r="AI10" s="64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89" t="s">
        <v>60</v>
      </c>
      <c r="E11" s="690"/>
      <c r="F11" s="259" t="s">
        <v>59</v>
      </c>
      <c r="G11" s="689" t="s">
        <v>61</v>
      </c>
      <c r="H11" s="690"/>
      <c r="I11" s="689" t="s">
        <v>62</v>
      </c>
      <c r="J11" s="690"/>
      <c r="K11" s="259" t="s">
        <v>20</v>
      </c>
      <c r="L11" s="691" t="s">
        <v>193</v>
      </c>
      <c r="M11" s="692"/>
      <c r="N11" s="259" t="s">
        <v>65</v>
      </c>
      <c r="O11" s="259" t="s">
        <v>66</v>
      </c>
      <c r="P11" s="689" t="s">
        <v>67</v>
      </c>
      <c r="Q11" s="690"/>
      <c r="R11" s="689" t="s">
        <v>194</v>
      </c>
      <c r="S11" s="69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89" t="s">
        <v>75</v>
      </c>
      <c r="Z11" s="690"/>
      <c r="AA11" s="689" t="s">
        <v>76</v>
      </c>
      <c r="AB11" s="690"/>
      <c r="AC11" s="258" t="s">
        <v>195</v>
      </c>
      <c r="AD11" s="261" t="s">
        <v>78</v>
      </c>
      <c r="AE11" s="689" t="s">
        <v>196</v>
      </c>
      <c r="AF11" s="69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93" t="str">
        <f>IF('Diseño 1"'!B29="","",'Diseño 1"'!B29)</f>
        <v/>
      </c>
      <c r="E12" s="694"/>
      <c r="F12" s="247" t="str">
        <f>IF('Diseño 1"'!C29=0,"",'Diseño 1"'!C29)</f>
        <v/>
      </c>
      <c r="G12" s="693" t="str">
        <f>IF('Diseño 1"'!D29="","",'Diseño 1"'!D29)</f>
        <v>Segundo piso</v>
      </c>
      <c r="H12" s="694"/>
      <c r="I12" s="693" t="str">
        <f>IF('Diseño 1"'!F29="","",'Diseño 1"'!F29)</f>
        <v>Transformación</v>
      </c>
      <c r="J12" s="694"/>
      <c r="K12" s="248">
        <f>IF(I12="","",'Diseño 1"'!I29)</f>
        <v>1</v>
      </c>
      <c r="L12" s="242">
        <f>IF('Diseño 1"'!J29="","",'Diseño 1"'!J29)</f>
        <v>77</v>
      </c>
      <c r="M12" s="242">
        <f>IF('Diseño 1"'!K29="","",'Diseño 1"'!K29)</f>
        <v>22</v>
      </c>
      <c r="N12" s="242">
        <f>'Diseño 1"'!L29</f>
        <v>0</v>
      </c>
      <c r="O12" s="242" t="str">
        <f>IF('Diseño 1"'!M29="","",'Diseño 1"'!M29)</f>
        <v/>
      </c>
      <c r="P12" s="687" t="str">
        <f>IF('Diseño 1"'!N29="","",'Diseño 1"'!N29)</f>
        <v/>
      </c>
      <c r="Q12" s="694"/>
      <c r="R12" s="242">
        <f>IF('Diseño 1"'!Q29="","",'Diseño 1"'!Q29)</f>
        <v>40</v>
      </c>
      <c r="S12" s="242">
        <f>IF('Diseño 1"'!R29="","",'Diseño 1"'!R29)</f>
        <v>30</v>
      </c>
      <c r="T12" s="242">
        <f>IF('Diseño 1"'!S29="","",'Diseño 1"'!S29)</f>
        <v>0.38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87" t="str">
        <f>IF('Diseño 1"'!AA29="","",'Diseño 1"'!AA29)</f>
        <v>Triple 50</v>
      </c>
      <c r="Z12" s="688"/>
      <c r="AA12" s="687" t="str">
        <f>IF('Diseño 1"'!AC29="","",'Diseño 1"'!AC29)</f>
        <v>TDF</v>
      </c>
      <c r="AB12" s="688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0.6</v>
      </c>
      <c r="AF12" s="254" t="str">
        <f>'Diseño 1"'!AK29</f>
        <v/>
      </c>
      <c r="AG12" s="255" t="str">
        <f>IF('Diseño 1"'!AN29="","",'Diseño 1"'!AN29)</f>
        <v/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95" t="str">
        <f>IF('Diseño 1"'!B30="","",'Diseño 1"'!B30)</f>
        <v/>
      </c>
      <c r="E13" s="651"/>
      <c r="F13" s="19" t="str">
        <f>IF('Diseño 1"'!C30=0,"",'Diseño 1"'!C30)</f>
        <v/>
      </c>
      <c r="G13" s="695" t="str">
        <f>IF('Diseño 1"'!D30="","",'Diseño 1"'!D30)</f>
        <v/>
      </c>
      <c r="H13" s="651"/>
      <c r="I13" s="695" t="str">
        <f>IF('Diseño 1"'!F30="","",'Diseño 1"'!F30)</f>
        <v>Unión c/ Lona</v>
      </c>
      <c r="J13" s="651"/>
      <c r="K13" s="20">
        <f>IF(I13="","",'Diseño 1"'!I30)</f>
        <v>1</v>
      </c>
      <c r="L13" s="17">
        <f>IF('Diseño 1"'!J30="","",'Diseño 1"'!J30)</f>
        <v>77</v>
      </c>
      <c r="M13" s="17">
        <f>IF('Diseño 1"'!K30="","",'Diseño 1"'!K30)</f>
        <v>22</v>
      </c>
      <c r="N13" s="17">
        <f>'Diseño 1"'!L30</f>
        <v>0</v>
      </c>
      <c r="O13" s="17" t="str">
        <f>IF('Diseño 1"'!M30="","",'Diseño 1"'!M30)</f>
        <v/>
      </c>
      <c r="P13" s="649" t="str">
        <f>IF('Diseño 1"'!N30="","",'Diseño 1"'!N30)</f>
        <v/>
      </c>
      <c r="Q13" s="651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0.2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9" t="str">
        <f>IF('Diseño 1"'!AA30="","",'Diseño 1"'!AA30)</f>
        <v>TDF</v>
      </c>
      <c r="Z13" s="650"/>
      <c r="AA13" s="649" t="str">
        <f>IF('Diseño 1"'!AC30="","",'Diseño 1"'!AC30)</f>
        <v>Liso</v>
      </c>
      <c r="AB13" s="650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0.6</v>
      </c>
      <c r="AF13" s="93">
        <f>'Diseño 1"'!AK30</f>
        <v>0</v>
      </c>
      <c r="AG13" s="243" t="str">
        <f>IF('Diseño 1"'!AN30="","",'Diseño 1"'!AN30)</f>
        <v/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95" t="str">
        <f>IF('Diseño 1"'!B31="","",'Diseño 1"'!B31)</f>
        <v/>
      </c>
      <c r="E14" s="651"/>
      <c r="F14" s="19" t="str">
        <f>IF('Diseño 1"'!C31=0,"",'Diseño 1"'!C31)</f>
        <v/>
      </c>
      <c r="G14" s="695"/>
      <c r="H14" s="651"/>
      <c r="I14" s="695" t="str">
        <f>IF('Diseño 1"'!F31="","",'Diseño 1"'!F31)</f>
        <v>S</v>
      </c>
      <c r="J14" s="651"/>
      <c r="K14" s="20">
        <f>IF(I14="","",'Diseño 1"'!I31)</f>
        <v>1</v>
      </c>
      <c r="L14" s="17">
        <f>IF('Diseño 1"'!J31="","",'Diseño 1"'!J31)</f>
        <v>30</v>
      </c>
      <c r="M14" s="17">
        <f>IF('Diseño 1"'!K31="","",'Diseño 1"'!K31)</f>
        <v>30</v>
      </c>
      <c r="N14" s="17">
        <f>'Diseño 1"'!L31</f>
        <v>0</v>
      </c>
      <c r="O14" s="17">
        <f>IF('Diseño 1"'!M31="","",'Diseño 1"'!M31)</f>
        <v>45</v>
      </c>
      <c r="P14" s="649" t="str">
        <f>IF('Diseño 1"'!N31="","",'Diseño 1"'!N31)</f>
        <v/>
      </c>
      <c r="Q14" s="651"/>
      <c r="R14" s="17" t="str">
        <f>IF('Diseño 1"'!Q31="","",'Diseño 1"'!Q31)</f>
        <v/>
      </c>
      <c r="S14" s="17" t="str">
        <f>IF('Diseño 1"'!R31="","",'Diseño 1"'!R31)</f>
        <v/>
      </c>
      <c r="T14" s="242">
        <f>IF('Diseño 1"'!S31="","",'Diseño 1"'!S31)</f>
        <v>0.7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9" t="str">
        <f>IF('Diseño 1"'!AA31="","",'Diseño 1"'!AA31)</f>
        <v>TDF</v>
      </c>
      <c r="Z14" s="650"/>
      <c r="AA14" s="649" t="str">
        <f>IF('Diseño 1"'!AC31="","",'Diseño 1"'!AC31)</f>
        <v>TDF</v>
      </c>
      <c r="AB14" s="650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4.0442400000000003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95" t="str">
        <f>IF('Diseño 1"'!B32="","",'Diseño 1"'!B32)</f>
        <v/>
      </c>
      <c r="E15" s="651"/>
      <c r="F15" s="19" t="str">
        <f>IF('Diseño 1"'!C32=0,"",'Diseño 1"'!C32)</f>
        <v/>
      </c>
      <c r="G15" s="695" t="str">
        <f>IF('Diseño 1"'!D32="","",'Diseño 1"'!D32)</f>
        <v/>
      </c>
      <c r="H15" s="651"/>
      <c r="I15" s="695" t="str">
        <f>IF('Diseño 1"'!F32="","",'Diseño 1"'!F32)</f>
        <v>S</v>
      </c>
      <c r="J15" s="651"/>
      <c r="K15" s="20">
        <f>IF(I15="","",'Diseño 1"'!I32)</f>
        <v>1</v>
      </c>
      <c r="L15" s="17">
        <f>IF('Diseño 1"'!J32="","",'Diseño 1"'!J32)</f>
        <v>25</v>
      </c>
      <c r="M15" s="17">
        <f>IF('Diseño 1"'!K32="","",'Diseño 1"'!K32)</f>
        <v>25</v>
      </c>
      <c r="N15" s="17">
        <f>'Diseño 1"'!L32</f>
        <v>0</v>
      </c>
      <c r="O15" s="17">
        <f>IF('Diseño 1"'!M32="","",'Diseño 1"'!M32)</f>
        <v>40</v>
      </c>
      <c r="P15" s="649" t="str">
        <f>IF('Diseño 1"'!N32="","",'Diseño 1"'!N32)</f>
        <v/>
      </c>
      <c r="Q15" s="651"/>
      <c r="R15" s="17" t="str">
        <f>IF('Diseño 1"'!Q32="","",'Diseño 1"'!Q32)</f>
        <v/>
      </c>
      <c r="S15" s="17" t="str">
        <f>IF('Diseño 1"'!R32="","",'Diseño 1"'!R32)</f>
        <v/>
      </c>
      <c r="T15" s="242">
        <f>IF('Diseño 1"'!S32="","",'Diseño 1"'!S32)</f>
        <v>0.61</v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9" t="str">
        <f>IF('Diseño 1"'!AA32="","",'Diseño 1"'!AA32)</f>
        <v>TDF</v>
      </c>
      <c r="Z15" s="650"/>
      <c r="AA15" s="649" t="str">
        <f>IF('Diseño 1"'!AC32="","",'Diseño 1"'!AC32)</f>
        <v>TDF</v>
      </c>
      <c r="AB15" s="650"/>
      <c r="AE15" s="24">
        <f>'Diseño 1"'!AJ32</f>
        <v>0.5</v>
      </c>
      <c r="AF15" s="93">
        <f>'Diseño 1"'!AK32</f>
        <v>0</v>
      </c>
      <c r="AG15" s="243">
        <f>IF('Diseño 1"'!AN32="","",'Diseño 1"'!AN32)</f>
        <v>3.0163599999999997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95" t="str">
        <f>IF('Diseño 1"'!B33="","",'Diseño 1"'!B33)</f>
        <v/>
      </c>
      <c r="E16" s="651"/>
      <c r="F16" s="19" t="str">
        <f>IF('Diseño 1"'!C33=0,"",'Diseño 1"'!C33)</f>
        <v/>
      </c>
      <c r="G16" s="695" t="str">
        <f>IF('Diseño 1"'!D33="","",'Diseño 1"'!D33)</f>
        <v/>
      </c>
      <c r="H16" s="651"/>
      <c r="I16" s="695" t="str">
        <f>IF('Diseño 1"'!F33="","",'Diseño 1"'!F33)</f>
        <v>Transformación</v>
      </c>
      <c r="J16" s="651"/>
      <c r="K16" s="20">
        <f>IF(I16="","",'Diseño 1"'!I33)</f>
        <v>1</v>
      </c>
      <c r="L16" s="17">
        <f>IF('Diseño 1"'!J33="","",'Diseño 1"'!J33)</f>
        <v>30</v>
      </c>
      <c r="M16" s="17">
        <f>IF('Diseño 1"'!K33="","",'Diseño 1"'!K33)</f>
        <v>30</v>
      </c>
      <c r="N16" s="17">
        <f>'Diseño 1"'!L33</f>
        <v>0</v>
      </c>
      <c r="O16" s="17" t="str">
        <f>IF('Diseño 1"'!M33="","",'Diseño 1"'!M33)</f>
        <v/>
      </c>
      <c r="P16" s="649" t="str">
        <f>IF('Diseño 1"'!N33="","",'Diseño 1"'!N33)</f>
        <v/>
      </c>
      <c r="Q16" s="651"/>
      <c r="R16" s="17">
        <f>IF('Diseño 1"'!Q33="","",'Diseño 1"'!Q33)</f>
        <v>25</v>
      </c>
      <c r="S16" s="17">
        <f>IF('Diseño 1"'!R33="","",'Diseño 1"'!R33)</f>
        <v>25</v>
      </c>
      <c r="T16" s="242">
        <f>IF('Diseño 1"'!S33="","",'Diseño 1"'!S33)</f>
        <v>0.45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9" t="str">
        <f>IF('Diseño 1"'!AA33="","",'Diseño 1"'!AA33)</f>
        <v>TDF</v>
      </c>
      <c r="Z16" s="650"/>
      <c r="AA16" s="649" t="str">
        <f>IF('Diseño 1"'!AC33="","",'Diseño 1"'!AC33)</f>
        <v>TDF</v>
      </c>
      <c r="AB16" s="650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2.8089600000000003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95" t="str">
        <f>IF('Diseño 1"'!B34="","",'Diseño 1"'!B34)</f>
        <v/>
      </c>
      <c r="E17" s="651"/>
      <c r="F17" s="19" t="str">
        <f>IF('Diseño 1"'!C34=0,"",'Diseño 1"'!C34)</f>
        <v/>
      </c>
      <c r="G17" s="695" t="str">
        <f>IF('Diseño 1"'!D34="","",'Diseño 1"'!D34)</f>
        <v/>
      </c>
      <c r="H17" s="651"/>
      <c r="I17" s="695" t="str">
        <f>IF('Diseño 1"'!F34="","",'Diseño 1"'!F34)</f>
        <v/>
      </c>
      <c r="J17" s="651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49" t="str">
        <f>IF('Diseño 1"'!N34="","",'Diseño 1"'!N34)</f>
        <v/>
      </c>
      <c r="Q17" s="651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9" t="str">
        <f>IF('Diseño 1"'!AA34="","",'Diseño 1"'!AA34)</f>
        <v/>
      </c>
      <c r="Z17" s="650"/>
      <c r="AA17" s="649" t="str">
        <f>IF('Diseño 1"'!AC34="","",'Diseño 1"'!AC34)</f>
        <v/>
      </c>
      <c r="AB17" s="650"/>
      <c r="AC17" s="23" t="str">
        <f>IF('Diseño 1"'!AE34=TRUE,0.5,"")</f>
        <v/>
      </c>
      <c r="AD17" s="92" t="str">
        <f>IF('Diseño 1"'!AF34="","",'Diseño 1"'!AF34)</f>
        <v/>
      </c>
      <c r="AE17" s="24" t="str">
        <f>'Diseño 1"'!AJ34</f>
        <v/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95" t="str">
        <f>IF('Diseño 1"'!B35="","",'Diseño 1"'!B35)</f>
        <v/>
      </c>
      <c r="E18" s="651"/>
      <c r="F18" s="19" t="str">
        <f>IF('Diseño 1"'!C35=0,"",'Diseño 1"'!C35)</f>
        <v/>
      </c>
      <c r="G18" s="695" t="str">
        <f>IF('Diseño 1"'!D35="","",'Diseño 1"'!D35)</f>
        <v/>
      </c>
      <c r="H18" s="651"/>
      <c r="I18" s="695" t="str">
        <f>IF('Diseño 1"'!F35="","",'Diseño 1"'!F35)</f>
        <v/>
      </c>
      <c r="J18" s="651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49" t="str">
        <f>IF('Diseño 1"'!N35="","",'Diseño 1"'!N35)</f>
        <v/>
      </c>
      <c r="Q18" s="651"/>
      <c r="R18" s="17" t="str">
        <f>IF('Diseño 1"'!Q35="","",'Diseño 1"'!Q35)</f>
        <v/>
      </c>
      <c r="S18" s="17" t="str">
        <f>IF('Diseño 1"'!R35="","",'Diseño 1"'!R35)</f>
        <v/>
      </c>
      <c r="T18" s="242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9" t="str">
        <f>IF('Diseño 1"'!AA35="","",'Diseño 1"'!AA35)</f>
        <v/>
      </c>
      <c r="Z18" s="650"/>
      <c r="AA18" s="649" t="str">
        <f>IF('Diseño 1"'!AC35="","",'Diseño 1"'!AC35)</f>
        <v/>
      </c>
      <c r="AB18" s="650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95" t="str">
        <f>IF('Diseño 1"'!B36="","",'Diseño 1"'!B36)</f>
        <v/>
      </c>
      <c r="E19" s="651"/>
      <c r="F19" s="19" t="str">
        <f>IF('Diseño 1"'!C36=0,"",'Diseño 1"'!C36)</f>
        <v/>
      </c>
      <c r="G19" s="695" t="str">
        <f>IF('Diseño 1"'!D36="","",'Diseño 1"'!D36)</f>
        <v/>
      </c>
      <c r="H19" s="651"/>
      <c r="I19" s="695" t="str">
        <f>IF('Diseño 1"'!F36="","",'Diseño 1"'!F36)</f>
        <v/>
      </c>
      <c r="J19" s="651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49" t="str">
        <f>IF('Diseño 1"'!N36="","",'Diseño 1"'!N36)</f>
        <v/>
      </c>
      <c r="Q19" s="651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9" t="str">
        <f>IF('Diseño 1"'!AA36="","",'Diseño 1"'!AA36)</f>
        <v/>
      </c>
      <c r="Z19" s="650"/>
      <c r="AA19" s="649" t="str">
        <f>IF('Diseño 1"'!AC36="","",'Diseño 1"'!AC36)</f>
        <v/>
      </c>
      <c r="AB19" s="650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95" t="str">
        <f>IF('Diseño 1"'!B37="","",'Diseño 1"'!B37)</f>
        <v/>
      </c>
      <c r="E20" s="651"/>
      <c r="F20" s="19" t="str">
        <f>IF('Diseño 1"'!C37=0,"",'Diseño 1"'!C37)</f>
        <v/>
      </c>
      <c r="G20" s="695" t="str">
        <f>IF('Diseño 1"'!D37="","",'Diseño 1"'!D37)</f>
        <v/>
      </c>
      <c r="H20" s="651"/>
      <c r="I20" s="695" t="str">
        <f>IF('Diseño 1"'!F37="","",'Diseño 1"'!F37)</f>
        <v/>
      </c>
      <c r="J20" s="651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49" t="str">
        <f>IF('Diseño 1"'!N37="","",'Diseño 1"'!N37)</f>
        <v/>
      </c>
      <c r="Q20" s="651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9" t="str">
        <f>IF('Diseño 1"'!AA37="","",'Diseño 1"'!AA37)</f>
        <v/>
      </c>
      <c r="Z20" s="650"/>
      <c r="AA20" s="649" t="str">
        <f>IF('Diseño 1"'!AC37="","",'Diseño 1"'!AC37)</f>
        <v/>
      </c>
      <c r="AB20" s="650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95" t="str">
        <f>IF('Diseño 1"'!B38="","",'Diseño 1"'!B38)</f>
        <v/>
      </c>
      <c r="E21" s="651"/>
      <c r="F21" s="19" t="str">
        <f>IF('Diseño 1"'!C38=0,"",'Diseño 1"'!C38)</f>
        <v/>
      </c>
      <c r="G21" s="695" t="str">
        <f>IF('Diseño 1"'!D38="","",'Diseño 1"'!D38)</f>
        <v/>
      </c>
      <c r="H21" s="651"/>
      <c r="I21" s="695" t="str">
        <f>IF('Diseño 1"'!F38="","",'Diseño 1"'!F38)</f>
        <v/>
      </c>
      <c r="J21" s="651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49" t="str">
        <f>IF('Diseño 1"'!N38="","",'Diseño 1"'!N38)</f>
        <v/>
      </c>
      <c r="Q21" s="651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9" t="str">
        <f>IF('Diseño 1"'!AA38="","",'Diseño 1"'!AA38)</f>
        <v/>
      </c>
      <c r="Z21" s="650"/>
      <c r="AA21" s="649" t="str">
        <f>IF('Diseño 1"'!AC38="","",'Diseño 1"'!AC38)</f>
        <v/>
      </c>
      <c r="AB21" s="650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95" t="str">
        <f>IF('Diseño 1"'!B39="","",'Diseño 1"'!B39)</f>
        <v/>
      </c>
      <c r="E22" s="651"/>
      <c r="F22" s="19" t="str">
        <f>IF('Diseño 1"'!C39=0,"",'Diseño 1"'!C39)</f>
        <v/>
      </c>
      <c r="G22" s="695" t="str">
        <f>IF('Diseño 1"'!D39="","",'Diseño 1"'!D39)</f>
        <v/>
      </c>
      <c r="H22" s="651"/>
      <c r="I22" s="695" t="str">
        <f>IF('Diseño 1"'!F39="","",'Diseño 1"'!F39)</f>
        <v/>
      </c>
      <c r="J22" s="651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49" t="str">
        <f>IF('Diseño 1"'!N39="","",'Diseño 1"'!N39)</f>
        <v/>
      </c>
      <c r="Q22" s="651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9" t="str">
        <f>IF('Diseño 1"'!AA39="","",'Diseño 1"'!AA39)</f>
        <v/>
      </c>
      <c r="Z22" s="650"/>
      <c r="AA22" s="649" t="str">
        <f>IF('Diseño 1"'!AC39="","",'Diseño 1"'!AC39)</f>
        <v/>
      </c>
      <c r="AB22" s="650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95" t="str">
        <f>IF('Diseño 1"'!B40="","",'Diseño 1"'!B40)</f>
        <v/>
      </c>
      <c r="E23" s="651"/>
      <c r="F23" s="19" t="str">
        <f>IF('Diseño 1"'!C40=0,"",'Diseño 1"'!C40)</f>
        <v/>
      </c>
      <c r="G23" s="695" t="str">
        <f>IF('Diseño 1"'!D40="","",'Diseño 1"'!D40)</f>
        <v/>
      </c>
      <c r="H23" s="651"/>
      <c r="I23" s="695" t="str">
        <f>IF('Diseño 1"'!F40="","",'Diseño 1"'!F40)</f>
        <v/>
      </c>
      <c r="J23" s="651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49" t="str">
        <f>IF('Diseño 1"'!N40="","",'Diseño 1"'!N40)</f>
        <v/>
      </c>
      <c r="Q23" s="651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9" t="str">
        <f>IF('Diseño 1"'!AA40="","",'Diseño 1"'!AA40)</f>
        <v/>
      </c>
      <c r="Z23" s="650"/>
      <c r="AA23" s="649" t="str">
        <f>IF('Diseño 1"'!AC40="","",'Diseño 1"'!AC40)</f>
        <v/>
      </c>
      <c r="AB23" s="650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95" t="str">
        <f>IF('Diseño 1"'!B41="","",'Diseño 1"'!B41)</f>
        <v/>
      </c>
      <c r="E24" s="651"/>
      <c r="F24" s="19" t="str">
        <f>IF('Diseño 1"'!C41=0,"",'Diseño 1"'!C41)</f>
        <v/>
      </c>
      <c r="G24" s="695" t="str">
        <f>IF('Diseño 1"'!D41="","",'Diseño 1"'!D41)</f>
        <v/>
      </c>
      <c r="H24" s="651"/>
      <c r="I24" s="695" t="str">
        <f>IF('Diseño 1"'!F41="","",'Diseño 1"'!F41)</f>
        <v/>
      </c>
      <c r="J24" s="651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49" t="str">
        <f>IF('Diseño 1"'!N41="","",'Diseño 1"'!N41)</f>
        <v/>
      </c>
      <c r="Q24" s="651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9" t="str">
        <f>IF('Diseño 1"'!AA41="","",'Diseño 1"'!AA41)</f>
        <v/>
      </c>
      <c r="Z24" s="650"/>
      <c r="AA24" s="649" t="str">
        <f>IF('Diseño 1"'!AC41="","",'Diseño 1"'!AC41)</f>
        <v/>
      </c>
      <c r="AB24" s="650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95" t="str">
        <f>IF('Diseño 1"'!B42="","",'Diseño 1"'!B42)</f>
        <v/>
      </c>
      <c r="E25" s="651"/>
      <c r="F25" s="19" t="str">
        <f>IF('Diseño 1"'!C42=0,"",'Diseño 1"'!C42)</f>
        <v/>
      </c>
      <c r="G25" s="695" t="str">
        <f>IF('Diseño 1"'!D42="","",'Diseño 1"'!D42)</f>
        <v/>
      </c>
      <c r="H25" s="651"/>
      <c r="I25" s="695" t="str">
        <f>IF('Diseño 1"'!F42="","",'Diseño 1"'!F42)</f>
        <v/>
      </c>
      <c r="J25" s="651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49" t="str">
        <f>IF('Diseño 1"'!N42="","",'Diseño 1"'!N42)</f>
        <v/>
      </c>
      <c r="Q25" s="651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9" t="str">
        <f>IF('Diseño 1"'!AA42="","",'Diseño 1"'!AA42)</f>
        <v/>
      </c>
      <c r="Z25" s="650"/>
      <c r="AA25" s="649" t="str">
        <f>IF('Diseño 1"'!AC42="","",'Diseño 1"'!AC42)</f>
        <v/>
      </c>
      <c r="AB25" s="650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95" t="str">
        <f>IF('Diseño 1"'!B43="","",'Diseño 1"'!B43)</f>
        <v/>
      </c>
      <c r="E26" s="651"/>
      <c r="F26" s="19" t="str">
        <f>IF('Diseño 1"'!C43=0,"",'Diseño 1"'!C43)</f>
        <v/>
      </c>
      <c r="G26" s="695" t="str">
        <f>IF('Diseño 1"'!D43="","",'Diseño 1"'!D43)</f>
        <v/>
      </c>
      <c r="H26" s="651"/>
      <c r="I26" s="695" t="str">
        <f>IF('Diseño 1"'!F43="","",'Diseño 1"'!F43)</f>
        <v/>
      </c>
      <c r="J26" s="651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9" t="str">
        <f>IF('Diseño 1"'!N43="","",'Diseño 1"'!N43)</f>
        <v/>
      </c>
      <c r="Q26" s="651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9" t="str">
        <f>IF('Diseño 1"'!AA43="","",'Diseño 1"'!AA43)</f>
        <v/>
      </c>
      <c r="Z26" s="650"/>
      <c r="AA26" s="649" t="str">
        <f>IF('Diseño 1"'!AC43="","",'Diseño 1"'!AC43)</f>
        <v/>
      </c>
      <c r="AB26" s="650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95" t="str">
        <f>IF('Diseño 1"'!B44="","",'Diseño 1"'!B44)</f>
        <v/>
      </c>
      <c r="E27" s="651"/>
      <c r="F27" s="19" t="str">
        <f>IF('Diseño 1"'!C44=0,"",'Diseño 1"'!C44)</f>
        <v/>
      </c>
      <c r="G27" s="695" t="str">
        <f>IF('Diseño 1"'!D44="","",'Diseño 1"'!D44)</f>
        <v/>
      </c>
      <c r="H27" s="651"/>
      <c r="I27" s="695" t="str">
        <f>IF('Diseño 1"'!F44="","",'Diseño 1"'!F44)</f>
        <v/>
      </c>
      <c r="J27" s="651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9" t="str">
        <f>IF('Diseño 1"'!N44="","",'Diseño 1"'!N44)</f>
        <v/>
      </c>
      <c r="Q27" s="651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9" t="str">
        <f>IF('Diseño 1"'!AA44="","",'Diseño 1"'!AA44)</f>
        <v/>
      </c>
      <c r="Z27" s="650"/>
      <c r="AA27" s="649" t="str">
        <f>IF('Diseño 1"'!AC44="","",'Diseño 1"'!AC44)</f>
        <v/>
      </c>
      <c r="AB27" s="650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95" t="str">
        <f>IF('Diseño 1"'!B45="","",'Diseño 1"'!B45)</f>
        <v/>
      </c>
      <c r="E28" s="651"/>
      <c r="F28" s="19" t="str">
        <f>IF('Diseño 1"'!C45=0,"",'Diseño 1"'!C45)</f>
        <v/>
      </c>
      <c r="G28" s="695" t="str">
        <f>IF('Diseño 1"'!D45="","",'Diseño 1"'!D45)</f>
        <v/>
      </c>
      <c r="H28" s="651"/>
      <c r="I28" s="695" t="str">
        <f>IF('Diseño 1"'!F45="","",'Diseño 1"'!F45)</f>
        <v/>
      </c>
      <c r="J28" s="651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9" t="str">
        <f>IF('Diseño 1"'!N45="","",'Diseño 1"'!N45)</f>
        <v/>
      </c>
      <c r="Q28" s="651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9" t="str">
        <f>IF('Diseño 1"'!AA45="","",'Diseño 1"'!AA45)</f>
        <v/>
      </c>
      <c r="Z28" s="650"/>
      <c r="AA28" s="649" t="str">
        <f>IF('Diseño 1"'!AC45="","",'Diseño 1"'!AC45)</f>
        <v/>
      </c>
      <c r="AB28" s="650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95" t="str">
        <f>IF('Diseño 1"'!B46="","",'Diseño 1"'!B46)</f>
        <v/>
      </c>
      <c r="E29" s="651"/>
      <c r="F29" s="19" t="str">
        <f>IF('Diseño 1"'!C46=0,"",'Diseño 1"'!C46)</f>
        <v/>
      </c>
      <c r="G29" s="695" t="str">
        <f>IF('Diseño 1"'!D46="","",'Diseño 1"'!D46)</f>
        <v/>
      </c>
      <c r="H29" s="651"/>
      <c r="I29" s="695" t="str">
        <f>IF('Diseño 1"'!F46="","",'Diseño 1"'!F46)</f>
        <v/>
      </c>
      <c r="J29" s="651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9" t="str">
        <f>IF('Diseño 1"'!N46="","",'Diseño 1"'!N46)</f>
        <v/>
      </c>
      <c r="Q29" s="651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9" t="str">
        <f>IF('Diseño 1"'!AA46="","",'Diseño 1"'!AA46)</f>
        <v/>
      </c>
      <c r="Z29" s="650"/>
      <c r="AA29" s="649" t="str">
        <f>IF('Diseño 1"'!AC46="","",'Diseño 1"'!AC46)</f>
        <v/>
      </c>
      <c r="AB29" s="650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95" t="str">
        <f>IF('Diseño 1"'!B47="","",'Diseño 1"'!B47)</f>
        <v/>
      </c>
      <c r="E30" s="651"/>
      <c r="F30" s="19" t="str">
        <f>IF('Diseño 1"'!C47=0,"",'Diseño 1"'!C47)</f>
        <v/>
      </c>
      <c r="G30" s="695" t="str">
        <f>IF('Diseño 1"'!D47="","",'Diseño 1"'!D47)</f>
        <v/>
      </c>
      <c r="H30" s="651"/>
      <c r="I30" s="695" t="str">
        <f>IF('Diseño 1"'!F47="","",'Diseño 1"'!F47)</f>
        <v/>
      </c>
      <c r="J30" s="651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9" t="str">
        <f>IF('Diseño 1"'!N47="","",'Diseño 1"'!N47)</f>
        <v/>
      </c>
      <c r="Q30" s="651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9" t="str">
        <f>IF('Diseño 1"'!AA47="","",'Diseño 1"'!AA47)</f>
        <v/>
      </c>
      <c r="Z30" s="650"/>
      <c r="AA30" s="649" t="str">
        <f>IF('Diseño 1"'!AC47="","",'Diseño 1"'!AC47)</f>
        <v/>
      </c>
      <c r="AB30" s="650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96" t="str">
        <f>IF('Diseño 1"'!B48="","",'Diseño 1"'!B48)</f>
        <v/>
      </c>
      <c r="E31" s="697"/>
      <c r="F31" s="96" t="str">
        <f>IF('Diseño 1"'!C48=0,"",'Diseño 1"'!C48)</f>
        <v/>
      </c>
      <c r="G31" s="696" t="str">
        <f>IF('Diseño 1"'!D48="","",'Diseño 1"'!D48)</f>
        <v/>
      </c>
      <c r="H31" s="697"/>
      <c r="I31" s="696" t="str">
        <f>IF('Diseño 1"'!F48="","",'Diseño 1"'!F48)</f>
        <v/>
      </c>
      <c r="J31" s="697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52" t="str">
        <f>IF('Diseño 1"'!N48="","",'Diseño 1"'!N48)</f>
        <v/>
      </c>
      <c r="Q31" s="697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52" t="str">
        <f>IF('Diseño 1"'!AA48="","",'Diseño 1"'!AA48)</f>
        <v/>
      </c>
      <c r="Z31" s="653"/>
      <c r="AA31" s="652" t="str">
        <f>IF('Diseño 1"'!AC48="","",'Diseño 1"'!AC48)</f>
        <v/>
      </c>
      <c r="AB31" s="653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31"/>
      <c r="Q33" s="632"/>
      <c r="R33" s="76"/>
      <c r="S33" s="76"/>
      <c r="T33" s="76"/>
      <c r="U33" s="77"/>
      <c r="V33" s="65"/>
      <c r="W33" s="633" t="s">
        <v>213</v>
      </c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5"/>
      <c r="W34" s="636" t="s">
        <v>211</v>
      </c>
      <c r="X34" s="637"/>
      <c r="Y34" s="637"/>
      <c r="Z34" s="637"/>
      <c r="AA34" s="637"/>
      <c r="AB34" s="638"/>
      <c r="AC34" s="66"/>
      <c r="AD34" s="67"/>
      <c r="AE34" s="639" t="s">
        <v>212</v>
      </c>
      <c r="AF34" s="637"/>
      <c r="AG34" s="637"/>
      <c r="AH34" s="637"/>
      <c r="AI34" s="64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5"/>
      <c r="W35" s="58"/>
      <c r="X35" s="5"/>
      <c r="Y35" s="5"/>
      <c r="Z35" s="5"/>
      <c r="AA35" s="641"/>
      <c r="AB35" s="642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5"/>
      <c r="W36" s="58"/>
      <c r="X36" s="5"/>
      <c r="Y36" s="5"/>
      <c r="Z36" s="5"/>
      <c r="AA36" s="641"/>
      <c r="AB36" s="642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0" t="s">
        <v>3</v>
      </c>
      <c r="AQ2" s="711"/>
      <c r="AR2" s="711"/>
      <c r="AS2" s="711"/>
      <c r="AT2" s="711"/>
      <c r="AU2" s="711"/>
      <c r="AV2" s="711"/>
      <c r="AW2" s="711"/>
      <c r="AX2" s="711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3"/>
      <c r="AQ3" s="714"/>
      <c r="AR3" s="714"/>
      <c r="AS3" s="714"/>
      <c r="AT3" s="714"/>
      <c r="AU3" s="714"/>
      <c r="AV3" s="714"/>
      <c r="AW3" s="714"/>
      <c r="AX3" s="714"/>
      <c r="AY3" s="714"/>
      <c r="AZ3" s="714"/>
      <c r="BA3" s="714"/>
      <c r="BB3" s="714"/>
      <c r="BC3" s="714"/>
      <c r="BD3" s="714"/>
      <c r="BE3" s="714"/>
      <c r="BF3" s="714"/>
      <c r="BG3" s="714"/>
      <c r="BH3" s="714"/>
      <c r="BI3" s="714"/>
      <c r="BJ3" s="714"/>
      <c r="BK3" s="714"/>
      <c r="BL3" s="714"/>
      <c r="BM3" s="7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03" t="s">
        <v>5</v>
      </c>
      <c r="I5" s="593"/>
      <c r="J5" s="604"/>
      <c r="K5" s="231">
        <v>46009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03" t="s">
        <v>8</v>
      </c>
      <c r="I6" s="593"/>
      <c r="J6" s="59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03" t="s">
        <v>239</v>
      </c>
      <c r="I7" s="593"/>
      <c r="J7" s="59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201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0"/>
      <c r="R11" s="609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7" t="s">
        <v>23</v>
      </c>
      <c r="R12" s="609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7" t="s">
        <v>25</v>
      </c>
      <c r="AQ12" s="714"/>
      <c r="AR12" s="714"/>
      <c r="AS12" s="718" t="s">
        <v>26</v>
      </c>
      <c r="AT12" s="714"/>
      <c r="AU12" s="714"/>
      <c r="AV12" s="716" t="s">
        <v>27</v>
      </c>
      <c r="AW12" s="714"/>
      <c r="AX12" s="716" t="s">
        <v>28</v>
      </c>
      <c r="AY12" s="714"/>
      <c r="AZ12" s="714"/>
      <c r="BA12" s="716" t="s">
        <v>29</v>
      </c>
      <c r="BB12" s="714"/>
      <c r="BC12" s="716" t="s">
        <v>30</v>
      </c>
      <c r="BD12" s="714"/>
      <c r="BE12" s="714"/>
      <c r="BF12" s="716" t="s">
        <v>31</v>
      </c>
      <c r="BG12" s="714"/>
      <c r="BH12" s="714"/>
      <c r="BI12" s="716" t="s">
        <v>32</v>
      </c>
      <c r="BJ12" s="714"/>
      <c r="BK12" s="714"/>
      <c r="BL12" s="716" t="s">
        <v>33</v>
      </c>
      <c r="BM12" s="7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7" t="s">
        <v>34</v>
      </c>
      <c r="R13" s="609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7" t="s">
        <v>35</v>
      </c>
      <c r="R14" s="609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7" t="s">
        <v>36</v>
      </c>
      <c r="R15" s="609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7" t="s">
        <v>38</v>
      </c>
      <c r="R16" s="609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7" t="s">
        <v>40</v>
      </c>
      <c r="R17" s="609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594"/>
      <c r="F29" s="592"/>
      <c r="G29" s="593"/>
      <c r="H29" s="594"/>
      <c r="I29" s="192"/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/>
      <c r="AB29" s="594"/>
      <c r="AC29" s="595"/>
      <c r="AD29" s="594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594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592"/>
      <c r="E31" s="70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5"/>
      <c r="AB31" s="594"/>
      <c r="AC31" s="595"/>
      <c r="AD31" s="594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70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592"/>
      <c r="E33" s="70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592"/>
      <c r="E34" s="706"/>
      <c r="F34" s="707"/>
      <c r="G34" s="708"/>
      <c r="H34" s="709"/>
      <c r="I34" s="396"/>
      <c r="J34" s="396"/>
      <c r="K34" s="396"/>
      <c r="L34" s="192"/>
      <c r="M34" s="192"/>
      <c r="N34" s="595"/>
      <c r="O34" s="593"/>
      <c r="P34" s="594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09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592"/>
      <c r="E35" s="594"/>
      <c r="F35" s="707"/>
      <c r="G35" s="708"/>
      <c r="H35" s="709"/>
      <c r="I35" s="396"/>
      <c r="J35" s="396"/>
      <c r="K35" s="396"/>
      <c r="L35" s="192"/>
      <c r="M35" s="192"/>
      <c r="N35" s="595"/>
      <c r="O35" s="593"/>
      <c r="P35" s="594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09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592"/>
      <c r="E36" s="594"/>
      <c r="F36" s="707"/>
      <c r="G36" s="708"/>
      <c r="H36" s="709"/>
      <c r="I36" s="396"/>
      <c r="J36" s="396"/>
      <c r="K36" s="396"/>
      <c r="L36" s="192"/>
      <c r="M36" s="192"/>
      <c r="N36" s="595"/>
      <c r="O36" s="593"/>
      <c r="P36" s="594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09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592"/>
      <c r="E37" s="594"/>
      <c r="F37" s="707"/>
      <c r="G37" s="708"/>
      <c r="H37" s="709"/>
      <c r="I37" s="396"/>
      <c r="J37" s="396"/>
      <c r="K37" s="396"/>
      <c r="L37" s="192"/>
      <c r="M37" s="192"/>
      <c r="N37" s="595"/>
      <c r="O37" s="593"/>
      <c r="P37" s="594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09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592"/>
      <c r="E38" s="594"/>
      <c r="F38" s="707"/>
      <c r="G38" s="708"/>
      <c r="H38" s="709"/>
      <c r="I38" s="396"/>
      <c r="J38" s="396"/>
      <c r="K38" s="396"/>
      <c r="L38" s="192"/>
      <c r="M38" s="192"/>
      <c r="N38" s="595"/>
      <c r="O38" s="593"/>
      <c r="P38" s="594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09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592"/>
      <c r="E39" s="594"/>
      <c r="F39" s="707"/>
      <c r="G39" s="708"/>
      <c r="H39" s="709"/>
      <c r="I39" s="396"/>
      <c r="J39" s="396"/>
      <c r="K39" s="396"/>
      <c r="L39" s="192"/>
      <c r="M39" s="192"/>
      <c r="N39" s="595"/>
      <c r="O39" s="593"/>
      <c r="P39" s="594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09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592"/>
      <c r="E40" s="594"/>
      <c r="F40" s="707"/>
      <c r="G40" s="708"/>
      <c r="H40" s="709"/>
      <c r="I40" s="396"/>
      <c r="J40" s="396"/>
      <c r="K40" s="396"/>
      <c r="L40" s="192"/>
      <c r="M40" s="192"/>
      <c r="N40" s="595"/>
      <c r="O40" s="593"/>
      <c r="P40" s="594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09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592"/>
      <c r="E41" s="594"/>
      <c r="F41" s="707"/>
      <c r="G41" s="708"/>
      <c r="H41" s="709"/>
      <c r="I41" s="396"/>
      <c r="J41" s="396"/>
      <c r="K41" s="396"/>
      <c r="L41" s="192"/>
      <c r="M41" s="192"/>
      <c r="N41" s="595"/>
      <c r="O41" s="593"/>
      <c r="P41" s="594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09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592"/>
      <c r="E42" s="594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592"/>
      <c r="E43" s="594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592"/>
      <c r="E44" s="594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592"/>
      <c r="E45" s="594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592"/>
      <c r="E46" s="594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592"/>
      <c r="E47" s="594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592"/>
      <c r="E48" s="594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0" t="s">
        <v>110</v>
      </c>
      <c r="B50" s="721"/>
      <c r="C50" s="721"/>
      <c r="D50" s="721"/>
      <c r="E50" s="721"/>
      <c r="F50" s="721"/>
      <c r="G50" s="721"/>
      <c r="H50" s="721"/>
      <c r="I50" s="721"/>
      <c r="J50" s="721"/>
      <c r="K50" s="721"/>
      <c r="L50" s="721"/>
      <c r="M50" s="721"/>
      <c r="N50" s="721"/>
      <c r="O50" s="721"/>
      <c r="P50" s="721"/>
      <c r="Q50" s="721"/>
      <c r="R50" s="721"/>
      <c r="S50" s="721"/>
      <c r="T50" s="721"/>
      <c r="U50" s="72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47" t="s">
        <v>225</v>
      </c>
      <c r="AH2" s="647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47" t="s">
        <v>188</v>
      </c>
      <c r="AE3" s="647"/>
      <c r="AF3" s="647"/>
      <c r="AG3" s="647"/>
      <c r="AH3" s="647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54" t="s">
        <v>4</v>
      </c>
      <c r="C5" s="655"/>
      <c r="D5" s="655"/>
      <c r="E5" s="655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2"'!K5</f>
        <v>46009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5"/>
      <c r="AJ5" s="5"/>
      <c r="AK5" s="5"/>
      <c r="AL5" s="5"/>
      <c r="AM5" s="5"/>
    </row>
    <row r="6" spans="2:39" ht="15" customHeight="1" thickBot="1" x14ac:dyDescent="0.25">
      <c r="B6" s="663" t="s">
        <v>7</v>
      </c>
      <c r="C6" s="664"/>
      <c r="D6" s="664"/>
      <c r="E6" s="664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5"/>
      <c r="AJ6" s="5"/>
      <c r="AK6" s="5"/>
      <c r="AL6" s="5"/>
      <c r="AM6" s="5"/>
    </row>
    <row r="7" spans="2:39" ht="15" customHeight="1" x14ac:dyDescent="0.2">
      <c r="B7" s="663" t="s">
        <v>9</v>
      </c>
      <c r="C7" s="664"/>
      <c r="D7" s="664"/>
      <c r="E7" s="664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65" t="s">
        <v>236</v>
      </c>
      <c r="Q7" s="666"/>
      <c r="R7" s="667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3" t="s">
        <v>190</v>
      </c>
      <c r="C8" s="664"/>
      <c r="D8" s="664"/>
      <c r="E8" s="664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2"'!K6</f>
        <v>0</v>
      </c>
      <c r="T8" s="672"/>
      <c r="U8" s="672"/>
      <c r="V8" s="673"/>
      <c r="W8" s="534">
        <f>SUMIFS('Diseño 1"'!AN29:AN48,'Diseño 1"'!AJ29:AJ48,0.5)</f>
        <v>9.8695599999999999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3">
        <f>SUM(W8:AE8)</f>
        <v>9.8695599999999999</v>
      </c>
      <c r="AG8" s="73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43" t="s">
        <v>208</v>
      </c>
      <c r="AH10" s="64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89" t="s">
        <v>60</v>
      </c>
      <c r="D11" s="690"/>
      <c r="E11" s="259" t="s">
        <v>59</v>
      </c>
      <c r="F11" s="689" t="s">
        <v>61</v>
      </c>
      <c r="G11" s="690"/>
      <c r="H11" s="689" t="s">
        <v>62</v>
      </c>
      <c r="I11" s="690"/>
      <c r="J11" s="259" t="s">
        <v>20</v>
      </c>
      <c r="K11" s="689" t="s">
        <v>193</v>
      </c>
      <c r="L11" s="690"/>
      <c r="M11" s="259" t="s">
        <v>65</v>
      </c>
      <c r="N11" s="259" t="s">
        <v>66</v>
      </c>
      <c r="O11" s="689" t="s">
        <v>67</v>
      </c>
      <c r="P11" s="690"/>
      <c r="Q11" s="689" t="s">
        <v>194</v>
      </c>
      <c r="R11" s="69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89" t="s">
        <v>75</v>
      </c>
      <c r="Y11" s="690"/>
      <c r="Z11" s="689" t="s">
        <v>76</v>
      </c>
      <c r="AA11" s="690"/>
      <c r="AB11" s="90" t="s">
        <v>195</v>
      </c>
      <c r="AC11" s="125" t="s">
        <v>78</v>
      </c>
      <c r="AD11" s="689" t="s">
        <v>196</v>
      </c>
      <c r="AE11" s="69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29" t="str">
        <f>IF('Diseño 2"'!B29="","",'Diseño 2"'!B29)</f>
        <v/>
      </c>
      <c r="D12" s="727"/>
      <c r="E12" s="247" t="str">
        <f>IF('Diseño 2"'!C29=0,"",'Diseño 2"'!C29)</f>
        <v/>
      </c>
      <c r="F12" s="729" t="str">
        <f>IF('Diseño 2"'!D29="","",'Diseño 2"'!D29)</f>
        <v/>
      </c>
      <c r="G12" s="727"/>
      <c r="H12" s="693" t="str">
        <f>IF('Diseño 2"'!F29="","",'Diseño 2"'!F29)</f>
        <v/>
      </c>
      <c r="I12" s="694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26" t="str">
        <f>IF('Diseño 2"'!N29="","",'Diseño 2"'!N29)</f>
        <v/>
      </c>
      <c r="P12" s="72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87" t="str">
        <f>IF('Diseño 2"'!AA29="","",'Diseño 2"'!AA29)</f>
        <v/>
      </c>
      <c r="Y12" s="694"/>
      <c r="Z12" s="687" t="str">
        <f>IF('Diseño 2"'!AC29="","",'Diseño 2"'!AC29)</f>
        <v/>
      </c>
      <c r="AA12" s="694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4" t="str">
        <f>IF('Diseño 2"'!B30="","",'Diseño 2"'!B30)</f>
        <v/>
      </c>
      <c r="D13" s="725"/>
      <c r="E13" s="19" t="str">
        <f>IF('Diseño 2"'!C30=0,"",'Diseño 2"'!C30)</f>
        <v/>
      </c>
      <c r="F13" s="724" t="str">
        <f>IF('Diseño 2"'!D30="","",'Diseño 2"'!D30)</f>
        <v/>
      </c>
      <c r="G13" s="725"/>
      <c r="H13" s="695" t="str">
        <f>IF('Diseño 2"'!F30="","",'Diseño 2"'!F30)</f>
        <v/>
      </c>
      <c r="I13" s="651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8" t="str">
        <f>IF('Diseño 2"'!N30="","",'Diseño 2"'!N30)</f>
        <v/>
      </c>
      <c r="P13" s="725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9" t="str">
        <f>IF('Diseño 2"'!AA30="","",'Diseño 2"'!AA30)</f>
        <v/>
      </c>
      <c r="Y13" s="651"/>
      <c r="Z13" s="649" t="str">
        <f>IF('Diseño 2"'!AC30="","",'Diseño 2"'!AC30)</f>
        <v/>
      </c>
      <c r="AA13" s="651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4" t="str">
        <f>IF('Diseño 2"'!B31="","",'Diseño 2"'!B31)</f>
        <v/>
      </c>
      <c r="D14" s="725"/>
      <c r="E14" s="19" t="str">
        <f>IF('Diseño 2"'!C31=0,"",'Diseño 2"'!C31)</f>
        <v/>
      </c>
      <c r="F14" s="724" t="str">
        <f>IF('Diseño 2"'!D31="","",'Diseño 2"'!D31)</f>
        <v/>
      </c>
      <c r="G14" s="725"/>
      <c r="H14" s="695" t="str">
        <f>IF('Diseño 2"'!F31="","",'Diseño 2"'!F31)</f>
        <v/>
      </c>
      <c r="I14" s="651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8" t="str">
        <f>IF('Diseño 2"'!N31="","",'Diseño 2"'!N31)</f>
        <v/>
      </c>
      <c r="P14" s="725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9" t="str">
        <f>IF('Diseño 2"'!AA31="","",'Diseño 2"'!AA31)</f>
        <v/>
      </c>
      <c r="Y14" s="651"/>
      <c r="Z14" s="649" t="str">
        <f>IF('Diseño 2"'!AC31="","",'Diseño 2"'!AC31)</f>
        <v/>
      </c>
      <c r="AA14" s="651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4" t="str">
        <f>IF('Diseño 2"'!B32="","",'Diseño 2"'!B32)</f>
        <v/>
      </c>
      <c r="D15" s="725"/>
      <c r="E15" s="19" t="str">
        <f>IF('Diseño 2"'!C32=0,"",'Diseño 2"'!C32)</f>
        <v/>
      </c>
      <c r="F15" s="724" t="str">
        <f>IF('Diseño 2"'!D32="","",'Diseño 2"'!D32)</f>
        <v/>
      </c>
      <c r="G15" s="725"/>
      <c r="H15" s="695" t="str">
        <f>IF('Diseño 2"'!F32="","",'Diseño 2"'!F32)</f>
        <v/>
      </c>
      <c r="I15" s="651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8" t="str">
        <f>IF('Diseño 2"'!N32="","",'Diseño 2"'!N32)</f>
        <v/>
      </c>
      <c r="P15" s="725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9" t="str">
        <f>IF('Diseño 2"'!AA32="","",'Diseño 2"'!AA32)</f>
        <v/>
      </c>
      <c r="Y15" s="651"/>
      <c r="Z15" s="649" t="str">
        <f>IF('Diseño 2"'!AC32="","",'Diseño 2"'!AC32)</f>
        <v/>
      </c>
      <c r="AA15" s="651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4" t="str">
        <f>IF('Diseño 2"'!B33="","",'Diseño 2"'!B33)</f>
        <v/>
      </c>
      <c r="D16" s="725"/>
      <c r="E16" s="19" t="str">
        <f>IF('Diseño 2"'!C33=0,"",'Diseño 2"'!C33)</f>
        <v/>
      </c>
      <c r="F16" s="724" t="str">
        <f>IF('Diseño 2"'!D33="","",'Diseño 2"'!D33)</f>
        <v/>
      </c>
      <c r="G16" s="725"/>
      <c r="H16" s="695" t="str">
        <f>IF('Diseño 2"'!F33="","",'Diseño 2"'!F33)</f>
        <v/>
      </c>
      <c r="I16" s="651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8" t="str">
        <f>IF('Diseño 2"'!N33="","",'Diseño 2"'!N33)</f>
        <v/>
      </c>
      <c r="P16" s="725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9" t="str">
        <f>IF('Diseño 2"'!AA33="","",'Diseño 2"'!AA33)</f>
        <v/>
      </c>
      <c r="Y16" s="651"/>
      <c r="Z16" s="649" t="str">
        <f>IF('Diseño 2"'!AC33="","",'Diseño 2"'!AC33)</f>
        <v/>
      </c>
      <c r="AA16" s="651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4" t="str">
        <f>IF('Diseño 2"'!B34="","",'Diseño 2"'!B34)</f>
        <v/>
      </c>
      <c r="D17" s="725"/>
      <c r="E17" s="19" t="str">
        <f>IF('Diseño 2"'!C34=0,"",'Diseño 2"'!C34)</f>
        <v/>
      </c>
      <c r="F17" s="724" t="str">
        <f>IF('Diseño 2"'!D34="","",'Diseño 2"'!D34)</f>
        <v/>
      </c>
      <c r="G17" s="725"/>
      <c r="H17" s="695" t="str">
        <f>IF('Diseño 2"'!F34="","",'Diseño 2"'!F34)</f>
        <v/>
      </c>
      <c r="I17" s="651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8" t="str">
        <f>IF('Diseño 2"'!N34="","",'Diseño 2"'!N34)</f>
        <v/>
      </c>
      <c r="P17" s="725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9" t="str">
        <f>IF('Diseño 2"'!AA34="","",'Diseño 2"'!AA34)</f>
        <v/>
      </c>
      <c r="Y17" s="651"/>
      <c r="Z17" s="649" t="str">
        <f>IF('Diseño 2"'!AC34="","",'Diseño 2"'!AC34)</f>
        <v/>
      </c>
      <c r="AA17" s="651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4" t="str">
        <f>IF('Diseño 2"'!B35="","",'Diseño 2"'!B35)</f>
        <v/>
      </c>
      <c r="D18" s="725"/>
      <c r="E18" s="19" t="str">
        <f>IF('Diseño 2"'!C35=0,"",'Diseño 2"'!C35)</f>
        <v/>
      </c>
      <c r="F18" s="724" t="str">
        <f>IF('Diseño 2"'!D35="","",'Diseño 2"'!D35)</f>
        <v/>
      </c>
      <c r="G18" s="725"/>
      <c r="H18" s="695" t="str">
        <f>IF('Diseño 2"'!F35="","",'Diseño 2"'!F35)</f>
        <v/>
      </c>
      <c r="I18" s="651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8" t="str">
        <f>IF('Diseño 2"'!N35="","",'Diseño 2"'!N35)</f>
        <v/>
      </c>
      <c r="P18" s="725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9" t="str">
        <f>IF('Diseño 2"'!AA35="","",'Diseño 2"'!AA35)</f>
        <v/>
      </c>
      <c r="Y18" s="651"/>
      <c r="Z18" s="649" t="str">
        <f>IF('Diseño 2"'!AC35="","",'Diseño 2"'!AC35)</f>
        <v/>
      </c>
      <c r="AA18" s="651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4" t="str">
        <f>IF('Diseño 2"'!B36="","",'Diseño 2"'!B36)</f>
        <v/>
      </c>
      <c r="D19" s="725"/>
      <c r="E19" s="19" t="str">
        <f>IF('Diseño 2"'!C36=0,"",'Diseño 2"'!C36)</f>
        <v/>
      </c>
      <c r="F19" s="724" t="str">
        <f>IF('Diseño 2"'!D36="","",'Diseño 2"'!D36)</f>
        <v/>
      </c>
      <c r="G19" s="725"/>
      <c r="H19" s="695" t="str">
        <f>IF('Diseño 2"'!F36="","",'Diseño 2"'!F36)</f>
        <v/>
      </c>
      <c r="I19" s="651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8" t="str">
        <f>IF('Diseño 2"'!N36="","",'Diseño 2"'!N36)</f>
        <v/>
      </c>
      <c r="P19" s="725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9" t="str">
        <f>IF('Diseño 2"'!AA36="","",'Diseño 2"'!AA36)</f>
        <v/>
      </c>
      <c r="Y19" s="651"/>
      <c r="Z19" s="649" t="str">
        <f>IF('Diseño 2"'!AC36="","",'Diseño 2"'!AC36)</f>
        <v/>
      </c>
      <c r="AA19" s="651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4" t="str">
        <f>IF('Diseño 2"'!B37="","",'Diseño 2"'!B37)</f>
        <v/>
      </c>
      <c r="D20" s="725"/>
      <c r="E20" s="19" t="str">
        <f>IF('Diseño 2"'!C37=0,"",'Diseño 2"'!C37)</f>
        <v/>
      </c>
      <c r="F20" s="724" t="str">
        <f>IF('Diseño 2"'!D37="","",'Diseño 2"'!D37)</f>
        <v/>
      </c>
      <c r="G20" s="725"/>
      <c r="H20" s="695" t="str">
        <f>IF('Diseño 2"'!F37="","",'Diseño 2"'!F37)</f>
        <v/>
      </c>
      <c r="I20" s="651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8" t="str">
        <f>IF('Diseño 2"'!N37="","",'Diseño 2"'!N37)</f>
        <v/>
      </c>
      <c r="P20" s="725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9" t="str">
        <f>IF('Diseño 2"'!AA37="","",'Diseño 2"'!AA37)</f>
        <v/>
      </c>
      <c r="Y20" s="651"/>
      <c r="Z20" s="649" t="str">
        <f>IF('Diseño 2"'!AC37="","",'Diseño 2"'!AC37)</f>
        <v/>
      </c>
      <c r="AA20" s="651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4" t="str">
        <f>IF('Diseño 2"'!B38="","",'Diseño 2"'!B38)</f>
        <v/>
      </c>
      <c r="D21" s="725"/>
      <c r="E21" s="19" t="str">
        <f>IF('Diseño 2"'!C38=0,"",'Diseño 2"'!C38)</f>
        <v/>
      </c>
      <c r="F21" s="724" t="str">
        <f>IF('Diseño 2"'!D38="","",'Diseño 2"'!D38)</f>
        <v/>
      </c>
      <c r="G21" s="725"/>
      <c r="H21" s="695" t="str">
        <f>IF('Diseño 2"'!F38="","",'Diseño 2"'!F38)</f>
        <v/>
      </c>
      <c r="I21" s="651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8" t="str">
        <f>IF('Diseño 2"'!N38="","",'Diseño 2"'!N38)</f>
        <v/>
      </c>
      <c r="P21" s="725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9" t="str">
        <f>IF('Diseño 2"'!AA38="","",'Diseño 2"'!AA38)</f>
        <v/>
      </c>
      <c r="Y21" s="651"/>
      <c r="Z21" s="649" t="str">
        <f>IF('Diseño 2"'!AC38="","",'Diseño 2"'!AC38)</f>
        <v/>
      </c>
      <c r="AA21" s="651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4" t="str">
        <f>IF('Diseño 2"'!B39="","",'Diseño 2"'!B39)</f>
        <v/>
      </c>
      <c r="D22" s="725"/>
      <c r="E22" s="19" t="str">
        <f>IF('Diseño 2"'!C39=0,"",'Diseño 2"'!C39)</f>
        <v/>
      </c>
      <c r="F22" s="724" t="str">
        <f>IF('Diseño 2"'!D39="","",'Diseño 2"'!D39)</f>
        <v/>
      </c>
      <c r="G22" s="725"/>
      <c r="H22" s="695" t="str">
        <f>IF('Diseño 2"'!F39="","",'Diseño 2"'!F39)</f>
        <v/>
      </c>
      <c r="I22" s="651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8" t="str">
        <f>IF('Diseño 2"'!N39="","",'Diseño 2"'!N39)</f>
        <v/>
      </c>
      <c r="P22" s="725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9" t="str">
        <f>IF('Diseño 2"'!AA39="","",'Diseño 2"'!AA39)</f>
        <v/>
      </c>
      <c r="Y22" s="651"/>
      <c r="Z22" s="649" t="str">
        <f>IF('Diseño 2"'!AC39="","",'Diseño 2"'!AC39)</f>
        <v/>
      </c>
      <c r="AA22" s="651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4" t="str">
        <f>IF('Diseño 2"'!B40="","",'Diseño 2"'!B40)</f>
        <v/>
      </c>
      <c r="D23" s="725"/>
      <c r="E23" s="19" t="str">
        <f>IF('Diseño 2"'!C40=0,"",'Diseño 2"'!C40)</f>
        <v/>
      </c>
      <c r="F23" s="724" t="str">
        <f>IF('Diseño 2"'!D40="","",'Diseño 2"'!D40)</f>
        <v/>
      </c>
      <c r="G23" s="725"/>
      <c r="H23" s="695" t="str">
        <f>IF('Diseño 2"'!F40="","",'Diseño 2"'!F40)</f>
        <v/>
      </c>
      <c r="I23" s="651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8" t="str">
        <f>IF('Diseño 2"'!N40="","",'Diseño 2"'!N40)</f>
        <v/>
      </c>
      <c r="P23" s="725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9" t="str">
        <f>IF('Diseño 2"'!AA40="","",'Diseño 2"'!AA40)</f>
        <v/>
      </c>
      <c r="Y23" s="651"/>
      <c r="Z23" s="649" t="str">
        <f>IF('Diseño 2"'!AC40="","",'Diseño 2"'!AC40)</f>
        <v/>
      </c>
      <c r="AA23" s="651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4" t="str">
        <f>IF('Diseño 2"'!B41="","",'Diseño 2"'!B41)</f>
        <v/>
      </c>
      <c r="D24" s="725"/>
      <c r="E24" s="19" t="str">
        <f>IF('Diseño 2"'!C41=0,"",'Diseño 2"'!C41)</f>
        <v/>
      </c>
      <c r="F24" s="724" t="str">
        <f>IF('Diseño 2"'!D41="","",'Diseño 2"'!D41)</f>
        <v/>
      </c>
      <c r="G24" s="725"/>
      <c r="H24" s="695" t="str">
        <f>IF('Diseño 2"'!F41="","",'Diseño 2"'!F41)</f>
        <v/>
      </c>
      <c r="I24" s="651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8" t="str">
        <f>IF('Diseño 2"'!N41="","",'Diseño 2"'!N41)</f>
        <v/>
      </c>
      <c r="P24" s="725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9" t="str">
        <f>IF('Diseño 2"'!AA41="","",'Diseño 2"'!AA41)</f>
        <v/>
      </c>
      <c r="Y24" s="651"/>
      <c r="Z24" s="649" t="str">
        <f>IF('Diseño 2"'!AC41="","",'Diseño 2"'!AC41)</f>
        <v/>
      </c>
      <c r="AA24" s="651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4" t="str">
        <f>IF('Diseño 2"'!B42="","",'Diseño 2"'!B42)</f>
        <v/>
      </c>
      <c r="D25" s="725"/>
      <c r="E25" s="19" t="str">
        <f>IF('Diseño 2"'!C42=0,"",'Diseño 2"'!C42)</f>
        <v/>
      </c>
      <c r="F25" s="724" t="str">
        <f>IF('Diseño 2"'!D42="","",'Diseño 2"'!D42)</f>
        <v/>
      </c>
      <c r="G25" s="725"/>
      <c r="H25" s="695" t="str">
        <f>IF('Diseño 2"'!F42="","",'Diseño 2"'!F42)</f>
        <v/>
      </c>
      <c r="I25" s="651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8" t="str">
        <f>IF('Diseño 2"'!N42="","",'Diseño 2"'!N42)</f>
        <v/>
      </c>
      <c r="P25" s="725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9" t="str">
        <f>IF('Diseño 2"'!AA42="","",'Diseño 2"'!AA42)</f>
        <v/>
      </c>
      <c r="Y25" s="651"/>
      <c r="Z25" s="649" t="str">
        <f>IF('Diseño 2"'!AC42="","",'Diseño 2"'!AC42)</f>
        <v/>
      </c>
      <c r="AA25" s="651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4" t="str">
        <f>IF('Diseño 2"'!B43="","",'Diseño 2"'!B43)</f>
        <v/>
      </c>
      <c r="D26" s="725"/>
      <c r="E26" s="19" t="str">
        <f>IF('Diseño 2"'!C43=0,"",'Diseño 2"'!C43)</f>
        <v/>
      </c>
      <c r="F26" s="724" t="str">
        <f>IF('Diseño 2"'!D43="","",'Diseño 2"'!D43)</f>
        <v/>
      </c>
      <c r="G26" s="725"/>
      <c r="H26" s="695" t="str">
        <f>IF('Diseño 2"'!F43="","",'Diseño 2"'!F43)</f>
        <v/>
      </c>
      <c r="I26" s="651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8" t="str">
        <f>IF('Diseño 2"'!N43="","",'Diseño 2"'!N43)</f>
        <v/>
      </c>
      <c r="P26" s="725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9" t="str">
        <f>IF('Diseño 2"'!AA43="","",'Diseño 2"'!AA43)</f>
        <v/>
      </c>
      <c r="Y26" s="651"/>
      <c r="Z26" s="649" t="str">
        <f>IF('Diseño 2"'!AC43="","",'Diseño 2"'!AC43)</f>
        <v/>
      </c>
      <c r="AA26" s="651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4" t="str">
        <f>IF('Diseño 2"'!B44="","",'Diseño 2"'!B44)</f>
        <v/>
      </c>
      <c r="D27" s="725"/>
      <c r="E27" s="19" t="str">
        <f>IF('Diseño 2"'!C44=0,"",'Diseño 2"'!C44)</f>
        <v/>
      </c>
      <c r="F27" s="724" t="str">
        <f>IF('Diseño 2"'!D44="","",'Diseño 2"'!D44)</f>
        <v/>
      </c>
      <c r="G27" s="725"/>
      <c r="H27" s="695" t="str">
        <f>IF('Diseño 2"'!F44="","",'Diseño 2"'!F44)</f>
        <v/>
      </c>
      <c r="I27" s="651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8" t="str">
        <f>IF('Diseño 2"'!N44="","",'Diseño 2"'!N44)</f>
        <v/>
      </c>
      <c r="P27" s="725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9" t="str">
        <f>IF('Diseño 2"'!AA44="","",'Diseño 2"'!AA44)</f>
        <v/>
      </c>
      <c r="Y27" s="651"/>
      <c r="Z27" s="649" t="str">
        <f>IF('Diseño 2"'!AC44="","",'Diseño 2"'!AC44)</f>
        <v/>
      </c>
      <c r="AA27" s="651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4" t="str">
        <f>IF('Diseño 2"'!B45="","",'Diseño 2"'!B45)</f>
        <v/>
      </c>
      <c r="D28" s="725"/>
      <c r="E28" s="19" t="str">
        <f>IF('Diseño 2"'!C45=0,"",'Diseño 2"'!C45)</f>
        <v/>
      </c>
      <c r="F28" s="724" t="str">
        <f>IF('Diseño 2"'!D45="","",'Diseño 2"'!D45)</f>
        <v/>
      </c>
      <c r="G28" s="725"/>
      <c r="H28" s="695" t="str">
        <f>IF('Diseño 2"'!F45="","",'Diseño 2"'!F45)</f>
        <v/>
      </c>
      <c r="I28" s="651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8" t="str">
        <f>IF('Diseño 2"'!N45="","",'Diseño 2"'!N45)</f>
        <v/>
      </c>
      <c r="P28" s="725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9" t="str">
        <f>IF('Diseño 2"'!AA45="","",'Diseño 2"'!AA45)</f>
        <v/>
      </c>
      <c r="Y28" s="651"/>
      <c r="Z28" s="649" t="str">
        <f>IF('Diseño 2"'!AC45="","",'Diseño 2"'!AC45)</f>
        <v/>
      </c>
      <c r="AA28" s="651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4" t="str">
        <f>IF('Diseño 2"'!B46="","",'Diseño 2"'!B46)</f>
        <v/>
      </c>
      <c r="D29" s="725"/>
      <c r="E29" s="19" t="str">
        <f>IF('Diseño 2"'!C46=0,"",'Diseño 2"'!C46)</f>
        <v/>
      </c>
      <c r="F29" s="724" t="str">
        <f>IF('Diseño 2"'!D46="","",'Diseño 2"'!D46)</f>
        <v/>
      </c>
      <c r="G29" s="725"/>
      <c r="H29" s="695" t="str">
        <f>IF('Diseño 2"'!F46="","",'Diseño 2"'!F46)</f>
        <v/>
      </c>
      <c r="I29" s="651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8" t="str">
        <f>IF('Diseño 2"'!N46="","",'Diseño 2"'!N46)</f>
        <v/>
      </c>
      <c r="P29" s="725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9" t="str">
        <f>IF('Diseño 2"'!AA46="","",'Diseño 2"'!AA46)</f>
        <v/>
      </c>
      <c r="Y29" s="651"/>
      <c r="Z29" s="649" t="str">
        <f>IF('Diseño 2"'!AC46="","",'Diseño 2"'!AC46)</f>
        <v/>
      </c>
      <c r="AA29" s="651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4" t="str">
        <f>IF('Diseño 2"'!B47="","",'Diseño 2"'!B47)</f>
        <v/>
      </c>
      <c r="D30" s="725"/>
      <c r="E30" s="19" t="str">
        <f>IF('Diseño 2"'!C47=0,"",'Diseño 2"'!C47)</f>
        <v/>
      </c>
      <c r="F30" s="724" t="str">
        <f>IF('Diseño 2"'!D47="","",'Diseño 2"'!D47)</f>
        <v/>
      </c>
      <c r="G30" s="725"/>
      <c r="H30" s="695" t="str">
        <f>IF('Diseño 2"'!F47="","",'Diseño 2"'!F47)</f>
        <v/>
      </c>
      <c r="I30" s="651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8" t="str">
        <f>IF('Diseño 2"'!N47="","",'Diseño 2"'!N47)</f>
        <v/>
      </c>
      <c r="P30" s="725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9" t="str">
        <f>IF('Diseño 2"'!AA47="","",'Diseño 2"'!AA47)</f>
        <v/>
      </c>
      <c r="Y30" s="651"/>
      <c r="Z30" s="649" t="str">
        <f>IF('Diseño 2"'!AC47="","",'Diseño 2"'!AC47)</f>
        <v/>
      </c>
      <c r="AA30" s="651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2" t="str">
        <f>IF('Diseño 2"'!B48="","",'Diseño 2"'!B48)</f>
        <v/>
      </c>
      <c r="D31" s="731"/>
      <c r="E31" s="96" t="str">
        <f>IF('Diseño 2"'!C48=0,"",'Diseño 2"'!C48)</f>
        <v/>
      </c>
      <c r="F31" s="732" t="str">
        <f>IF('Diseño 2"'!D48="","",'Diseño 2"'!D48)</f>
        <v/>
      </c>
      <c r="G31" s="731"/>
      <c r="H31" s="696" t="str">
        <f>IF('Diseño 2"'!F48="","",'Diseño 2"'!F48)</f>
        <v/>
      </c>
      <c r="I31" s="697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30" t="str">
        <f>IF('Diseño 2"'!N48="","",'Diseño 2"'!N48)</f>
        <v/>
      </c>
      <c r="P31" s="731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52" t="str">
        <f>IF('Diseño 2"'!AA48="","",'Diseño 2"'!AA48)</f>
        <v/>
      </c>
      <c r="Y31" s="697"/>
      <c r="Z31" s="652" t="str">
        <f>IF('Diseño 2"'!AC48="","",'Diseño 2"'!AC48)</f>
        <v/>
      </c>
      <c r="AA31" s="697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31"/>
      <c r="P33" s="632"/>
      <c r="Q33" s="76"/>
      <c r="R33" s="76"/>
      <c r="S33" s="76"/>
      <c r="T33" s="77"/>
      <c r="U33" s="65"/>
      <c r="V33" s="633" t="s">
        <v>213</v>
      </c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41"/>
      <c r="P34" s="723"/>
      <c r="Q34" s="65"/>
      <c r="R34" s="65"/>
      <c r="S34" s="65"/>
      <c r="T34" s="79"/>
      <c r="U34" s="65"/>
      <c r="V34" s="636" t="s">
        <v>211</v>
      </c>
      <c r="W34" s="637"/>
      <c r="X34" s="637"/>
      <c r="Y34" s="637"/>
      <c r="Z34" s="637"/>
      <c r="AA34" s="638"/>
      <c r="AB34" s="66"/>
      <c r="AC34" s="67"/>
      <c r="AD34" s="639" t="s">
        <v>212</v>
      </c>
      <c r="AE34" s="637"/>
      <c r="AF34" s="637"/>
      <c r="AG34" s="637"/>
      <c r="AH34" s="64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41"/>
      <c r="P35" s="723"/>
      <c r="Q35" s="65"/>
      <c r="R35" s="65"/>
      <c r="S35" s="65"/>
      <c r="T35" s="79"/>
      <c r="U35" s="65"/>
      <c r="V35" s="58"/>
      <c r="W35" s="5"/>
      <c r="X35" s="5"/>
      <c r="Y35" s="5"/>
      <c r="Z35" s="641"/>
      <c r="AA35" s="64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41"/>
      <c r="P36" s="723"/>
      <c r="Q36" s="65"/>
      <c r="R36" s="65"/>
      <c r="S36" s="65"/>
      <c r="T36" s="79"/>
      <c r="U36" s="65"/>
      <c r="V36" s="58"/>
      <c r="W36" s="5"/>
      <c r="X36" s="5"/>
      <c r="Y36" s="5"/>
      <c r="Z36" s="641"/>
      <c r="AA36" s="64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35" t="s">
        <v>3</v>
      </c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7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38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40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41" t="s">
        <v>5</v>
      </c>
      <c r="I5" s="708"/>
      <c r="J5" s="709"/>
      <c r="K5" s="742"/>
      <c r="L5" s="743"/>
      <c r="M5" s="743"/>
      <c r="N5" s="744"/>
      <c r="O5" s="401"/>
      <c r="P5" s="411" t="s">
        <v>6</v>
      </c>
      <c r="Q5" s="415"/>
      <c r="R5" s="707"/>
      <c r="S5" s="708"/>
      <c r="T5" s="709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41" t="s">
        <v>8</v>
      </c>
      <c r="I6" s="708"/>
      <c r="J6" s="709"/>
      <c r="K6" s="742"/>
      <c r="L6" s="743"/>
      <c r="M6" s="743"/>
      <c r="N6" s="744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41" t="s">
        <v>239</v>
      </c>
      <c r="I7" s="708"/>
      <c r="J7" s="709"/>
      <c r="K7" s="719"/>
      <c r="L7" s="750"/>
      <c r="M7" s="750"/>
      <c r="N7" s="75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52" t="s">
        <v>201</v>
      </c>
      <c r="C9" s="708"/>
      <c r="D9" s="708"/>
      <c r="E9" s="708"/>
      <c r="F9" s="708"/>
      <c r="G9" s="708"/>
      <c r="H9" s="708"/>
      <c r="I9" s="708"/>
      <c r="J9" s="708"/>
      <c r="K9" s="709"/>
      <c r="L9" s="421"/>
      <c r="M9" s="422"/>
      <c r="N9" s="752" t="s">
        <v>10</v>
      </c>
      <c r="O9" s="708"/>
      <c r="P9" s="708"/>
      <c r="Q9" s="708"/>
      <c r="R9" s="708"/>
      <c r="S9" s="709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3" t="s">
        <v>11</v>
      </c>
      <c r="C10" s="709"/>
      <c r="D10" s="425" t="s">
        <v>12</v>
      </c>
      <c r="E10" s="753" t="s">
        <v>13</v>
      </c>
      <c r="F10" s="709"/>
      <c r="G10" s="753" t="s">
        <v>14</v>
      </c>
      <c r="H10" s="709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3" t="s">
        <v>19</v>
      </c>
      <c r="R10" s="709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5"/>
      <c r="F11" s="746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5"/>
      <c r="R11" s="746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5"/>
      <c r="F12" s="746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7" t="s">
        <v>23</v>
      </c>
      <c r="R12" s="746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48" t="s">
        <v>25</v>
      </c>
      <c r="AQ12" s="739"/>
      <c r="AR12" s="739"/>
      <c r="AS12" s="749" t="s">
        <v>26</v>
      </c>
      <c r="AT12" s="739"/>
      <c r="AU12" s="739"/>
      <c r="AV12" s="754" t="s">
        <v>27</v>
      </c>
      <c r="AW12" s="739"/>
      <c r="AX12" s="754" t="s">
        <v>28</v>
      </c>
      <c r="AY12" s="739"/>
      <c r="AZ12" s="739"/>
      <c r="BA12" s="754" t="s">
        <v>29</v>
      </c>
      <c r="BB12" s="739"/>
      <c r="BC12" s="754" t="s">
        <v>30</v>
      </c>
      <c r="BD12" s="739"/>
      <c r="BE12" s="739"/>
      <c r="BF12" s="754" t="s">
        <v>31</v>
      </c>
      <c r="BG12" s="739"/>
      <c r="BH12" s="739"/>
      <c r="BI12" s="754" t="s">
        <v>32</v>
      </c>
      <c r="BJ12" s="739"/>
      <c r="BK12" s="739"/>
      <c r="BL12" s="754" t="s">
        <v>33</v>
      </c>
      <c r="BM12" s="740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5">
        <v>0.5</v>
      </c>
      <c r="F13" s="746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7" t="s">
        <v>34</v>
      </c>
      <c r="R13" s="746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5">
        <v>0.5</v>
      </c>
      <c r="F14" s="746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7" t="s">
        <v>35</v>
      </c>
      <c r="R14" s="746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5">
        <v>0.6</v>
      </c>
      <c r="F15" s="746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7" t="s">
        <v>36</v>
      </c>
      <c r="R15" s="746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5">
        <v>0.8</v>
      </c>
      <c r="F16" s="746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7" t="s">
        <v>38</v>
      </c>
      <c r="R16" s="746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5">
        <v>1</v>
      </c>
      <c r="F17" s="746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7" t="s">
        <v>40</v>
      </c>
      <c r="R17" s="746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55" t="s">
        <v>41</v>
      </c>
      <c r="F18" s="756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7" t="s">
        <v>42</v>
      </c>
      <c r="R18" s="746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7" t="s">
        <v>44</v>
      </c>
      <c r="R19" s="746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7" t="s">
        <v>43</v>
      </c>
      <c r="C20" s="758"/>
      <c r="D20" s="758"/>
      <c r="E20" s="758"/>
      <c r="F20" s="758"/>
      <c r="G20" s="758"/>
      <c r="H20" s="758"/>
      <c r="I20" s="758"/>
      <c r="J20" s="758"/>
      <c r="K20" s="746"/>
      <c r="L20" s="512"/>
      <c r="M20" s="509"/>
      <c r="N20" s="503"/>
      <c r="O20" s="503"/>
      <c r="P20" s="503"/>
      <c r="Q20" s="759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1" t="s">
        <v>47</v>
      </c>
      <c r="C21" s="762"/>
      <c r="D21" s="765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60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63"/>
      <c r="C22" s="764"/>
      <c r="D22" s="760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6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60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6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60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3" t="s">
        <v>61</v>
      </c>
      <c r="E28" s="709"/>
      <c r="F28" s="753" t="s">
        <v>62</v>
      </c>
      <c r="G28" s="708"/>
      <c r="H28" s="709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3" t="s">
        <v>67</v>
      </c>
      <c r="O28" s="708"/>
      <c r="P28" s="709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3" t="s">
        <v>75</v>
      </c>
      <c r="AB28" s="709"/>
      <c r="AC28" s="753" t="s">
        <v>76</v>
      </c>
      <c r="AD28" s="709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67" t="s">
        <v>13</v>
      </c>
      <c r="AK28" s="768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07"/>
      <c r="E29" s="709"/>
      <c r="F29" s="707"/>
      <c r="G29" s="708"/>
      <c r="H29" s="709"/>
      <c r="I29" s="396"/>
      <c r="J29" s="396"/>
      <c r="K29" s="396"/>
      <c r="L29" s="396"/>
      <c r="M29" s="396"/>
      <c r="N29" s="719"/>
      <c r="O29" s="708"/>
      <c r="P29" s="709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09"/>
      <c r="AC29" s="719"/>
      <c r="AD29" s="751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07"/>
      <c r="E30" s="709"/>
      <c r="F30" s="707"/>
      <c r="G30" s="708"/>
      <c r="H30" s="709"/>
      <c r="I30" s="396"/>
      <c r="J30" s="396"/>
      <c r="K30" s="396"/>
      <c r="L30" s="396"/>
      <c r="M30" s="396"/>
      <c r="N30" s="719"/>
      <c r="O30" s="708"/>
      <c r="P30" s="709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09"/>
      <c r="AC30" s="719"/>
      <c r="AD30" s="751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07"/>
      <c r="E31" s="709"/>
      <c r="F31" s="707"/>
      <c r="G31" s="708"/>
      <c r="H31" s="709"/>
      <c r="I31" s="396"/>
      <c r="J31" s="396"/>
      <c r="K31" s="396"/>
      <c r="L31" s="396"/>
      <c r="M31" s="396"/>
      <c r="N31" s="719"/>
      <c r="O31" s="708"/>
      <c r="P31" s="709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09"/>
      <c r="AC31" s="719"/>
      <c r="AD31" s="751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07"/>
      <c r="E32" s="709"/>
      <c r="F32" s="707"/>
      <c r="G32" s="708"/>
      <c r="H32" s="709"/>
      <c r="I32" s="396"/>
      <c r="J32" s="396"/>
      <c r="K32" s="396"/>
      <c r="L32" s="396"/>
      <c r="M32" s="396"/>
      <c r="N32" s="719"/>
      <c r="O32" s="708"/>
      <c r="P32" s="709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09"/>
      <c r="AC32" s="719"/>
      <c r="AD32" s="751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07"/>
      <c r="E33" s="709"/>
      <c r="F33" s="707"/>
      <c r="G33" s="708"/>
      <c r="H33" s="709"/>
      <c r="I33" s="396"/>
      <c r="J33" s="396"/>
      <c r="K33" s="396"/>
      <c r="L33" s="396"/>
      <c r="M33" s="396"/>
      <c r="N33" s="719"/>
      <c r="O33" s="708"/>
      <c r="P33" s="709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09"/>
      <c r="AC33" s="719"/>
      <c r="AD33" s="751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07"/>
      <c r="E34" s="709"/>
      <c r="F34" s="707"/>
      <c r="G34" s="708"/>
      <c r="H34" s="709"/>
      <c r="I34" s="396"/>
      <c r="J34" s="396"/>
      <c r="K34" s="396"/>
      <c r="L34" s="396"/>
      <c r="M34" s="396"/>
      <c r="N34" s="719"/>
      <c r="O34" s="708"/>
      <c r="P34" s="709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51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07"/>
      <c r="E35" s="709"/>
      <c r="F35" s="707"/>
      <c r="G35" s="708"/>
      <c r="H35" s="709"/>
      <c r="I35" s="396"/>
      <c r="J35" s="396"/>
      <c r="K35" s="396"/>
      <c r="L35" s="396"/>
      <c r="M35" s="396"/>
      <c r="N35" s="719"/>
      <c r="O35" s="708"/>
      <c r="P35" s="709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51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07"/>
      <c r="E36" s="709"/>
      <c r="F36" s="707"/>
      <c r="G36" s="708"/>
      <c r="H36" s="709"/>
      <c r="I36" s="396"/>
      <c r="J36" s="396"/>
      <c r="K36" s="396"/>
      <c r="L36" s="396"/>
      <c r="M36" s="396"/>
      <c r="N36" s="719"/>
      <c r="O36" s="708"/>
      <c r="P36" s="709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51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07"/>
      <c r="E37" s="709"/>
      <c r="F37" s="707"/>
      <c r="G37" s="708"/>
      <c r="H37" s="709"/>
      <c r="I37" s="396"/>
      <c r="J37" s="396"/>
      <c r="K37" s="396"/>
      <c r="L37" s="396"/>
      <c r="M37" s="396"/>
      <c r="N37" s="719"/>
      <c r="O37" s="708"/>
      <c r="P37" s="709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51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07"/>
      <c r="E38" s="709"/>
      <c r="F38" s="707"/>
      <c r="G38" s="708"/>
      <c r="H38" s="709"/>
      <c r="I38" s="396"/>
      <c r="J38" s="396"/>
      <c r="K38" s="396"/>
      <c r="L38" s="396"/>
      <c r="M38" s="396"/>
      <c r="N38" s="719"/>
      <c r="O38" s="708"/>
      <c r="P38" s="709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51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07"/>
      <c r="E39" s="709"/>
      <c r="F39" s="707"/>
      <c r="G39" s="708"/>
      <c r="H39" s="709"/>
      <c r="I39" s="396"/>
      <c r="J39" s="396"/>
      <c r="K39" s="396"/>
      <c r="L39" s="396"/>
      <c r="M39" s="396"/>
      <c r="N39" s="719"/>
      <c r="O39" s="708"/>
      <c r="P39" s="709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51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07"/>
      <c r="E40" s="709"/>
      <c r="F40" s="707"/>
      <c r="G40" s="708"/>
      <c r="H40" s="709"/>
      <c r="I40" s="396"/>
      <c r="J40" s="396"/>
      <c r="K40" s="396"/>
      <c r="L40" s="396"/>
      <c r="M40" s="396"/>
      <c r="N40" s="719"/>
      <c r="O40" s="708"/>
      <c r="P40" s="709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51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07"/>
      <c r="E41" s="709"/>
      <c r="F41" s="707"/>
      <c r="G41" s="708"/>
      <c r="H41" s="709"/>
      <c r="I41" s="396"/>
      <c r="J41" s="396"/>
      <c r="K41" s="396"/>
      <c r="L41" s="396"/>
      <c r="M41" s="396"/>
      <c r="N41" s="719"/>
      <c r="O41" s="708"/>
      <c r="P41" s="709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51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07"/>
      <c r="E42" s="709"/>
      <c r="F42" s="707"/>
      <c r="G42" s="708"/>
      <c r="H42" s="709"/>
      <c r="I42" s="396"/>
      <c r="J42" s="396"/>
      <c r="K42" s="396"/>
      <c r="L42" s="396"/>
      <c r="M42" s="396"/>
      <c r="N42" s="719"/>
      <c r="O42" s="708"/>
      <c r="P42" s="709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09"/>
      <c r="AC42" s="719"/>
      <c r="AD42" s="751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07"/>
      <c r="E43" s="709"/>
      <c r="F43" s="707"/>
      <c r="G43" s="708"/>
      <c r="H43" s="709"/>
      <c r="I43" s="396"/>
      <c r="J43" s="396"/>
      <c r="K43" s="396"/>
      <c r="L43" s="396"/>
      <c r="M43" s="396"/>
      <c r="N43" s="719"/>
      <c r="O43" s="708"/>
      <c r="P43" s="709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09"/>
      <c r="AC43" s="719"/>
      <c r="AD43" s="751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07"/>
      <c r="E44" s="709"/>
      <c r="F44" s="707"/>
      <c r="G44" s="708"/>
      <c r="H44" s="709"/>
      <c r="I44" s="396"/>
      <c r="J44" s="396"/>
      <c r="K44" s="396"/>
      <c r="L44" s="396"/>
      <c r="M44" s="396"/>
      <c r="N44" s="719"/>
      <c r="O44" s="708"/>
      <c r="P44" s="709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09"/>
      <c r="AC44" s="719"/>
      <c r="AD44" s="751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07"/>
      <c r="E45" s="709"/>
      <c r="F45" s="707"/>
      <c r="G45" s="708"/>
      <c r="H45" s="709"/>
      <c r="I45" s="396"/>
      <c r="J45" s="396"/>
      <c r="K45" s="396"/>
      <c r="L45" s="396"/>
      <c r="M45" s="396"/>
      <c r="N45" s="719"/>
      <c r="O45" s="708"/>
      <c r="P45" s="709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09"/>
      <c r="AC45" s="719"/>
      <c r="AD45" s="751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07"/>
      <c r="E46" s="709"/>
      <c r="F46" s="707"/>
      <c r="G46" s="708"/>
      <c r="H46" s="709"/>
      <c r="I46" s="396"/>
      <c r="J46" s="396"/>
      <c r="K46" s="396"/>
      <c r="L46" s="396"/>
      <c r="M46" s="396"/>
      <c r="N46" s="719"/>
      <c r="O46" s="708"/>
      <c r="P46" s="709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09"/>
      <c r="AC46" s="719"/>
      <c r="AD46" s="751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07"/>
      <c r="E47" s="709"/>
      <c r="F47" s="707"/>
      <c r="G47" s="708"/>
      <c r="H47" s="709"/>
      <c r="I47" s="396"/>
      <c r="J47" s="396"/>
      <c r="K47" s="396"/>
      <c r="L47" s="396"/>
      <c r="M47" s="396"/>
      <c r="N47" s="719"/>
      <c r="O47" s="708"/>
      <c r="P47" s="709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09"/>
      <c r="AC47" s="719"/>
      <c r="AD47" s="751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07"/>
      <c r="E48" s="709"/>
      <c r="F48" s="707"/>
      <c r="G48" s="708"/>
      <c r="H48" s="709"/>
      <c r="I48" s="396"/>
      <c r="J48" s="396"/>
      <c r="K48" s="396"/>
      <c r="L48" s="396"/>
      <c r="M48" s="396"/>
      <c r="N48" s="719"/>
      <c r="O48" s="708"/>
      <c r="P48" s="709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09"/>
      <c r="AC48" s="719"/>
      <c r="AD48" s="751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69" t="s">
        <v>110</v>
      </c>
      <c r="B50" s="770"/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83" t="s">
        <v>225</v>
      </c>
      <c r="AH2" s="783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83" t="s">
        <v>188</v>
      </c>
      <c r="AE3" s="783"/>
      <c r="AF3" s="783"/>
      <c r="AG3" s="783"/>
      <c r="AH3" s="783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3"'!K5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321"/>
      <c r="AJ5" s="321"/>
      <c r="AK5" s="321"/>
      <c r="AL5" s="321"/>
      <c r="AM5" s="321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3" t="s">
        <v>9</v>
      </c>
      <c r="C7" s="664"/>
      <c r="D7" s="664"/>
      <c r="E7" s="664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3" t="s">
        <v>236</v>
      </c>
      <c r="Q7" s="664"/>
      <c r="R7" s="800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3"'!K6</f>
        <v>0</v>
      </c>
      <c r="T8" s="672"/>
      <c r="U8" s="672"/>
      <c r="V8" s="673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3">
        <f>SUM(W8:AD8)</f>
        <v>0</v>
      </c>
      <c r="AG8" s="73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13" t="s">
        <v>208</v>
      </c>
      <c r="AH10" s="81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787" t="s">
        <v>60</v>
      </c>
      <c r="D11" s="788"/>
      <c r="E11" s="329" t="s">
        <v>59</v>
      </c>
      <c r="F11" s="787" t="s">
        <v>61</v>
      </c>
      <c r="G11" s="788"/>
      <c r="H11" s="787" t="s">
        <v>62</v>
      </c>
      <c r="I11" s="788"/>
      <c r="J11" s="329" t="s">
        <v>20</v>
      </c>
      <c r="K11" s="787" t="s">
        <v>193</v>
      </c>
      <c r="L11" s="788"/>
      <c r="M11" s="329" t="s">
        <v>65</v>
      </c>
      <c r="N11" s="329" t="s">
        <v>66</v>
      </c>
      <c r="O11" s="787" t="s">
        <v>67</v>
      </c>
      <c r="P11" s="788"/>
      <c r="Q11" s="787" t="s">
        <v>194</v>
      </c>
      <c r="R11" s="788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787" t="s">
        <v>75</v>
      </c>
      <c r="Y11" s="788"/>
      <c r="Z11" s="787" t="s">
        <v>76</v>
      </c>
      <c r="AA11" s="788"/>
      <c r="AB11" s="331" t="s">
        <v>195</v>
      </c>
      <c r="AC11" s="332" t="s">
        <v>78</v>
      </c>
      <c r="AD11" s="787" t="s">
        <v>196</v>
      </c>
      <c r="AE11" s="788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786" t="s">
        <v>231</v>
      </c>
      <c r="D12" s="764"/>
      <c r="E12" s="335" t="s">
        <v>231</v>
      </c>
      <c r="F12" s="786" t="s">
        <v>231</v>
      </c>
      <c r="G12" s="764"/>
      <c r="H12" s="784" t="str">
        <f>IF('Diseño 3"'!F29="","",'Diseño 3"'!F29)</f>
        <v/>
      </c>
      <c r="I12" s="785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84" t="str">
        <f>IF('Diseño 3"'!N29="","",'Diseño 3"'!N29)</f>
        <v/>
      </c>
      <c r="P12" s="785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84" t="str">
        <f>IF('Diseño 3"'!X29="","",'Diseño 3"'!X29)</f>
        <v/>
      </c>
      <c r="Y12" s="785"/>
      <c r="Z12" s="789" t="str">
        <f>IF('Diseño 3"'!AC29="","",'Diseño 3"'!AC29)</f>
        <v/>
      </c>
      <c r="AA12" s="790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778" t="s">
        <v>231</v>
      </c>
      <c r="D13" s="746"/>
      <c r="E13" s="346" t="s">
        <v>231</v>
      </c>
      <c r="F13" s="778" t="s">
        <v>231</v>
      </c>
      <c r="G13" s="746"/>
      <c r="H13" s="774" t="str">
        <f>IF('Diseño 3"'!F30="","",'Diseño 3"'!F30)</f>
        <v/>
      </c>
      <c r="I13" s="775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4" t="str">
        <f>IF('Diseño 3"'!N30="","",'Diseño 3"'!N30)</f>
        <v/>
      </c>
      <c r="P13" s="775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4" t="str">
        <f>IF('Diseño 3"'!X30="","",'Diseño 3"'!X30)</f>
        <v/>
      </c>
      <c r="Y13" s="775"/>
      <c r="Z13" s="776" t="str">
        <f>IF('Diseño 3"'!AC30="","",'Diseño 3"'!AC30)</f>
        <v/>
      </c>
      <c r="AA13" s="777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778" t="s">
        <v>231</v>
      </c>
      <c r="D14" s="746"/>
      <c r="E14" s="346" t="s">
        <v>231</v>
      </c>
      <c r="F14" s="778" t="s">
        <v>231</v>
      </c>
      <c r="G14" s="746"/>
      <c r="H14" s="774" t="str">
        <f>IF('Diseño 3"'!F31="","",'Diseño 3"'!F31)</f>
        <v/>
      </c>
      <c r="I14" s="775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4" t="str">
        <f>IF('Diseño 3"'!N31="","",'Diseño 3"'!N31)</f>
        <v/>
      </c>
      <c r="P14" s="775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4" t="str">
        <f>IF('Diseño 3"'!X31="","",'Diseño 3"'!X31)</f>
        <v/>
      </c>
      <c r="Y14" s="775"/>
      <c r="Z14" s="776" t="str">
        <f>IF('Diseño 3"'!AC31="","",'Diseño 3"'!AC31)</f>
        <v/>
      </c>
      <c r="AA14" s="777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778" t="s">
        <v>231</v>
      </c>
      <c r="D15" s="746"/>
      <c r="E15" s="346" t="s">
        <v>231</v>
      </c>
      <c r="F15" s="778" t="s">
        <v>231</v>
      </c>
      <c r="G15" s="746"/>
      <c r="H15" s="774" t="str">
        <f>IF('Diseño 3"'!F32="","",'Diseño 3"'!F32)</f>
        <v/>
      </c>
      <c r="I15" s="775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4" t="str">
        <f>IF('Diseño 3"'!N32="","",'Diseño 3"'!N32)</f>
        <v/>
      </c>
      <c r="P15" s="775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4" t="str">
        <f>IF('Diseño 3"'!X32="","",'Diseño 3"'!X32)</f>
        <v/>
      </c>
      <c r="Y15" s="775"/>
      <c r="Z15" s="776" t="str">
        <f>IF('Diseño 3"'!AC32="","",'Diseño 3"'!AC32)</f>
        <v/>
      </c>
      <c r="AA15" s="777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778" t="s">
        <v>231</v>
      </c>
      <c r="D16" s="746"/>
      <c r="E16" s="346" t="s">
        <v>231</v>
      </c>
      <c r="F16" s="778" t="s">
        <v>231</v>
      </c>
      <c r="G16" s="746"/>
      <c r="H16" s="774" t="str">
        <f>IF('Diseño 3"'!F33="","",'Diseño 3"'!F33)</f>
        <v/>
      </c>
      <c r="I16" s="775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4" t="str">
        <f>IF('Diseño 3"'!N33="","",'Diseño 3"'!N33)</f>
        <v/>
      </c>
      <c r="P16" s="775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4" t="str">
        <f>IF('Diseño 3"'!X33="","",'Diseño 3"'!X33)</f>
        <v/>
      </c>
      <c r="Y16" s="775"/>
      <c r="Z16" s="776" t="str">
        <f>IF('Diseño 3"'!AC33="","",'Diseño 3"'!AC33)</f>
        <v/>
      </c>
      <c r="AA16" s="777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778" t="s">
        <v>231</v>
      </c>
      <c r="D17" s="746"/>
      <c r="E17" s="346" t="s">
        <v>231</v>
      </c>
      <c r="F17" s="778" t="s">
        <v>231</v>
      </c>
      <c r="G17" s="746"/>
      <c r="H17" s="774" t="str">
        <f>IF('Diseño 3"'!F34="","",'Diseño 3"'!F34)</f>
        <v/>
      </c>
      <c r="I17" s="775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4" t="str">
        <f>IF('Diseño 3"'!N34="","",'Diseño 3"'!N34)</f>
        <v/>
      </c>
      <c r="P17" s="775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4" t="str">
        <f>IF('Diseño 3"'!X34="","",'Diseño 3"'!X34)</f>
        <v/>
      </c>
      <c r="Y17" s="775"/>
      <c r="Z17" s="776" t="str">
        <f>IF('Diseño 3"'!AC34="","",'Diseño 3"'!AC34)</f>
        <v/>
      </c>
      <c r="AA17" s="777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778" t="s">
        <v>231</v>
      </c>
      <c r="D18" s="746"/>
      <c r="E18" s="346" t="s">
        <v>231</v>
      </c>
      <c r="F18" s="778" t="s">
        <v>231</v>
      </c>
      <c r="G18" s="746"/>
      <c r="H18" s="774" t="str">
        <f>IF('Diseño 3"'!F35="","",'Diseño 3"'!F35)</f>
        <v/>
      </c>
      <c r="I18" s="775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4" t="str">
        <f>IF('Diseño 3"'!N35="","",'Diseño 3"'!N35)</f>
        <v/>
      </c>
      <c r="P18" s="775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4" t="str">
        <f>IF('Diseño 3"'!X35="","",'Diseño 3"'!X35)</f>
        <v/>
      </c>
      <c r="Y18" s="775"/>
      <c r="Z18" s="776" t="str">
        <f>IF('Diseño 3"'!AC35="","",'Diseño 3"'!AC35)</f>
        <v/>
      </c>
      <c r="AA18" s="777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778" t="s">
        <v>231</v>
      </c>
      <c r="D19" s="746"/>
      <c r="E19" s="346" t="s">
        <v>231</v>
      </c>
      <c r="F19" s="778" t="s">
        <v>231</v>
      </c>
      <c r="G19" s="746"/>
      <c r="H19" s="774" t="str">
        <f>IF('Diseño 3"'!F36="","",'Diseño 3"'!F36)</f>
        <v/>
      </c>
      <c r="I19" s="775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4" t="str">
        <f>IF('Diseño 3"'!N36="","",'Diseño 3"'!N36)</f>
        <v/>
      </c>
      <c r="P19" s="775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4" t="str">
        <f>IF('Diseño 3"'!X36="","",'Diseño 3"'!X36)</f>
        <v/>
      </c>
      <c r="Y19" s="775"/>
      <c r="Z19" s="776" t="str">
        <f>IF('Diseño 3"'!AC36="","",'Diseño 3"'!AC36)</f>
        <v/>
      </c>
      <c r="AA19" s="777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778" t="s">
        <v>231</v>
      </c>
      <c r="D20" s="746"/>
      <c r="E20" s="346" t="s">
        <v>231</v>
      </c>
      <c r="F20" s="778" t="s">
        <v>231</v>
      </c>
      <c r="G20" s="746"/>
      <c r="H20" s="774" t="str">
        <f>IF('Diseño 3"'!F37="","",'Diseño 3"'!F37)</f>
        <v/>
      </c>
      <c r="I20" s="775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4" t="str">
        <f>IF('Diseño 3"'!N37="","",'Diseño 3"'!N37)</f>
        <v/>
      </c>
      <c r="P20" s="775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4" t="str">
        <f>IF('Diseño 3"'!X37="","",'Diseño 3"'!X37)</f>
        <v/>
      </c>
      <c r="Y20" s="775"/>
      <c r="Z20" s="776" t="str">
        <f>IF('Diseño 3"'!AC37="","",'Diseño 3"'!AC37)</f>
        <v/>
      </c>
      <c r="AA20" s="777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778" t="s">
        <v>231</v>
      </c>
      <c r="D21" s="746"/>
      <c r="E21" s="346" t="s">
        <v>231</v>
      </c>
      <c r="F21" s="778" t="s">
        <v>231</v>
      </c>
      <c r="G21" s="746"/>
      <c r="H21" s="774" t="str">
        <f>IF('Diseño 3"'!F38="","",'Diseño 3"'!F38)</f>
        <v/>
      </c>
      <c r="I21" s="775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4" t="str">
        <f>IF('Diseño 3"'!N38="","",'Diseño 3"'!N38)</f>
        <v/>
      </c>
      <c r="P21" s="775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4" t="str">
        <f>IF('Diseño 3"'!X38="","",'Diseño 3"'!X38)</f>
        <v/>
      </c>
      <c r="Y21" s="775"/>
      <c r="Z21" s="776" t="str">
        <f>IF('Diseño 3"'!AC38="","",'Diseño 3"'!AC38)</f>
        <v/>
      </c>
      <c r="AA21" s="777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778" t="s">
        <v>231</v>
      </c>
      <c r="D22" s="746"/>
      <c r="E22" s="346" t="s">
        <v>231</v>
      </c>
      <c r="F22" s="778" t="s">
        <v>231</v>
      </c>
      <c r="G22" s="746"/>
      <c r="H22" s="774" t="str">
        <f>IF('Diseño 3"'!F39="","",'Diseño 3"'!F39)</f>
        <v/>
      </c>
      <c r="I22" s="775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4" t="str">
        <f>IF('Diseño 3"'!N39="","",'Diseño 3"'!N39)</f>
        <v/>
      </c>
      <c r="P22" s="775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4" t="str">
        <f>IF('Diseño 3"'!X39="","",'Diseño 3"'!X39)</f>
        <v/>
      </c>
      <c r="Y22" s="775"/>
      <c r="Z22" s="776" t="str">
        <f>IF('Diseño 3"'!AC39="","",'Diseño 3"'!AC39)</f>
        <v/>
      </c>
      <c r="AA22" s="777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778" t="s">
        <v>231</v>
      </c>
      <c r="D23" s="746"/>
      <c r="E23" s="346" t="s">
        <v>231</v>
      </c>
      <c r="F23" s="778" t="s">
        <v>231</v>
      </c>
      <c r="G23" s="746"/>
      <c r="H23" s="774" t="str">
        <f>IF('Diseño 3"'!F40="","",'Diseño 3"'!F40)</f>
        <v/>
      </c>
      <c r="I23" s="775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4" t="str">
        <f>IF('Diseño 3"'!N40="","",'Diseño 3"'!N40)</f>
        <v/>
      </c>
      <c r="P23" s="775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4" t="str">
        <f>IF('Diseño 3"'!X40="","",'Diseño 3"'!X40)</f>
        <v/>
      </c>
      <c r="Y23" s="775"/>
      <c r="Z23" s="776" t="str">
        <f>IF('Diseño 3"'!AC40="","",'Diseño 3"'!AC40)</f>
        <v/>
      </c>
      <c r="AA23" s="777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778" t="s">
        <v>231</v>
      </c>
      <c r="D24" s="746"/>
      <c r="E24" s="346" t="s">
        <v>231</v>
      </c>
      <c r="F24" s="778" t="s">
        <v>231</v>
      </c>
      <c r="G24" s="746"/>
      <c r="H24" s="774" t="str">
        <f>IF('Diseño 3"'!F41="","",'Diseño 3"'!F41)</f>
        <v/>
      </c>
      <c r="I24" s="775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4" t="str">
        <f>IF('Diseño 3"'!N41="","",'Diseño 3"'!N41)</f>
        <v/>
      </c>
      <c r="P24" s="775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4" t="str">
        <f>IF('Diseño 3"'!X41="","",'Diseño 3"'!X41)</f>
        <v/>
      </c>
      <c r="Y24" s="775"/>
      <c r="Z24" s="776" t="str">
        <f>IF('Diseño 3"'!AC41="","",'Diseño 3"'!AC41)</f>
        <v/>
      </c>
      <c r="AA24" s="777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778" t="s">
        <v>231</v>
      </c>
      <c r="D25" s="746"/>
      <c r="E25" s="346" t="s">
        <v>231</v>
      </c>
      <c r="F25" s="778" t="s">
        <v>231</v>
      </c>
      <c r="G25" s="746"/>
      <c r="H25" s="774" t="str">
        <f>IF('Diseño 3"'!F42="","",'Diseño 3"'!F42)</f>
        <v/>
      </c>
      <c r="I25" s="775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4" t="str">
        <f>IF('Diseño 3"'!N42="","",'Diseño 3"'!N42)</f>
        <v/>
      </c>
      <c r="P25" s="775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4" t="str">
        <f>IF('Diseño 3"'!X42="","",'Diseño 3"'!X42)</f>
        <v/>
      </c>
      <c r="Y25" s="775"/>
      <c r="Z25" s="776" t="str">
        <f>IF('Diseño 3"'!AC42="","",'Diseño 3"'!AC42)</f>
        <v/>
      </c>
      <c r="AA25" s="777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4" t="str">
        <f>IF('Diseño 3"'!F43="","",'Diseño 3"'!F43)</f>
        <v/>
      </c>
      <c r="I26" s="775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4" t="str">
        <f>IF('Diseño 3"'!N43="","",'Diseño 3"'!N43)</f>
        <v/>
      </c>
      <c r="P26" s="775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4" t="str">
        <f>IF('Diseño 3"'!X43="","",'Diseño 3"'!X43)</f>
        <v/>
      </c>
      <c r="Y26" s="775"/>
      <c r="Z26" s="776" t="str">
        <f>IF('Diseño 3"'!AC43="","",'Diseño 3"'!AC43)</f>
        <v/>
      </c>
      <c r="AA26" s="777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4" t="str">
        <f>IF('Diseño 3"'!F44="","",'Diseño 3"'!F44)</f>
        <v/>
      </c>
      <c r="I27" s="775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4" t="str">
        <f>IF('Diseño 3"'!N44="","",'Diseño 3"'!N44)</f>
        <v/>
      </c>
      <c r="P27" s="775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4" t="str">
        <f>IF('Diseño 3"'!X44="","",'Diseño 3"'!X44)</f>
        <v/>
      </c>
      <c r="Y27" s="775"/>
      <c r="Z27" s="776" t="str">
        <f>IF('Diseño 3"'!AC44="","",'Diseño 3"'!AC44)</f>
        <v/>
      </c>
      <c r="AA27" s="777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4" t="str">
        <f>IF('Diseño 3"'!F45="","",'Diseño 3"'!F45)</f>
        <v/>
      </c>
      <c r="I28" s="775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4" t="str">
        <f>IF('Diseño 3"'!N45="","",'Diseño 3"'!N45)</f>
        <v/>
      </c>
      <c r="P28" s="775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4" t="str">
        <f>IF('Diseño 3"'!X45="","",'Diseño 3"'!X45)</f>
        <v/>
      </c>
      <c r="Y28" s="775"/>
      <c r="Z28" s="776" t="str">
        <f>IF('Diseño 3"'!AC45="","",'Diseño 3"'!AC45)</f>
        <v/>
      </c>
      <c r="AA28" s="777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4" t="str">
        <f>IF('Diseño 3"'!F46="","",'Diseño 3"'!F46)</f>
        <v/>
      </c>
      <c r="I29" s="775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4" t="str">
        <f>IF('Diseño 3"'!N46="","",'Diseño 3"'!N46)</f>
        <v/>
      </c>
      <c r="P29" s="775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4" t="str">
        <f>IF('Diseño 3"'!X46="","",'Diseño 3"'!X46)</f>
        <v/>
      </c>
      <c r="Y29" s="775"/>
      <c r="Z29" s="776" t="str">
        <f>IF('Diseño 3"'!AC46="","",'Diseño 3"'!AC46)</f>
        <v/>
      </c>
      <c r="AA29" s="777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4" t="str">
        <f>IF('Diseño 3"'!F47="","",'Diseño 3"'!F47)</f>
        <v/>
      </c>
      <c r="I30" s="775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4" t="str">
        <f>IF('Diseño 3"'!N47="","",'Diseño 3"'!N47)</f>
        <v/>
      </c>
      <c r="P30" s="775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4" t="str">
        <f>IF('Diseño 3"'!X47="","",'Diseño 3"'!X47)</f>
        <v/>
      </c>
      <c r="Y30" s="775"/>
      <c r="Z30" s="776" t="str">
        <f>IF('Diseño 3"'!AC47="","",'Diseño 3"'!AC47)</f>
        <v/>
      </c>
      <c r="AA30" s="777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781" t="s">
        <v>231</v>
      </c>
      <c r="D31" s="782"/>
      <c r="E31" s="363" t="s">
        <v>231</v>
      </c>
      <c r="F31" s="781" t="s">
        <v>231</v>
      </c>
      <c r="G31" s="782"/>
      <c r="H31" s="772" t="str">
        <f>IF('Diseño 3"'!F48="","",'Diseño 3"'!F48)</f>
        <v/>
      </c>
      <c r="I31" s="773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2" t="str">
        <f>IF('Diseño 3"'!N48="","",'Diseño 3"'!N48)</f>
        <v/>
      </c>
      <c r="P31" s="773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2" t="str">
        <f>IF('Diseño 3"'!X48="","",'Diseño 3"'!X48)</f>
        <v/>
      </c>
      <c r="Y31" s="773"/>
      <c r="Z31" s="779" t="str">
        <f>IF('Diseño 3"'!AC48="","",'Diseño 3"'!AC48)</f>
        <v/>
      </c>
      <c r="AA31" s="780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03"/>
      <c r="P33" s="804"/>
      <c r="Q33" s="375"/>
      <c r="R33" s="375"/>
      <c r="S33" s="375"/>
      <c r="T33" s="377"/>
      <c r="U33" s="321"/>
      <c r="V33" s="805" t="s">
        <v>213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7"/>
      <c r="AI33" s="344"/>
      <c r="AJ33" s="344"/>
      <c r="AK33" s="321"/>
      <c r="AL33" s="321"/>
      <c r="AM33" s="321"/>
    </row>
    <row r="34" spans="2:39" ht="15" customHeight="1" x14ac:dyDescent="0.2">
      <c r="B34" s="791" t="str">
        <f>+'Diseño 3"'!AB13</f>
        <v>ESCRIBE AQUÍ</v>
      </c>
      <c r="C34" s="792"/>
      <c r="D34" s="792"/>
      <c r="E34" s="792"/>
      <c r="F34" s="792"/>
      <c r="G34" s="792"/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3"/>
      <c r="U34" s="321"/>
      <c r="V34" s="808" t="s">
        <v>211</v>
      </c>
      <c r="W34" s="809"/>
      <c r="X34" s="809"/>
      <c r="Y34" s="809"/>
      <c r="Z34" s="809"/>
      <c r="AA34" s="810"/>
      <c r="AB34" s="378"/>
      <c r="AC34" s="379"/>
      <c r="AD34" s="811" t="s">
        <v>212</v>
      </c>
      <c r="AE34" s="809"/>
      <c r="AF34" s="809"/>
      <c r="AG34" s="809"/>
      <c r="AH34" s="812"/>
      <c r="AI34" s="344"/>
      <c r="AJ34" s="344"/>
      <c r="AK34" s="321"/>
      <c r="AL34" s="321"/>
      <c r="AM34" s="321"/>
    </row>
    <row r="35" spans="2:39" ht="15" customHeight="1" x14ac:dyDescent="0.2">
      <c r="B35" s="794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6"/>
      <c r="U35" s="321"/>
      <c r="V35" s="380"/>
      <c r="W35" s="321"/>
      <c r="X35" s="321"/>
      <c r="Y35" s="321"/>
      <c r="Z35" s="801"/>
      <c r="AA35" s="802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4"/>
      <c r="C36" s="795"/>
      <c r="D36" s="795"/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5"/>
      <c r="Q36" s="795"/>
      <c r="R36" s="795"/>
      <c r="S36" s="795"/>
      <c r="T36" s="796"/>
      <c r="U36" s="321"/>
      <c r="V36" s="380"/>
      <c r="W36" s="321"/>
      <c r="X36" s="321"/>
      <c r="Y36" s="321"/>
      <c r="Z36" s="801"/>
      <c r="AA36" s="802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4"/>
      <c r="C37" s="795"/>
      <c r="D37" s="795"/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S37" s="795"/>
      <c r="T37" s="796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4"/>
      <c r="C38" s="795"/>
      <c r="D38" s="795"/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5"/>
      <c r="Q38" s="795"/>
      <c r="R38" s="795"/>
      <c r="S38" s="795"/>
      <c r="T38" s="796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4"/>
      <c r="C39" s="795"/>
      <c r="D39" s="795"/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5"/>
      <c r="Q39" s="795"/>
      <c r="R39" s="795"/>
      <c r="S39" s="795"/>
      <c r="T39" s="796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4"/>
      <c r="C40" s="795"/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6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7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9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5" t="s">
        <v>4</v>
      </c>
      <c r="B4" s="609"/>
      <c r="C4" s="816"/>
      <c r="D4" s="609"/>
      <c r="E4" s="28" t="s">
        <v>190</v>
      </c>
      <c r="F4" s="817"/>
      <c r="G4" s="608"/>
      <c r="H4" s="609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5" t="s">
        <v>7</v>
      </c>
      <c r="B5" s="609"/>
      <c r="C5" s="818"/>
      <c r="D5" s="609"/>
      <c r="E5" s="28" t="s">
        <v>6</v>
      </c>
      <c r="F5" s="819"/>
      <c r="G5" s="608"/>
      <c r="H5" s="609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5" t="s">
        <v>9</v>
      </c>
      <c r="B6" s="609"/>
      <c r="C6" s="16"/>
      <c r="D6" s="34"/>
      <c r="E6" s="35" t="s">
        <v>202</v>
      </c>
      <c r="F6" s="821"/>
      <c r="G6" s="608"/>
      <c r="H6" s="609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22" t="s">
        <v>191</v>
      </c>
      <c r="M7" s="823"/>
      <c r="N7" s="824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5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5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5"/>
      <c r="B10" s="41"/>
      <c r="C10" s="41"/>
      <c r="D10" s="41"/>
      <c r="E10" s="41"/>
      <c r="F10" s="42"/>
      <c r="G10" s="42"/>
      <c r="H10" s="615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2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2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5"/>
      <c r="B26" s="41"/>
      <c r="C26" s="41"/>
      <c r="D26" s="41"/>
      <c r="E26" s="41"/>
      <c r="F26" s="42"/>
      <c r="G26" s="42"/>
      <c r="H26" s="615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2026-04-09T12:34:26Z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