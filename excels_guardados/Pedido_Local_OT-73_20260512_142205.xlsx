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6" documentId="13_ncr:1_{9EA55865-E07B-4F46-9A96-388560F5A8E9}" xr6:coauthVersionLast="47" xr6:coauthVersionMax="47" xr10:uidLastSave="{1D1B68D8-D210-42F1-BD11-4078B1A0AFBA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<sst xmlns="http://schemas.openxmlformats.org/spreadsheetml/2006/main" count="1734" uniqueCount="244">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</sst>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zoomScaleNormal="100" workbookViewId="0">
      <selection activeCell="D8" sqref="D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>
        <v>46154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20" t="s">
        <v>8</v>
      </c>
      <c r="I6" s="594"/>
      <c r="J6" s="621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73</v>
      </c>
      <c r="E7" s="139"/>
      <c r="F7" s="139"/>
      <c r="G7" s="126"/>
      <c r="H7" s="620" t="s">
        <v>239</v>
      </c>
      <c r="I7" s="594"/>
      <c r="J7" s="621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4.1665052581127311</v>
      </c>
      <c r="P12" s="296">
        <f t="shared" si="0"/>
        <v>16.666021032450924</v>
      </c>
      <c r="Q12" s="597" t="s">
        <v>23</v>
      </c>
      <c r="R12" s="598"/>
      <c r="S12" s="284">
        <f>ROUNDUP(AI49/6,0)</f>
        <v>4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8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2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12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4.1665052581127311</v>
      </c>
      <c r="P17" s="306">
        <f t="shared" si="1"/>
        <v>16.666021032450924</v>
      </c>
      <c r="Q17" s="597" t="s">
        <v>40</v>
      </c>
      <c r="R17" s="598"/>
      <c r="S17" s="284">
        <f>ROUNDUP(AI49/6,0)</f>
        <v>4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16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8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40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3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608"/>
      <c r="F29" s="607" t="s">
        <v>99</v>
      </c>
      <c r="G29" s="594"/>
      <c r="H29" s="593"/>
      <c r="I29" s="192">
        <v>1</v>
      </c>
      <c r="J29" s="192">
        <v>25</v>
      </c>
      <c r="K29" s="192">
        <v>25</v>
      </c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 t="s">
        <v>136</v>
      </c>
      <c r="AB29" s="593"/>
      <c r="AC29" s="592" t="s">
        <v>136</v>
      </c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8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0.54836881452818287</v>
      </c>
      <c r="AN29" s="290">
        <f t="shared" ref="AN29:AN48" si="8">IF(ISERROR(AM29*(IF(AJ29=1,8,IF(AJ29=0.8,6.4,IF(AJ29=0.6,4.8,IF(AJ29=0.5,4)))))),"",AM29*(IF(AJ29=1,8,IF(AJ29=0.8,6.4,IF(AJ29=0.6,4.8,IF(AJ29=0.5,4))))))</f>
        <v>2.1934752581127315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0.54836881452818287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608"/>
      <c r="F30" s="607" t="s">
        <v>98</v>
      </c>
      <c r="G30" s="594"/>
      <c r="H30" s="593"/>
      <c r="I30" s="192">
        <v>1</v>
      </c>
      <c r="J30" s="192">
        <v>25</v>
      </c>
      <c r="K30" s="192">
        <v>25</v>
      </c>
      <c r="L30" s="192"/>
      <c r="M30" s="192"/>
      <c r="N30" s="592"/>
      <c r="O30" s="594"/>
      <c r="P30" s="593"/>
      <c r="Q30" s="192"/>
      <c r="R30" s="192"/>
      <c r="S30" s="192">
        <v>0.4</v>
      </c>
      <c r="T30" s="192"/>
      <c r="U30" s="192"/>
      <c r="V30" s="193"/>
      <c r="W30" s="194"/>
      <c r="X30" s="192"/>
      <c r="Y30" s="192"/>
      <c r="Z30" s="195"/>
      <c r="AA30" s="592" t="s">
        <v>136</v>
      </c>
      <c r="AB30" s="593"/>
      <c r="AC30" s="592" t="s">
        <v>136</v>
      </c>
      <c r="AD30" s="593"/>
      <c r="AE30" s="197"/>
      <c r="AF30" s="284">
        <f t="shared" si="2"/>
        <v>1</v>
      </c>
      <c r="AG30" s="285">
        <f t="shared" si="3"/>
        <v>0</v>
      </c>
      <c r="AH30" s="285">
        <f t="shared" si="4"/>
        <v>0</v>
      </c>
      <c r="AI30" s="286">
        <f t="shared" si="5"/>
        <v>8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0.53715999999999997</v>
      </c>
      <c r="AN30" s="290">
        <f t="shared" si="8"/>
        <v>2.1486399999999999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>
        <f t="shared" si="23"/>
        <v>0.53715999999999997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2"/>
      <c r="E31" s="608"/>
      <c r="F31" s="607" t="s">
        <v>98</v>
      </c>
      <c r="G31" s="594"/>
      <c r="H31" s="593"/>
      <c r="I31" s="192">
        <v>1</v>
      </c>
      <c r="J31" s="192">
        <v>25</v>
      </c>
      <c r="K31" s="192">
        <v>25</v>
      </c>
      <c r="L31" s="192"/>
      <c r="M31" s="192"/>
      <c r="N31" s="592"/>
      <c r="O31" s="594"/>
      <c r="P31" s="593"/>
      <c r="Q31" s="192"/>
      <c r="R31" s="192"/>
      <c r="S31" s="192">
        <v>0.65</v>
      </c>
      <c r="T31" s="192"/>
      <c r="U31" s="192"/>
      <c r="V31" s="193"/>
      <c r="W31" s="194"/>
      <c r="X31" s="192"/>
      <c r="Y31" s="192"/>
      <c r="Z31" s="228"/>
      <c r="AA31" s="592" t="s">
        <v>136</v>
      </c>
      <c r="AB31" s="593"/>
      <c r="AC31" s="592" t="s">
        <v>136</v>
      </c>
      <c r="AD31" s="593"/>
      <c r="AE31" s="197"/>
      <c r="AF31" s="284">
        <f t="shared" si="2"/>
        <v>1</v>
      </c>
      <c r="AG31" s="285">
        <f t="shared" si="3"/>
        <v>0</v>
      </c>
      <c r="AH31" s="285">
        <f t="shared" si="4"/>
        <v>0</v>
      </c>
      <c r="AI31" s="286">
        <f t="shared" si="5"/>
        <v>8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0.79540999999999995</v>
      </c>
      <c r="AN31" s="290">
        <f t="shared" ref="AN31:AN46" si="37">IF(ISERROR(AM31*(IF(AJ31=1,8,IF(AJ31=0.8,6.4,IF(AJ31=0.6,4.8,IF(AJ31=0.5,4)))))),"",AM31*(IF(AJ31=1,8,IF(AJ31=0.8,6.4,IF(AJ31=0.6,4.8,IF(AJ31=0.5,4))))))</f>
        <v>3.1816399999999998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>
        <f t="shared" si="23"/>
        <v>0.79540999999999995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608"/>
      <c r="F32" s="607" t="s">
        <v>99</v>
      </c>
      <c r="G32" s="594"/>
      <c r="H32" s="593"/>
      <c r="I32" s="192">
        <v>3</v>
      </c>
      <c r="J32" s="192">
        <v>25</v>
      </c>
      <c r="K32" s="192">
        <v>25</v>
      </c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 t="s">
        <v>136</v>
      </c>
      <c r="AB32" s="593"/>
      <c r="AC32" s="592" t="s">
        <v>136</v>
      </c>
      <c r="AD32" s="593"/>
      <c r="AE32" s="197"/>
      <c r="AF32" s="284">
        <f t="shared" si="2"/>
        <v>3</v>
      </c>
      <c r="AG32" s="285">
        <f t="shared" si="3"/>
        <v>0</v>
      </c>
      <c r="AH32" s="285">
        <f t="shared" si="4"/>
        <v>8</v>
      </c>
      <c r="AI32" s="286">
        <f t="shared" si="5"/>
        <v>0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1.6451064435845486</v>
      </c>
      <c r="AN32" s="290">
        <f t="shared" si="37"/>
        <v>6.5804257743381944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>
        <f t="shared" si="24"/>
        <v>1.6451064435845486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/>
      <c r="E33" s="608"/>
      <c r="F33" s="607" t="s">
        <v>98</v>
      </c>
      <c r="G33" s="594"/>
      <c r="H33" s="593"/>
      <c r="I33" s="192">
        <v>1</v>
      </c>
      <c r="J33" s="192">
        <v>25</v>
      </c>
      <c r="K33" s="192">
        <v>25</v>
      </c>
      <c r="L33" s="192"/>
      <c r="M33" s="192"/>
      <c r="N33" s="592"/>
      <c r="O33" s="594"/>
      <c r="P33" s="593"/>
      <c r="Q33" s="192"/>
      <c r="R33" s="192"/>
      <c r="S33" s="192">
        <v>0.5</v>
      </c>
      <c r="T33" s="192"/>
      <c r="U33" s="192"/>
      <c r="V33" s="193"/>
      <c r="W33" s="194"/>
      <c r="X33" s="192"/>
      <c r="Y33" s="192"/>
      <c r="Z33" s="195"/>
      <c r="AA33" s="592" t="s">
        <v>136</v>
      </c>
      <c r="AB33" s="593"/>
      <c r="AC33" s="592" t="s">
        <v>136</v>
      </c>
      <c r="AD33" s="593"/>
      <c r="AE33" s="197"/>
      <c r="AF33" s="284">
        <f t="shared" si="2"/>
        <v>1</v>
      </c>
      <c r="AG33" s="285">
        <f t="shared" si="3"/>
        <v>0</v>
      </c>
      <c r="AH33" s="285">
        <f t="shared" si="4"/>
        <v>0</v>
      </c>
      <c r="AI33" s="286">
        <f t="shared" si="5"/>
        <v>8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0.64045999999999992</v>
      </c>
      <c r="AN33" s="290">
        <f t="shared" si="37"/>
        <v>2.5618399999999997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>
        <f t="shared" si="23"/>
        <v>0.64045999999999992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 t="s">
        <v>100</v>
      </c>
      <c r="G34" s="594"/>
      <c r="H34" s="593"/>
      <c r="I34" s="192">
        <v>1</v>
      </c>
      <c r="J34" s="192">
        <v>201</v>
      </c>
      <c r="K34" s="192">
        <v>26</v>
      </c>
      <c r="L34" s="192"/>
      <c r="M34" s="192"/>
      <c r="N34" s="592"/>
      <c r="O34" s="594"/>
      <c r="P34" s="593"/>
      <c r="Q34" s="192"/>
      <c r="R34" s="192">
        <v>29</v>
      </c>
      <c r="S34" s="192">
        <v>0.28999999999999998</v>
      </c>
      <c r="T34" s="192"/>
      <c r="U34" s="192"/>
      <c r="V34" s="193"/>
      <c r="W34" s="194"/>
      <c r="X34" s="192"/>
      <c r="Y34" s="192"/>
      <c r="Z34" s="195"/>
      <c r="AA34" s="592" t="s">
        <v>134</v>
      </c>
      <c r="AB34" s="593"/>
      <c r="AC34" s="592"/>
      <c r="AD34" s="593"/>
      <c r="AE34" s="197"/>
      <c r="AF34" s="284">
        <f t="shared" si="2"/>
        <v>1</v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 t="str">
        <f t="shared" si="36"/>
        <v>1 C / 1R</v>
      </c>
      <c r="AK34" s="288"/>
      <c r="AL34" s="289" t="str">
        <f t="shared" si="6"/>
        <v>1 C / 1R</v>
      </c>
      <c r="AM34" s="290">
        <f t="shared" si="7"/>
        <v>2.1238360000000003</v>
      </c>
      <c r="AN34" s="290">
        <f t="shared" si="37"/>
        <v>0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>
        <f t="shared" si="25"/>
        <v>2.1238360000000003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/>
      <c r="G35" s="594"/>
      <c r="H35" s="593"/>
      <c r="I35" s="192"/>
      <c r="J35" s="192"/>
      <c r="K35" s="192"/>
      <c r="L35" s="192"/>
      <c r="M35" s="192"/>
      <c r="N35" s="592"/>
      <c r="O35" s="594"/>
      <c r="P35" s="593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592"/>
      <c r="AB35" s="593"/>
      <c r="AC35" s="592"/>
      <c r="AD35" s="593"/>
      <c r="AE35" s="197"/>
      <c r="AF35" s="284" t="str">
        <f t="shared" si="2"/>
        <v/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 t="str">
        <f t="shared" si="36"/>
        <v/>
      </c>
      <c r="AK35" s="288"/>
      <c r="AL35" s="289" t="str">
        <f t="shared" si="6"/>
        <v/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608"/>
      <c r="F36" s="607"/>
      <c r="G36" s="594"/>
      <c r="H36" s="593"/>
      <c r="I36" s="192"/>
      <c r="J36" s="192"/>
      <c r="K36" s="192"/>
      <c r="L36" s="192"/>
      <c r="M36" s="192"/>
      <c r="N36" s="592"/>
      <c r="O36" s="594"/>
      <c r="P36" s="593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2"/>
      <c r="AB36" s="593"/>
      <c r="AC36" s="592"/>
      <c r="AD36" s="593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/>
      <c r="G37" s="594"/>
      <c r="H37" s="593"/>
      <c r="I37" s="192"/>
      <c r="J37" s="192"/>
      <c r="K37" s="192"/>
      <c r="L37" s="192"/>
      <c r="M37" s="192"/>
      <c r="N37" s="592"/>
      <c r="O37" s="594"/>
      <c r="P37" s="593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2"/>
      <c r="AB37" s="593"/>
      <c r="AC37" s="592"/>
      <c r="AD37" s="593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608"/>
      <c r="F38" s="607"/>
      <c r="G38" s="594"/>
      <c r="H38" s="593"/>
      <c r="I38" s="192"/>
      <c r="J38" s="192"/>
      <c r="K38" s="192"/>
      <c r="L38" s="192"/>
      <c r="M38" s="192"/>
      <c r="N38" s="592"/>
      <c r="O38" s="594"/>
      <c r="P38" s="593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2"/>
      <c r="AB38" s="593"/>
      <c r="AC38" s="592"/>
      <c r="AD38" s="593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608"/>
      <c r="F39" s="607"/>
      <c r="G39" s="594"/>
      <c r="H39" s="593"/>
      <c r="I39" s="192"/>
      <c r="J39" s="192"/>
      <c r="K39" s="192"/>
      <c r="L39" s="192"/>
      <c r="M39" s="192"/>
      <c r="N39" s="592"/>
      <c r="O39" s="594"/>
      <c r="P39" s="593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2"/>
      <c r="AB39" s="593"/>
      <c r="AC39" s="592"/>
      <c r="AD39" s="593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/>
      <c r="G40" s="594"/>
      <c r="H40" s="593"/>
      <c r="I40" s="192"/>
      <c r="J40" s="192"/>
      <c r="K40" s="192"/>
      <c r="L40" s="192"/>
      <c r="M40" s="192"/>
      <c r="N40" s="592"/>
      <c r="O40" s="594"/>
      <c r="P40" s="593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2"/>
      <c r="AB40" s="593"/>
      <c r="AC40" s="592"/>
      <c r="AD40" s="593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/>
      <c r="G41" s="594"/>
      <c r="H41" s="593"/>
      <c r="I41" s="192"/>
      <c r="J41" s="192"/>
      <c r="K41" s="192"/>
      <c r="L41" s="192"/>
      <c r="M41" s="192"/>
      <c r="N41" s="592"/>
      <c r="O41" s="594"/>
      <c r="P41" s="593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2"/>
      <c r="AB41" s="593"/>
      <c r="AC41" s="592"/>
      <c r="AD41" s="593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608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8</v>
      </c>
      <c r="AG49" s="203"/>
      <c r="AH49" s="204">
        <f>SUM(AH29:AH48)</f>
        <v>16</v>
      </c>
      <c r="AI49" s="204">
        <f>SUM(AI29:AI48)</f>
        <v>24</v>
      </c>
      <c r="AJ49" s="205"/>
      <c r="AK49" s="205"/>
      <c r="AL49" s="206"/>
      <c r="AM49" s="207">
        <f>SUM(AM29:AM48)</f>
        <v>6.2903412581127309</v>
      </c>
      <c r="AN49" s="208">
        <f>SUM(AN29:AN48)</f>
        <v>16.666021032450924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>
        <f>+'Diseño 1"'!K5</f>
        <v>46154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>
        <f>+T5</f>
        <v>46154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73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>
        <f>WORKDAY(T6,5,0)</f>
        <v>46161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0</v>
      </c>
      <c r="U8" s="657"/>
      <c r="V8" s="657"/>
      <c r="W8" s="658"/>
      <c r="X8" s="534">
        <f>SUMIFS('Diseño 1"'!AN29:AN48,'Diseño 1"'!AJ29:AJ48,0.5)</f>
        <v>16.666021032450924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16.666021032450924</v>
      </c>
      <c r="AH8" s="538"/>
      <c r="AI8" s="533">
        <f>+'Diseño 1"'!AM49</f>
        <v>6.2903412581127309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/>
      </c>
      <c r="E12" s="650"/>
      <c r="F12" s="247" t="str">
        <f>IF('Diseño 1"'!C29=0,"",'Diseño 1"'!C29)</f>
        <v/>
      </c>
      <c r="G12" s="670" t="str">
        <f>IF('Diseño 1"'!D29="","",'Diseño 1"'!D29)</f>
        <v/>
      </c>
      <c r="H12" s="650"/>
      <c r="I12" s="670" t="str">
        <f>IF('Diseño 1"'!F29="","",'Diseño 1"'!F29)</f>
        <v>Medio Codo</v>
      </c>
      <c r="J12" s="650"/>
      <c r="K12" s="248">
        <f>IF(I12="","",'Diseño 1"'!I29)</f>
        <v>1</v>
      </c>
      <c r="L12" s="242">
        <f>IF('Diseño 1"'!J29="","",'Diseño 1"'!J29)</f>
        <v>25</v>
      </c>
      <c r="M12" s="242">
        <f>IF('Diseño 1"'!K29="","",'Diseño 1"'!K29)</f>
        <v>25</v>
      </c>
      <c r="N12" s="242">
        <f>'Diseño 1"'!L29</f>
        <v>0</v>
      </c>
      <c r="O12" s="242" t="str">
        <f>IF('Diseño 1"'!M29="","",'Diseño 1"'!M29)</f>
        <v/>
      </c>
      <c r="P12" s="649" t="str">
        <f>IF('Diseño 1"'!N29="","",'Diseño 1"'!N29)</f>
        <v/>
      </c>
      <c r="Q12" s="650"/>
      <c r="R12" s="242" t="str">
        <f>IF('Diseño 1"'!Q29="","",'Diseño 1"'!Q29)</f>
        <v/>
      </c>
      <c r="S12" s="242" t="str">
        <f>IF('Diseño 1"'!R29="","",'Diseño 1"'!R29)</f>
        <v/>
      </c>
      <c r="T12" s="242" t="str">
        <f>IF('Diseño 1"'!S29="","",'Diseño 1"'!S29)</f>
        <v/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>TDF</v>
      </c>
      <c r="Z12" s="667"/>
      <c r="AA12" s="649" t="str">
        <f>IF('Diseño 1"'!AC29="","",'Diseño 1"'!AC29)</f>
        <v>TDF</v>
      </c>
      <c r="AB12" s="667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2.1934752581127315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Ducto Recto</v>
      </c>
      <c r="J13" s="642"/>
      <c r="K13" s="20">
        <f>IF(I13="","",'Diseño 1"'!I30)</f>
        <v>1</v>
      </c>
      <c r="L13" s="17">
        <f>IF('Diseño 1"'!J30="","",'Diseño 1"'!J30)</f>
        <v>25</v>
      </c>
      <c r="M13" s="17">
        <f>IF('Diseño 1"'!K30="","",'Diseño 1"'!K30)</f>
        <v>25</v>
      </c>
      <c r="N13" s="17">
        <f>'Diseño 1"'!L30</f>
        <v>0</v>
      </c>
      <c r="O13" s="17" t="str">
        <f>IF('Diseño 1"'!M30="","",'Diseño 1"'!M30)</f>
        <v/>
      </c>
      <c r="P13" s="633" t="str">
        <f>IF('Diseño 1"'!N30="","",'Diseño 1"'!N30)</f>
        <v/>
      </c>
      <c r="Q13" s="642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0.4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>TDF</v>
      </c>
      <c r="Z13" s="634"/>
      <c r="AA13" s="633" t="str">
        <f>IF('Diseño 1"'!AC30="","",'Diseño 1"'!AC30)</f>
        <v>TDF</v>
      </c>
      <c r="AB13" s="634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2.1486399999999999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>Ducto Recto</v>
      </c>
      <c r="J14" s="642"/>
      <c r="K14" s="20">
        <f>IF(I14="","",'Diseño 1"'!I31)</f>
        <v>1</v>
      </c>
      <c r="L14" s="17">
        <f>IF('Diseño 1"'!J31="","",'Diseño 1"'!J31)</f>
        <v>25</v>
      </c>
      <c r="M14" s="17">
        <f>IF('Diseño 1"'!K31="","",'Diseño 1"'!K31)</f>
        <v>25</v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/>
      </c>
      <c r="Q14" s="642"/>
      <c r="R14" s="17" t="str">
        <f>IF('Diseño 1"'!Q31="","",'Diseño 1"'!Q31)</f>
        <v/>
      </c>
      <c r="S14" s="17" t="str">
        <f>IF('Diseño 1"'!R31="","",'Diseño 1"'!R31)</f>
        <v/>
      </c>
      <c r="T14" s="242">
        <f>IF('Diseño 1"'!S31="","",'Diseño 1"'!S31)</f>
        <v>0.65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>TDF</v>
      </c>
      <c r="Z14" s="634"/>
      <c r="AA14" s="633" t="str">
        <f>IF('Diseño 1"'!AC31="","",'Diseño 1"'!AC31)</f>
        <v>TDF</v>
      </c>
      <c r="AB14" s="634"/>
      <c r="AC14" s="23" t="str">
        <f>IF('Diseño 1"'!AE32=TRUE,0.5,"")</f>
        <v/>
      </c>
      <c r="AD14" s="92">
        <f>IF('Diseño 1"'!AF32="","",'Diseño 1"'!AF32)</f>
        <v>3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3.1816399999999998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>Medio Codo</v>
      </c>
      <c r="J15" s="642"/>
      <c r="K15" s="20">
        <f>IF(I15="","",'Diseño 1"'!I32)</f>
        <v>3</v>
      </c>
      <c r="L15" s="17">
        <f>IF('Diseño 1"'!J32="","",'Diseño 1"'!J32)</f>
        <v>25</v>
      </c>
      <c r="M15" s="17">
        <f>IF('Diseño 1"'!K32="","",'Diseño 1"'!K32)</f>
        <v>25</v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>TDF</v>
      </c>
      <c r="Z15" s="634"/>
      <c r="AA15" s="633" t="str">
        <f>IF('Diseño 1"'!AC32="","",'Diseño 1"'!AC32)</f>
        <v>TDF</v>
      </c>
      <c r="AB15" s="634"/>
      <c r="AE15" s="24">
        <f>'Diseño 1"'!AJ32</f>
        <v>0.5</v>
      </c>
      <c r="AF15" s="93">
        <f>'Diseño 1"'!AK32</f>
        <v>0</v>
      </c>
      <c r="AG15" s="243">
        <f>IF('Diseño 1"'!AN32="","",'Diseño 1"'!AN32)</f>
        <v>6.5804257743381944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/>
      </c>
      <c r="E16" s="642"/>
      <c r="F16" s="19" t="str">
        <f>IF('Diseño 1"'!C33=0,"",'Diseño 1"'!C33)</f>
        <v/>
      </c>
      <c r="G16" s="641" t="str">
        <f>IF('Diseño 1"'!D33="","",'Diseño 1"'!D33)</f>
        <v/>
      </c>
      <c r="H16" s="642"/>
      <c r="I16" s="641" t="str">
        <f>IF('Diseño 1"'!F33="","",'Diseño 1"'!F33)</f>
        <v>Ducto Recto</v>
      </c>
      <c r="J16" s="642"/>
      <c r="K16" s="20">
        <f>IF(I16="","",'Diseño 1"'!I33)</f>
        <v>1</v>
      </c>
      <c r="L16" s="17">
        <f>IF('Diseño 1"'!J33="","",'Diseño 1"'!J33)</f>
        <v>25</v>
      </c>
      <c r="M16" s="17">
        <f>IF('Diseño 1"'!K33="","",'Diseño 1"'!K33)</f>
        <v>25</v>
      </c>
      <c r="N16" s="17">
        <f>'Diseño 1"'!L33</f>
        <v>0</v>
      </c>
      <c r="O16" s="17" t="str">
        <f>IF('Diseño 1"'!M33="","",'Diseño 1"'!M33)</f>
        <v/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0.5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>TDF</v>
      </c>
      <c r="Z16" s="634"/>
      <c r="AA16" s="633" t="str">
        <f>IF('Diseño 1"'!AC33="","",'Diseño 1"'!AC33)</f>
        <v>TDF</v>
      </c>
      <c r="AB16" s="634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2.5618399999999997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>Pleno</v>
      </c>
      <c r="J17" s="642"/>
      <c r="K17" s="20">
        <f>IF(I17="","",'Diseño 1"'!I34)</f>
        <v>1</v>
      </c>
      <c r="L17" s="17">
        <f>IF('Diseño 1"'!J34="","",'Diseño 1"'!J34)</f>
        <v>201</v>
      </c>
      <c r="M17" s="17">
        <f>IF('Diseño 1"'!K34="","",'Diseño 1"'!K34)</f>
        <v>26</v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/>
      </c>
      <c r="Q17" s="642"/>
      <c r="R17" s="17" t="str">
        <f>IF('Diseño 1"'!Q34="","",'Diseño 1"'!Q34)</f>
        <v/>
      </c>
      <c r="S17" s="17">
        <f>IF('Diseño 1"'!R34="","",'Diseño 1"'!R34)</f>
        <v>29</v>
      </c>
      <c r="T17" s="242">
        <f>IF('Diseño 1"'!S34="","",'Diseño 1"'!S34)</f>
        <v>0.28999999999999998</v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>Pestaña 30</v>
      </c>
      <c r="Z17" s="634"/>
      <c r="AA17" s="633" t="str">
        <f>IF('Diseño 1"'!AC34="","",'Diseño 1"'!AC34)</f>
        <v/>
      </c>
      <c r="AB17" s="634"/>
      <c r="AC17" s="23" t="str">
        <f>IF('Diseño 1"'!AE34=TRUE,0.5,"")</f>
        <v/>
      </c>
      <c r="AD17" s="92">
        <f>IF('Diseño 1"'!AF34="","",'Diseño 1"'!AF34)</f>
        <v>1</v>
      </c>
      <c r="AE17" s="24" t="str">
        <f>'Diseño 1"'!AJ34</f>
        <v>1 C / 1R</v>
      </c>
      <c r="AF17" s="93">
        <f>'Diseño 1"'!AK34</f>
        <v>0</v>
      </c>
      <c r="AG17" s="243">
        <f>IF('Diseño 1"'!AN34="","",'Diseño 1"'!AN34)</f>
        <v>0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/>
      </c>
      <c r="J18" s="642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/>
      </c>
      <c r="Q18" s="642"/>
      <c r="R18" s="17" t="str">
        <f>IF('Diseño 1"'!Q35="","",'Diseño 1"'!Q35)</f>
        <v/>
      </c>
      <c r="S18" s="17" t="str">
        <f>IF('Diseño 1"'!R35="","",'Diseño 1"'!R35)</f>
        <v/>
      </c>
      <c r="T18" s="242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/>
      </c>
      <c r="Z18" s="634"/>
      <c r="AA18" s="633" t="str">
        <f>IF('Diseño 1"'!AC35="","",'Diseño 1"'!AC35)</f>
        <v/>
      </c>
      <c r="AB18" s="634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/>
      </c>
      <c r="H19" s="642"/>
      <c r="I19" s="641" t="str">
        <f>IF('Diseño 1"'!F36="","",'Diseño 1"'!F36)</f>
        <v/>
      </c>
      <c r="J19" s="642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/>
      </c>
      <c r="Q19" s="642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/>
      </c>
      <c r="Z19" s="634"/>
      <c r="AA19" s="633" t="str">
        <f>IF('Diseño 1"'!AC36="","",'Diseño 1"'!AC36)</f>
        <v/>
      </c>
      <c r="AB19" s="634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/>
      </c>
      <c r="J20" s="642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/>
      </c>
      <c r="Z20" s="634"/>
      <c r="AA20" s="633" t="str">
        <f>IF('Diseño 1"'!AC37="","",'Diseño 1"'!AC37)</f>
        <v/>
      </c>
      <c r="AB20" s="634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/>
      </c>
      <c r="H21" s="642"/>
      <c r="I21" s="641" t="str">
        <f>IF('Diseño 1"'!F38="","",'Diseño 1"'!F38)</f>
        <v/>
      </c>
      <c r="J21" s="642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/>
      </c>
      <c r="Z21" s="634"/>
      <c r="AA21" s="633" t="str">
        <f>IF('Diseño 1"'!AC38="","",'Diseño 1"'!AC38)</f>
        <v/>
      </c>
      <c r="AB21" s="634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/>
      </c>
      <c r="E22" s="642"/>
      <c r="F22" s="19" t="str">
        <f>IF('Diseño 1"'!C39=0,"",'Diseño 1"'!C39)</f>
        <v/>
      </c>
      <c r="G22" s="641" t="str">
        <f>IF('Diseño 1"'!D39="","",'Diseño 1"'!D39)</f>
        <v/>
      </c>
      <c r="H22" s="642"/>
      <c r="I22" s="641" t="str">
        <f>IF('Diseño 1"'!F39="","",'Diseño 1"'!F39)</f>
        <v/>
      </c>
      <c r="J22" s="642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/>
      </c>
      <c r="Z22" s="634"/>
      <c r="AA22" s="633" t="str">
        <f>IF('Diseño 1"'!AC39="","",'Diseño 1"'!AC39)</f>
        <v/>
      </c>
      <c r="AB22" s="634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/>
      </c>
      <c r="J23" s="642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/>
      </c>
      <c r="Z23" s="634"/>
      <c r="AA23" s="633" t="str">
        <f>IF('Diseño 1"'!AC40="","",'Diseño 1"'!AC40)</f>
        <v/>
      </c>
      <c r="AB23" s="634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/>
      </c>
      <c r="J24" s="642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/>
      </c>
      <c r="Z24" s="634"/>
      <c r="AA24" s="633" t="str">
        <f>IF('Diseño 1"'!AC41="","",'Diseño 1"'!AC41)</f>
        <v/>
      </c>
      <c r="AB24" s="634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/>
      </c>
      <c r="J25" s="642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/>
      </c>
      <c r="Z25" s="634"/>
      <c r="AA25" s="633" t="str">
        <f>IF('Diseño 1"'!AC42="","",'Diseño 1"'!AC42)</f>
        <v/>
      </c>
      <c r="AB25" s="634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/>
      </c>
      <c r="H26" s="642"/>
      <c r="I26" s="641" t="str">
        <f>IF('Diseño 1"'!F43="","",'Diseño 1"'!F43)</f>
        <v/>
      </c>
      <c r="J26" s="642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/>
      </c>
      <c r="Q26" s="642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/>
      </c>
      <c r="Z26" s="634"/>
      <c r="AA26" s="633" t="str">
        <f>IF('Diseño 1"'!AC43="","",'Diseño 1"'!AC43)</f>
        <v/>
      </c>
      <c r="AB26" s="634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/>
      </c>
      <c r="J27" s="642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/>
      </c>
      <c r="Q27" s="642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/>
      </c>
      <c r="Z27" s="634"/>
      <c r="AA27" s="633" t="str">
        <f>IF('Diseño 1"'!AC44="","",'Diseño 1"'!AC44)</f>
        <v/>
      </c>
      <c r="AB27" s="634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/>
      </c>
      <c r="J28" s="642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/>
      </c>
      <c r="Z28" s="634"/>
      <c r="AA28" s="633" t="str">
        <f>IF('Diseño 1"'!AC45="","",'Diseño 1"'!AC45)</f>
        <v/>
      </c>
      <c r="AB28" s="634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/>
      </c>
      <c r="J29" s="642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/>
      </c>
      <c r="Z29" s="634"/>
      <c r="AA29" s="633" t="str">
        <f>IF('Diseño 1"'!AC46="","",'Diseño 1"'!AC46)</f>
        <v/>
      </c>
      <c r="AB29" s="634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/>
      </c>
      <c r="J30" s="642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/>
      </c>
      <c r="Z30" s="634"/>
      <c r="AA30" s="633" t="str">
        <f>IF('Diseño 1"'!AC47="","",'Diseño 1"'!AC47)</f>
        <v/>
      </c>
      <c r="AB30" s="634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/>
      </c>
      <c r="J31" s="648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/>
      </c>
      <c r="Z31" s="632"/>
      <c r="AA31" s="631" t="str">
        <f>IF('Diseño 1"'!AC48="","",'Diseño 1"'!AC48)</f>
        <v/>
      </c>
      <c r="AB31" s="632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20" t="s">
        <v>5</v>
      </c>
      <c r="I5" s="594"/>
      <c r="J5" s="621"/>
      <c r="K5" s="231">
        <v>46009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20" t="s">
        <v>239</v>
      </c>
      <c r="I7" s="594"/>
      <c r="J7" s="593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46009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16.666021032450924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16.666021032450924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2026-05-12T18:21:24Z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