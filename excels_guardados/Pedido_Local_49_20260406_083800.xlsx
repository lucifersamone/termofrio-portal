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6" documentId="13_ncr:1_{EA6CC9C0-0AE7-4BAD-93E2-C39E90E2CC23}" xr6:coauthVersionLast="47" xr6:coauthVersionMax="47" xr10:uidLastSave="{18F9B292-79C5-479C-A2A4-5053D63E12B6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<sst xmlns="http://schemas.openxmlformats.org/spreadsheetml/2006/main" count="1779" uniqueCount="246">
  <si>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</si>
  <si>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</si>
  <si>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</si>
  <si>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</si>
  <si>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</si>
  <si>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</si>
  <si>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</si>
  <si>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</si>
  <si>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</si>
  <si>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</si>
  <si>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</si>
  <si>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</si>
  <si>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</si>
  <si>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</si>
  <si>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</si>
  <si>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</si>
  <si>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</si>
  <si>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</si>
  <si>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</si>
  <si>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</si>
  <si>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</si>
  <si>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</si>
  <si>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</si>
  <si>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</si>
  <si>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</si>
  <si>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</si>
  <si>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</si>
  <si>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</si>
  <si>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</si>
  <si>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</si>
  <si>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</si>
  <si>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</si>
  <si>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</si>
  <si>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</si>
  <si>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</si>
  <si>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</si>
  <si>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</si>
  <si>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</si>
  <si>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</si>
  <si>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</si>
  <si>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</si>
  <si>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</si>
  <si>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</si>
  <si>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</si>
  <si>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</si>
  <si>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</si>
  <si>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</si>
  <si>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</si>
  <si>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</si>
  <si>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</si>
  <si>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</si>
  <si>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</si>
  <si>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</si>
  <si>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</si>
  <si>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</si>
  <si>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</si>
  <si>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</si>
  <si>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</si>
  <si>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</si>
  <si>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</si>
  <si>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</si>
  <si>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</si>
  <si>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</si>
  <si>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</si>
  <si>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</si>
  <si>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</si>
  <si>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</si>
  <si>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</si>
  <si>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</si>
  <si>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</si>
  <si>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</si>
  <si>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</si>
  <si>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</si>
  <si>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</si>
  <si>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</si>
  <si>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</si>
  <si>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</si>
  <si>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</si>
  <si>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</si>
  <si>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</si>
  <si>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</si>
  <si>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</si>
  <si>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</si>
  <si>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</si>
  <si>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</si>
  <si>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</si>
  <si>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</si>
  <si>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</si>
  <si>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</si>
  <si>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</si>
  <si>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</si>
  <si>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</si>
  <si>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</si>
  <si>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</si>
  <si>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</si>
  <si>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</si>
  <si>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</si>
  <si>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</si>
  <si>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</si>
  <si>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</si>
  <si>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</si>
  <si>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</si>
  <si>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</si>
  <si>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</si>
  <si>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</si>
  <si>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</si>
  <si>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</si>
  <si>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</si>
  <si>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</si>
  <si>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</si>
  <si>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</si>
  <si>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</si>
  <si>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</si>
  <si>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</si>
  <si>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</si>
  <si>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</si>
  <si>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</si>
  <si>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</si>
  <si>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</si>
  <si>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</si>
  <si>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</si>
  <si>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</si>
  <si>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</si>
  <si>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</si>
  <si>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</si>
  <si>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</si>
  <si>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</si>
  <si>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</si>
  <si>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</si>
  <si>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</si>
  <si>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</si>
  <si>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</si>
  <si>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</si>
  <si>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</si>
  <si>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</si>
  <si>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</si>
  <si>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</si>
  <si>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</si>
  <si>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</si>
  <si>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</si>
  <si>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</si>
  <si>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</si>
  <si>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</si>
  <si>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</si>
  <si>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</si>
  <si>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</si>
  <si>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</si>
  <si>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</si>
  <si>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</si>
  <si>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</si>
  <si>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</si>
  <si>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</si>
  <si>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</si>
  <si>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</si>
  <si>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</si>
  <si>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</si>
  <si>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</si>
  <si>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</si>
  <si>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</si>
  <si>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</si>
  <si>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</si>
  <si>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</si>
  <si>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</si>
  <si>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</si>
  <si>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</si>
  <si>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</si>
  <si>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</si>
  <si>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</si>
  <si>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</si>
  <si>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</si>
  <si>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</si>
  <si>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</si>
  <si>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</si>
  <si>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</si>
  <si>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</si>
  <si>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</si>
  <si>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</si>
  <si>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</si>
  <si>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</si>
  <si>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</si>
  <si>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</si>
  <si>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</si>
  <si>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</si>
  <si>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</si>
  <si>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</si>
  <si>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</si>
  <si>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</si>
  <si>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</si>
  <si>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</si>
  <si>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</si>
  <si>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</si>
  <si>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</si>
  <si>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</si>
  <si>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</si>
  <si>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</si>
  <si>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</si>
  <si>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</si>
  <si>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</si>
  <si>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</si>
  <si>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</si>
  <si>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</si>
  <si>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</si>
  <si>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</si>
  <si>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</si>
  <si>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</si>
  <si>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</si>
  <si>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</si>
  <si>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</si>
  <si>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</si>
  <si>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</si>
  <si>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</si>
  <si>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</si>
  <si>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</si>
  <si>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</si>
  <si>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</si>
  <si>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</si>
  <si>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</si>
  <si>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</si>
  <si>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</si>
  <si>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</si>
  <si>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</si>
  <si>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</si>
  <si>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</si>
  <si>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</si>
  <si>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</si>
  <si>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</si>
  <si>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</si>
  <si>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</si>
  <si>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</si>
  <si>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</si>
  <si>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</si>
  <si>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</si>
  <si>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</si>
  <si>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</si>
  <si>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</si>
  <si>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</si>
  <si>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</si>
  <si>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</si>
  <si>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</si>
  <si>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</si>
  <si>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</si>
  <si>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</si>
  <si>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</si>
  <si>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</si>
  <si>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2.4</t>
  </si>
  <si>
    <t>Piso 2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</si>
</sst>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19" zoomScaleNormal="100" workbookViewId="0">
      <selection activeCell="K8" sqref="K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46113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49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12.724968884995725</v>
      </c>
      <c r="P12" s="296">
        <f t="shared" si="0"/>
        <v>50.899875539982901</v>
      </c>
      <c r="Q12" s="597" t="s">
        <v>23</v>
      </c>
      <c r="R12" s="598"/>
      <c r="S12" s="284">
        <f>ROUNDUP(AI49/6,0)</f>
        <v>12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24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5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36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12.724968884995725</v>
      </c>
      <c r="P17" s="306">
        <f t="shared" si="1"/>
        <v>50.899875539982901</v>
      </c>
      <c r="Q17" s="597" t="s">
        <v>40</v>
      </c>
      <c r="R17" s="598"/>
      <c r="S17" s="284">
        <f>ROUNDUP(AI49/6,0)</f>
        <v>12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48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24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136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9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2" t="s">
        <v>245</v>
      </c>
      <c r="E29" s="608"/>
      <c r="F29" s="607" t="s">
        <v>105</v>
      </c>
      <c r="G29" s="594"/>
      <c r="H29" s="593"/>
      <c r="I29" s="192">
        <v>1</v>
      </c>
      <c r="J29" s="192">
        <v>35</v>
      </c>
      <c r="K29" s="192">
        <v>25</v>
      </c>
      <c r="L29" s="192"/>
      <c r="M29" s="192"/>
      <c r="N29" s="592"/>
      <c r="O29" s="594"/>
      <c r="P29" s="593"/>
      <c r="Q29" s="192"/>
      <c r="R29" s="192"/>
      <c r="S29" s="192">
        <v>0.2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137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35</v>
      </c>
      <c r="K30" s="192">
        <v>25</v>
      </c>
      <c r="L30" s="192"/>
      <c r="M30" s="192"/>
      <c r="N30" s="592"/>
      <c r="O30" s="594"/>
      <c r="P30" s="593"/>
      <c r="Q30" s="192"/>
      <c r="R30" s="192"/>
      <c r="S30" s="192">
        <v>0.45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0.70280999999999993</v>
      </c>
      <c r="AN30" s="290">
        <f t="shared" si="8"/>
        <v>2.8112399999999997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0.70280999999999993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104</v>
      </c>
      <c r="G31" s="594"/>
      <c r="H31" s="593"/>
      <c r="I31" s="192">
        <v>1</v>
      </c>
      <c r="J31" s="192">
        <v>35</v>
      </c>
      <c r="K31" s="192">
        <v>25</v>
      </c>
      <c r="L31" s="192"/>
      <c r="M31" s="192"/>
      <c r="N31" s="592" t="s">
        <v>159</v>
      </c>
      <c r="O31" s="594"/>
      <c r="P31" s="593"/>
      <c r="Q31" s="192">
        <v>30</v>
      </c>
      <c r="R31" s="192">
        <v>30</v>
      </c>
      <c r="S31" s="192">
        <v>0.45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0.75924000000000003</v>
      </c>
      <c r="AN31" s="290">
        <f t="shared" ref="AN31:AN46" si="37">IF(ISERROR(AM31*(IF(AJ31=1,8,IF(AJ31=0.8,6.4,IF(AJ31=0.6,4.8,IF(AJ31=0.5,4)))))),"",AM31*(IF(AJ31=1,8,IF(AJ31=0.8,6.4,IF(AJ31=0.6,4.8,IF(AJ31=0.5,4))))))</f>
        <v>3.0369600000000001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>
        <f t="shared" si="32"/>
        <v>0.75924000000000003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98</v>
      </c>
      <c r="G32" s="594"/>
      <c r="H32" s="593"/>
      <c r="I32" s="192">
        <v>1</v>
      </c>
      <c r="J32" s="192">
        <v>30</v>
      </c>
      <c r="K32" s="192">
        <v>30</v>
      </c>
      <c r="L32" s="192"/>
      <c r="M32" s="192"/>
      <c r="N32" s="592"/>
      <c r="O32" s="594"/>
      <c r="P32" s="593"/>
      <c r="Q32" s="192"/>
      <c r="R32" s="192"/>
      <c r="S32" s="192">
        <v>0.7</v>
      </c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1.0110600000000001</v>
      </c>
      <c r="AN32" s="290">
        <f t="shared" si="37"/>
        <v>4.0442400000000003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1.0110600000000001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30</v>
      </c>
      <c r="K33" s="192">
        <v>30</v>
      </c>
      <c r="L33" s="192"/>
      <c r="M33" s="192"/>
      <c r="N33" s="592"/>
      <c r="O33" s="594"/>
      <c r="P33" s="593"/>
      <c r="Q33" s="192"/>
      <c r="R33" s="192"/>
      <c r="S33" s="192">
        <v>0.27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0.48086999999999996</v>
      </c>
      <c r="AN33" s="290">
        <f t="shared" si="37"/>
        <v>1.9234799999999999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0.48086999999999996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87</v>
      </c>
      <c r="G34" s="594"/>
      <c r="H34" s="593"/>
      <c r="I34" s="192">
        <v>1</v>
      </c>
      <c r="J34" s="192">
        <v>30</v>
      </c>
      <c r="K34" s="192">
        <v>30</v>
      </c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8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0.82309932421118426</v>
      </c>
      <c r="AN34" s="290">
        <f t="shared" si="37"/>
        <v>3.292397296844737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>
        <f t="shared" si="12"/>
        <v>0.82309932421118426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98</v>
      </c>
      <c r="G35" s="594"/>
      <c r="H35" s="593"/>
      <c r="I35" s="192">
        <v>1</v>
      </c>
      <c r="J35" s="192">
        <v>30</v>
      </c>
      <c r="K35" s="192">
        <v>30</v>
      </c>
      <c r="L35" s="192"/>
      <c r="M35" s="192"/>
      <c r="N35" s="592"/>
      <c r="O35" s="594"/>
      <c r="P35" s="593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1.25766</v>
      </c>
      <c r="AN35" s="290">
        <f t="shared" si="37"/>
        <v>5.03064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1.25766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98</v>
      </c>
      <c r="G36" s="594"/>
      <c r="H36" s="593"/>
      <c r="I36" s="192">
        <v>1</v>
      </c>
      <c r="J36" s="192">
        <v>30</v>
      </c>
      <c r="K36" s="192">
        <v>30</v>
      </c>
      <c r="L36" s="192"/>
      <c r="M36" s="192"/>
      <c r="N36" s="592"/>
      <c r="O36" s="594"/>
      <c r="P36" s="593"/>
      <c r="Q36" s="192"/>
      <c r="R36" s="192"/>
      <c r="S36" s="192">
        <v>0.68</v>
      </c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0.98640000000000005</v>
      </c>
      <c r="AN36" s="290">
        <f t="shared" si="37"/>
        <v>3.9456000000000002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0.98640000000000005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33</v>
      </c>
      <c r="G37" s="594"/>
      <c r="H37" s="593"/>
      <c r="I37" s="192">
        <v>1</v>
      </c>
      <c r="J37" s="192">
        <v>30</v>
      </c>
      <c r="K37" s="192">
        <v>30</v>
      </c>
      <c r="L37" s="192"/>
      <c r="M37" s="192">
        <v>32</v>
      </c>
      <c r="N37" s="592"/>
      <c r="O37" s="594"/>
      <c r="P37" s="593"/>
      <c r="Q37" s="192"/>
      <c r="R37" s="192"/>
      <c r="S37" s="192">
        <v>0.56999999999999995</v>
      </c>
      <c r="T37" s="192"/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136</v>
      </c>
      <c r="AD37" s="593"/>
      <c r="AE37" s="197"/>
      <c r="AF37" s="284">
        <f t="shared" si="2"/>
        <v>1</v>
      </c>
      <c r="AG37" s="285">
        <f t="shared" si="3"/>
        <v>0</v>
      </c>
      <c r="AH37" s="285">
        <f t="shared" si="4"/>
        <v>8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0.85076999999999992</v>
      </c>
      <c r="AN37" s="290">
        <f t="shared" si="37"/>
        <v>3.4030799999999997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>
        <f t="shared" si="26"/>
        <v>0.85076999999999992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98</v>
      </c>
      <c r="G38" s="594"/>
      <c r="H38" s="593"/>
      <c r="I38" s="192">
        <v>1</v>
      </c>
      <c r="J38" s="192">
        <v>30</v>
      </c>
      <c r="K38" s="192">
        <v>30</v>
      </c>
      <c r="L38" s="192"/>
      <c r="M38" s="192"/>
      <c r="N38" s="592"/>
      <c r="O38" s="594"/>
      <c r="P38" s="593"/>
      <c r="Q38" s="192"/>
      <c r="R38" s="192"/>
      <c r="S38" s="192">
        <v>0.61</v>
      </c>
      <c r="T38" s="192"/>
      <c r="U38" s="192"/>
      <c r="V38" s="193"/>
      <c r="W38" s="194"/>
      <c r="X38" s="192"/>
      <c r="Y38" s="192"/>
      <c r="Z38" s="195"/>
      <c r="AA38" s="592" t="s">
        <v>136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0</v>
      </c>
      <c r="AI38" s="286">
        <f t="shared" si="5"/>
        <v>8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0.90008999999999995</v>
      </c>
      <c r="AN38" s="290">
        <f t="shared" si="37"/>
        <v>3.6003599999999998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>
        <f t="shared" si="23"/>
        <v>0.90008999999999995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87</v>
      </c>
      <c r="G39" s="594"/>
      <c r="H39" s="593"/>
      <c r="I39" s="192">
        <v>1</v>
      </c>
      <c r="J39" s="192">
        <v>30</v>
      </c>
      <c r="K39" s="192">
        <v>30</v>
      </c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1</v>
      </c>
      <c r="AG39" s="285">
        <f t="shared" si="3"/>
        <v>0</v>
      </c>
      <c r="AH39" s="285">
        <f t="shared" si="4"/>
        <v>8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0.82309932421118426</v>
      </c>
      <c r="AN39" s="290">
        <f t="shared" si="37"/>
        <v>3.292397296844737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>
        <f t="shared" si="12"/>
        <v>0.82309932421118426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98</v>
      </c>
      <c r="G40" s="594"/>
      <c r="H40" s="593"/>
      <c r="I40" s="192">
        <v>1</v>
      </c>
      <c r="J40" s="192">
        <v>30</v>
      </c>
      <c r="K40" s="192">
        <v>30</v>
      </c>
      <c r="L40" s="192"/>
      <c r="M40" s="192"/>
      <c r="N40" s="592"/>
      <c r="O40" s="594"/>
      <c r="P40" s="593"/>
      <c r="Q40" s="192"/>
      <c r="R40" s="192"/>
      <c r="S40" s="192">
        <v>0.1</v>
      </c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0</v>
      </c>
      <c r="AI40" s="286">
        <f t="shared" si="5"/>
        <v>8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0.27126</v>
      </c>
      <c r="AN40" s="290">
        <f t="shared" si="37"/>
        <v>1.08504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>
        <f t="shared" si="23"/>
        <v>0.27126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87</v>
      </c>
      <c r="G41" s="594"/>
      <c r="H41" s="593"/>
      <c r="I41" s="192">
        <v>1</v>
      </c>
      <c r="J41" s="192">
        <v>30</v>
      </c>
      <c r="K41" s="192">
        <v>30</v>
      </c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8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0.82309932421118426</v>
      </c>
      <c r="AN41" s="290">
        <f t="shared" si="37"/>
        <v>3.292397296844737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>
        <f t="shared" si="12"/>
        <v>0.82309932421118426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103</v>
      </c>
      <c r="G42" s="594"/>
      <c r="H42" s="593"/>
      <c r="I42" s="192">
        <v>1</v>
      </c>
      <c r="J42" s="192">
        <v>30</v>
      </c>
      <c r="K42" s="192">
        <v>30</v>
      </c>
      <c r="L42" s="192"/>
      <c r="M42" s="192"/>
      <c r="N42" s="592"/>
      <c r="O42" s="594"/>
      <c r="P42" s="593"/>
      <c r="Q42" s="192"/>
      <c r="R42" s="192"/>
      <c r="S42" s="192">
        <v>0.5</v>
      </c>
      <c r="T42" s="192">
        <v>20</v>
      </c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133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4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0.55856852533367063</v>
      </c>
      <c r="AN42" s="290">
        <f t="shared" si="37"/>
        <v>2.2342741013346825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>
        <f t="shared" si="31"/>
        <v>0.55856852533367063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 t="s">
        <v>108</v>
      </c>
      <c r="G43" s="594"/>
      <c r="H43" s="593"/>
      <c r="I43" s="192">
        <v>1</v>
      </c>
      <c r="J43" s="192">
        <v>25</v>
      </c>
      <c r="K43" s="192">
        <v>25</v>
      </c>
      <c r="L43" s="192"/>
      <c r="M43" s="192"/>
      <c r="N43" s="592"/>
      <c r="O43" s="594"/>
      <c r="P43" s="593"/>
      <c r="Q43" s="192"/>
      <c r="R43" s="192"/>
      <c r="S43" s="192">
        <v>0.2</v>
      </c>
      <c r="T43" s="192"/>
      <c r="U43" s="192"/>
      <c r="V43" s="193"/>
      <c r="W43" s="194"/>
      <c r="X43" s="192"/>
      <c r="Y43" s="192"/>
      <c r="Z43" s="195"/>
      <c r="AA43" s="592" t="s">
        <v>151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4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98</v>
      </c>
      <c r="G44" s="594"/>
      <c r="H44" s="593"/>
      <c r="I44" s="192">
        <v>1</v>
      </c>
      <c r="J44" s="192">
        <v>25</v>
      </c>
      <c r="K44" s="192">
        <v>25</v>
      </c>
      <c r="L44" s="192"/>
      <c r="M44" s="192"/>
      <c r="N44" s="592"/>
      <c r="O44" s="594"/>
      <c r="P44" s="593"/>
      <c r="Q44" s="192"/>
      <c r="R44" s="192"/>
      <c r="S44" s="192">
        <v>0.47</v>
      </c>
      <c r="T44" s="192"/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136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0</v>
      </c>
      <c r="AI44" s="286">
        <f t="shared" si="5"/>
        <v>8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0.60946999999999996</v>
      </c>
      <c r="AN44" s="290">
        <f t="shared" si="37"/>
        <v>2.4378799999999998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>
        <f t="shared" si="23"/>
        <v>0.60946999999999996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 t="s">
        <v>87</v>
      </c>
      <c r="G45" s="594"/>
      <c r="H45" s="593"/>
      <c r="I45" s="192">
        <v>1</v>
      </c>
      <c r="J45" s="192">
        <v>25</v>
      </c>
      <c r="K45" s="192">
        <v>25</v>
      </c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 t="s">
        <v>136</v>
      </c>
      <c r="AB45" s="593"/>
      <c r="AC45" s="592" t="s">
        <v>136</v>
      </c>
      <c r="AD45" s="593"/>
      <c r="AE45" s="197"/>
      <c r="AF45" s="284">
        <f t="shared" si="2"/>
        <v>1</v>
      </c>
      <c r="AG45" s="285">
        <f t="shared" si="3"/>
        <v>0</v>
      </c>
      <c r="AH45" s="285">
        <f t="shared" si="4"/>
        <v>8</v>
      </c>
      <c r="AI45" s="286">
        <f t="shared" si="5"/>
        <v>0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0.54836881452818287</v>
      </c>
      <c r="AN45" s="290">
        <f t="shared" si="37"/>
        <v>2.1934752581127315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>
        <f t="shared" si="12"/>
        <v>0.54836881452818287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 t="s">
        <v>103</v>
      </c>
      <c r="G46" s="594"/>
      <c r="H46" s="593"/>
      <c r="I46" s="192">
        <v>1</v>
      </c>
      <c r="J46" s="192">
        <v>25</v>
      </c>
      <c r="K46" s="192">
        <v>25</v>
      </c>
      <c r="L46" s="192"/>
      <c r="M46" s="192"/>
      <c r="N46" s="592"/>
      <c r="O46" s="594"/>
      <c r="P46" s="593"/>
      <c r="Q46" s="192"/>
      <c r="R46" s="192"/>
      <c r="S46" s="192">
        <v>0.36</v>
      </c>
      <c r="T46" s="192">
        <v>25</v>
      </c>
      <c r="U46" s="192"/>
      <c r="V46" s="193"/>
      <c r="W46" s="194"/>
      <c r="X46" s="192"/>
      <c r="Y46" s="192"/>
      <c r="Z46" s="195"/>
      <c r="AA46" s="592" t="s">
        <v>136</v>
      </c>
      <c r="AB46" s="593"/>
      <c r="AC46" s="592" t="s">
        <v>133</v>
      </c>
      <c r="AD46" s="593"/>
      <c r="AE46" s="197"/>
      <c r="AF46" s="284">
        <f t="shared" si="2"/>
        <v>1</v>
      </c>
      <c r="AG46" s="285">
        <f t="shared" si="3"/>
        <v>0</v>
      </c>
      <c r="AH46" s="285">
        <f t="shared" si="4"/>
        <v>4</v>
      </c>
      <c r="AI46" s="286">
        <f t="shared" si="5"/>
        <v>0</v>
      </c>
      <c r="AJ46" s="287">
        <f t="shared" si="36"/>
        <v>0.5</v>
      </c>
      <c r="AK46" s="288"/>
      <c r="AL46" s="289">
        <f t="shared" si="6"/>
        <v>0.5</v>
      </c>
      <c r="AM46" s="290">
        <f t="shared" si="7"/>
        <v>0.40954357250031609</v>
      </c>
      <c r="AN46" s="290">
        <f t="shared" si="37"/>
        <v>1.6381742900012644</v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>
        <f t="shared" si="31"/>
        <v>0.40954357250031609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 t="s">
        <v>102</v>
      </c>
      <c r="G47" s="594"/>
      <c r="H47" s="593"/>
      <c r="I47" s="192">
        <v>1</v>
      </c>
      <c r="J47" s="192">
        <v>25</v>
      </c>
      <c r="K47" s="192">
        <v>25</v>
      </c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>
        <f t="shared" si="2"/>
        <v>1</v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>
        <f t="shared" si="29"/>
        <v>0.5</v>
      </c>
      <c r="AK47" s="288"/>
      <c r="AL47" s="289">
        <f t="shared" si="6"/>
        <v>0.5</v>
      </c>
      <c r="AM47" s="290">
        <f t="shared" si="7"/>
        <v>6.25E-2</v>
      </c>
      <c r="AN47" s="290">
        <f t="shared" si="8"/>
        <v>0.25</v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>
        <f t="shared" si="38"/>
        <v>6.25E-2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 t="s">
        <v>98</v>
      </c>
      <c r="G48" s="594"/>
      <c r="H48" s="593"/>
      <c r="I48" s="192">
        <v>1</v>
      </c>
      <c r="J48" s="192">
        <v>25</v>
      </c>
      <c r="K48" s="192">
        <v>25</v>
      </c>
      <c r="L48" s="192"/>
      <c r="M48" s="192"/>
      <c r="N48" s="592"/>
      <c r="O48" s="594"/>
      <c r="P48" s="593"/>
      <c r="Q48" s="192"/>
      <c r="R48" s="192"/>
      <c r="S48" s="192">
        <v>0.7</v>
      </c>
      <c r="T48" s="192"/>
      <c r="U48" s="192"/>
      <c r="V48" s="193"/>
      <c r="W48" s="194"/>
      <c r="X48" s="192"/>
      <c r="Y48" s="192"/>
      <c r="Z48" s="195"/>
      <c r="AA48" s="592" t="s">
        <v>136</v>
      </c>
      <c r="AB48" s="593"/>
      <c r="AC48" s="592" t="s">
        <v>136</v>
      </c>
      <c r="AD48" s="593"/>
      <c r="AE48" s="197"/>
      <c r="AF48" s="284">
        <f t="shared" si="2"/>
        <v>1</v>
      </c>
      <c r="AG48" s="285">
        <f t="shared" si="3"/>
        <v>0</v>
      </c>
      <c r="AH48" s="285">
        <f t="shared" si="4"/>
        <v>0</v>
      </c>
      <c r="AI48" s="286">
        <f t="shared" si="5"/>
        <v>8</v>
      </c>
      <c r="AJ48" s="291">
        <f t="shared" si="29"/>
        <v>0.5</v>
      </c>
      <c r="AK48" s="292"/>
      <c r="AL48" s="289">
        <f t="shared" si="6"/>
        <v>0.5</v>
      </c>
      <c r="AM48" s="290">
        <f t="shared" si="7"/>
        <v>0.84706000000000004</v>
      </c>
      <c r="AN48" s="290">
        <f t="shared" si="8"/>
        <v>3.3882400000000001</v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>
        <f t="shared" si="23"/>
        <v>0.84706000000000004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20</v>
      </c>
      <c r="AG49" s="203"/>
      <c r="AH49" s="204">
        <f>SUM(AH29:AH48)</f>
        <v>64</v>
      </c>
      <c r="AI49" s="204">
        <f>SUM(AI29:AI48)</f>
        <v>72</v>
      </c>
      <c r="AJ49" s="205"/>
      <c r="AK49" s="205"/>
      <c r="AL49" s="206"/>
      <c r="AM49" s="207">
        <f>SUM(AM29:AM48)</f>
        <v>12.724968884995725</v>
      </c>
      <c r="AN49" s="208">
        <f>SUM(AN29:AN48)</f>
        <v>50.899875539982901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46113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46113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49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46120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50.899875539982901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50.899875539982901</v>
      </c>
      <c r="AH8" s="538"/>
      <c r="AI8" s="533">
        <f>+'Diseño 1"'!AM49</f>
        <v>12.724968884995725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Fan Coil</v>
      </c>
      <c r="E12" s="650"/>
      <c r="F12" s="247" t="str">
        <f>IF('Diseño 1"'!C29=0,"",'Diseño 1"'!C29)</f>
        <v>2.4</v>
      </c>
      <c r="G12" s="670" t="str">
        <f>IF('Diseño 1"'!D29="","",'Diseño 1"'!D29)</f>
        <v>Piso 2 Retorno</v>
      </c>
      <c r="H12" s="650"/>
      <c r="I12" s="670" t="str">
        <f>IF('Diseño 1"'!F29="","",'Diseño 1"'!F29)</f>
        <v>Unión c/ Lona</v>
      </c>
      <c r="J12" s="650"/>
      <c r="K12" s="248">
        <f>IF(I12="","",'Diseño 1"'!I29)</f>
        <v>1</v>
      </c>
      <c r="L12" s="242">
        <f>IF('Diseño 1"'!J29="","",'Diseño 1"'!J29)</f>
        <v>35</v>
      </c>
      <c r="M12" s="242">
        <f>IF('Diseño 1"'!K29="","",'Diseño 1"'!K29)</f>
        <v>25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Liso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35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0.45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2.8112399999999997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Transformación</v>
      </c>
      <c r="J14" s="642"/>
      <c r="K14" s="20">
        <f>IF(I14="","",'Diseño 1"'!I31)</f>
        <v>1</v>
      </c>
      <c r="L14" s="17">
        <f>IF('Diseño 1"'!J31="","",'Diseño 1"'!J31)</f>
        <v>35</v>
      </c>
      <c r="M14" s="17">
        <f>IF('Diseño 1"'!K31="","",'Diseño 1"'!K31)</f>
        <v>25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>Simétrica - Sup. Pareja</v>
      </c>
      <c r="Q14" s="642"/>
      <c r="R14" s="17">
        <f>IF('Diseño 1"'!Q31="","",'Diseño 1"'!Q31)</f>
        <v>30</v>
      </c>
      <c r="S14" s="17">
        <f>IF('Diseño 1"'!R31="","",'Diseño 1"'!R31)</f>
        <v>30</v>
      </c>
      <c r="T14" s="242">
        <f>IF('Diseño 1"'!S31="","",'Diseño 1"'!S31)</f>
        <v>0.45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3.0369600000000001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Ducto Recto</v>
      </c>
      <c r="J15" s="642"/>
      <c r="K15" s="20">
        <f>IF(I15="","",'Diseño 1"'!I32)</f>
        <v>1</v>
      </c>
      <c r="L15" s="17">
        <f>IF('Diseño 1"'!J32="","",'Diseño 1"'!J32)</f>
        <v>30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0.7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4.0442400000000003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0.27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1.9234799999999999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Codo</v>
      </c>
      <c r="J17" s="642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3.292397296844737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Ducto Recto</v>
      </c>
      <c r="J18" s="642"/>
      <c r="K18" s="20">
        <f>IF(I18="","",'Diseño 1"'!I35)</f>
        <v>1</v>
      </c>
      <c r="L18" s="17">
        <f>IF('Diseño 1"'!J35="","",'Diseño 1"'!J35)</f>
        <v>30</v>
      </c>
      <c r="M18" s="17">
        <f>IF('Diseño 1"'!K35="","",'Diseño 1"'!K35)</f>
        <v>30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5.03064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Ducto Recto</v>
      </c>
      <c r="J19" s="642"/>
      <c r="K19" s="20">
        <f>IF(I19="","",'Diseño 1"'!I36)</f>
        <v>1</v>
      </c>
      <c r="L19" s="17">
        <f>IF('Diseño 1"'!J36="","",'Diseño 1"'!J36)</f>
        <v>30</v>
      </c>
      <c r="M19" s="17">
        <f>IF('Diseño 1"'!K36="","",'Diseño 1"'!K36)</f>
        <v>30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0.68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3.9456000000000002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S</v>
      </c>
      <c r="J20" s="642"/>
      <c r="K20" s="20">
        <f>IF(I20="","",'Diseño 1"'!I37)</f>
        <v>1</v>
      </c>
      <c r="L20" s="17">
        <f>IF('Diseño 1"'!J37="","",'Diseño 1"'!J37)</f>
        <v>30</v>
      </c>
      <c r="M20" s="17">
        <f>IF('Diseño 1"'!K37="","",'Diseño 1"'!K37)</f>
        <v>30</v>
      </c>
      <c r="N20" s="17">
        <f>'Diseño 1"'!L37</f>
        <v>0</v>
      </c>
      <c r="O20" s="17">
        <f>IF('Diseño 1"'!M37="","",'Diseño 1"'!M37)</f>
        <v>32</v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0.56999999999999995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TDF</v>
      </c>
      <c r="AB20" s="634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3.4030799999999997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Ducto Recto</v>
      </c>
      <c r="J21" s="642"/>
      <c r="K21" s="20">
        <f>IF(I21="","",'Diseño 1"'!I38)</f>
        <v>1</v>
      </c>
      <c r="L21" s="17">
        <f>IF('Diseño 1"'!J38="","",'Diseño 1"'!J38)</f>
        <v>30</v>
      </c>
      <c r="M21" s="17">
        <f>IF('Diseño 1"'!K38="","",'Diseño 1"'!K38)</f>
        <v>30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0.61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TDF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3.6003599999999998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Codo</v>
      </c>
      <c r="J22" s="642"/>
      <c r="K22" s="20">
        <f>IF(I22="","",'Diseño 1"'!I39)</f>
        <v>1</v>
      </c>
      <c r="L22" s="17">
        <f>IF('Diseño 1"'!J39="","",'Diseño 1"'!J39)</f>
        <v>30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3.292397296844737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Ducto Recto</v>
      </c>
      <c r="J23" s="642"/>
      <c r="K23" s="20">
        <f>IF(I23="","",'Diseño 1"'!I40)</f>
        <v>1</v>
      </c>
      <c r="L23" s="17">
        <f>IF('Diseño 1"'!J40="","",'Diseño 1"'!J40)</f>
        <v>30</v>
      </c>
      <c r="M23" s="17">
        <f>IF('Diseño 1"'!K40="","",'Diseño 1"'!K40)</f>
        <v>30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>
        <f>IF('Diseño 1"'!S40="","",'Diseño 1"'!S40)</f>
        <v>0.1</v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1.08504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Codo</v>
      </c>
      <c r="J24" s="642"/>
      <c r="K24" s="20">
        <f>IF(I24="","",'Diseño 1"'!I41)</f>
        <v>1</v>
      </c>
      <c r="L24" s="17">
        <f>IF('Diseño 1"'!J41="","",'Diseño 1"'!J41)</f>
        <v>30</v>
      </c>
      <c r="M24" s="17">
        <f>IF('Diseño 1"'!K41="","",'Diseño 1"'!K41)</f>
        <v>30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3.292397296844737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Transf. Red - Cuad</v>
      </c>
      <c r="J25" s="642"/>
      <c r="K25" s="20">
        <f>IF(I25="","",'Diseño 1"'!I42)</f>
        <v>1</v>
      </c>
      <c r="L25" s="17">
        <f>IF('Diseño 1"'!J42="","",'Diseño 1"'!J42)</f>
        <v>30</v>
      </c>
      <c r="M25" s="17">
        <f>IF('Diseño 1"'!K42="","",'Diseño 1"'!K42)</f>
        <v>30</v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0.5</v>
      </c>
      <c r="U25" s="17">
        <f>IF('Diseño 1"'!T42="","",'Diseño 1"'!T42)</f>
        <v>20</v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Copla Rodón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2.2342741013346825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>Zapato s/ Templador</v>
      </c>
      <c r="J26" s="642"/>
      <c r="K26" s="20">
        <f>IF(I26="","",'Diseño 1"'!I43)</f>
        <v>1</v>
      </c>
      <c r="L26" s="17">
        <f>IF('Diseño 1"'!J43="","",'Diseño 1"'!J43)</f>
        <v>25</v>
      </c>
      <c r="M26" s="17">
        <f>IF('Diseño 1"'!K43="","",'Diseño 1"'!K43)</f>
        <v>25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>
        <f>IF('Diseño 1"'!S43="","",'Diseño 1"'!S43)</f>
        <v>0.2</v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Triple 50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Ducto Recto</v>
      </c>
      <c r="J27" s="642"/>
      <c r="K27" s="20">
        <f>IF(I27="","",'Diseño 1"'!I44)</f>
        <v>1</v>
      </c>
      <c r="L27" s="17">
        <f>IF('Diseño 1"'!J44="","",'Diseño 1"'!J44)</f>
        <v>25</v>
      </c>
      <c r="M27" s="17">
        <f>IF('Diseño 1"'!K44="","",'Diseño 1"'!K44)</f>
        <v>25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>
        <f>IF('Diseño 1"'!S44="","",'Diseño 1"'!S44)</f>
        <v>0.47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TDF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2.4378799999999998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>Codo</v>
      </c>
      <c r="J28" s="642"/>
      <c r="K28" s="20">
        <f>IF(I28="","",'Diseño 1"'!I45)</f>
        <v>1</v>
      </c>
      <c r="L28" s="17">
        <f>IF('Diseño 1"'!J45="","",'Diseño 1"'!J45)</f>
        <v>25</v>
      </c>
      <c r="M28" s="17">
        <f>IF('Diseño 1"'!K45="","",'Diseño 1"'!K45)</f>
        <v>25</v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>TDF</v>
      </c>
      <c r="Z28" s="634"/>
      <c r="AA28" s="633" t="str">
        <f>IF('Diseño 1"'!AC45="","",'Diseño 1"'!AC45)</f>
        <v>TDF</v>
      </c>
      <c r="AB28" s="634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2.1934752581127315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>Transf. Red - Cuad</v>
      </c>
      <c r="J29" s="642"/>
      <c r="K29" s="20">
        <f>IF(I29="","",'Diseño 1"'!I46)</f>
        <v>1</v>
      </c>
      <c r="L29" s="17">
        <f>IF('Diseño 1"'!J46="","",'Diseño 1"'!J46)</f>
        <v>25</v>
      </c>
      <c r="M29" s="17">
        <f>IF('Diseño 1"'!K46="","",'Diseño 1"'!K46)</f>
        <v>25</v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>
        <f>IF('Diseño 1"'!S46="","",'Diseño 1"'!S46)</f>
        <v>0.36</v>
      </c>
      <c r="U29" s="17">
        <f>IF('Diseño 1"'!T46="","",'Diseño 1"'!T46)</f>
        <v>25</v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>TDF</v>
      </c>
      <c r="Z29" s="634"/>
      <c r="AA29" s="633" t="str">
        <f>IF('Diseño 1"'!AC46="","",'Diseño 1"'!AC46)</f>
        <v>Copla Rodón</v>
      </c>
      <c r="AB29" s="634"/>
      <c r="AC29" s="115"/>
      <c r="AD29" s="116"/>
      <c r="AE29" s="24">
        <f>'Diseño 1"'!AJ46</f>
        <v>0.5</v>
      </c>
      <c r="AF29" s="93">
        <f>'Diseño 1"'!AK46</f>
        <v>0</v>
      </c>
      <c r="AG29" s="243">
        <f>IF('Diseño 1"'!AN46="","",'Diseño 1"'!AN46)</f>
        <v>1.6381742900012644</v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>Tapa</v>
      </c>
      <c r="J30" s="642"/>
      <c r="K30" s="20">
        <f>IF(I30="","",'Diseño 1"'!I47)</f>
        <v>1</v>
      </c>
      <c r="L30" s="17">
        <f>IF('Diseño 1"'!J47="","",'Diseño 1"'!J47)</f>
        <v>25</v>
      </c>
      <c r="M30" s="17">
        <f>IF('Diseño 1"'!K47="","",'Diseño 1"'!K47)</f>
        <v>25</v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>
        <f>'Diseño 1"'!AJ47</f>
        <v>0.5</v>
      </c>
      <c r="AF30" s="93">
        <f>'Diseño 1"'!AK47</f>
        <v>0</v>
      </c>
      <c r="AG30" s="243">
        <f>IF('Diseño 1"'!AN47="","",'Diseño 1"'!AN47)</f>
        <v>0.25</v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>Ducto Recto</v>
      </c>
      <c r="J31" s="648"/>
      <c r="K31" s="97">
        <f>IF(I31="","",'Diseño 1"'!I48)</f>
        <v>1</v>
      </c>
      <c r="L31" s="98">
        <f>IF('Diseño 1"'!J48="","",'Diseño 1"'!J48)</f>
        <v>25</v>
      </c>
      <c r="M31" s="98">
        <f>IF('Diseño 1"'!K48="","",'Diseño 1"'!K48)</f>
        <v>25</v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>
        <f>IF('Diseño 1"'!S48="","",'Diseño 1"'!S48)</f>
        <v>0.7</v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>TDF</v>
      </c>
      <c r="Z31" s="632"/>
      <c r="AA31" s="631" t="str">
        <f>IF('Diseño 1"'!AC48="","",'Diseño 1"'!AC48)</f>
        <v>TDF</v>
      </c>
      <c r="AB31" s="632"/>
      <c r="AC31" s="101"/>
      <c r="AD31" s="102"/>
      <c r="AE31" s="103">
        <f>'Diseño 1"'!AJ48</f>
        <v>0.5</v>
      </c>
      <c r="AF31" s="104">
        <f>'Diseño 1"'!AK48</f>
        <v>0</v>
      </c>
      <c r="AG31" s="244">
        <f>IF('Diseño 1"'!AN48="","",'Diseño 1"'!AN48)</f>
        <v>3.3882400000000001</v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50.899875539982901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50.899875539982901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2026-04-06T12:35:38Z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