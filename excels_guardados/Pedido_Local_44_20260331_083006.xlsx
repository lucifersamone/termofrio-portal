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7" documentId="13_ncr:1_{4DEAC212-FD1C-41FB-9588-6D0A67D7572D}" xr6:coauthVersionLast="47" xr6:coauthVersionMax="47" xr10:uidLastSave="{B367FE9D-DAB0-4D92-B5C9-7FFF215D76F4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<sst xmlns="http://schemas.openxmlformats.org/spreadsheetml/2006/main" count="1746" uniqueCount="247">
  <si>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</si>
  <si>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</si>
  <si>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</si>
  <si>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</si>
  <si>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</si>
  <si>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</si>
  <si>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</si>
  <si>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</si>
  <si>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</si>
  <si>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</si>
  <si>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</si>
  <si>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</si>
  <si>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</si>
  <si>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</si>
  <si>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</si>
  <si>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</si>
  <si>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</si>
  <si>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</si>
  <si>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</si>
  <si>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</si>
  <si>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</si>
  <si>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</si>
  <si>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</si>
  <si>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</si>
  <si>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</si>
  <si>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</si>
  <si>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</si>
  <si>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</si>
  <si>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</si>
  <si>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</si>
  <si>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</si>
  <si>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</si>
  <si>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</si>
  <si>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</si>
  <si>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</si>
  <si>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</si>
  <si>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</si>
  <si>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</si>
  <si>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</si>
  <si>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</si>
  <si>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</si>
  <si>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</si>
  <si>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</si>
  <si>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</si>
  <si>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</si>
  <si>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</si>
  <si>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</si>
  <si>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</si>
  <si>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</si>
  <si>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</si>
  <si>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</si>
  <si>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</si>
  <si>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</si>
  <si>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</si>
  <si>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</si>
  <si>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</si>
  <si>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</si>
  <si>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</si>
  <si>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</si>
  <si>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</si>
  <si>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</si>
  <si>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</si>
  <si>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</si>
  <si>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</si>
  <si>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</si>
  <si>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</si>
  <si>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</si>
  <si>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</si>
  <si>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</si>
  <si>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</si>
  <si>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</si>
  <si>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</si>
  <si>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</si>
  <si>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</si>
  <si>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</si>
  <si>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</si>
  <si>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</si>
  <si>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</si>
  <si>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</si>
  <si>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</si>
  <si>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</si>
  <si>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</si>
  <si>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</si>
  <si>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</si>
  <si>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</si>
  <si>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</si>
  <si>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</si>
  <si>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</si>
  <si>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</si>
  <si>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</si>
  <si>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</si>
  <si>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</si>
  <si>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</si>
  <si>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</si>
  <si>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</si>
  <si>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</si>
  <si>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</si>
  <si>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</si>
  <si>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</si>
  <si>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</si>
  <si>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</si>
  <si>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</si>
  <si>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</si>
  <si>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</si>
  <si>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</si>
  <si>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</si>
  <si>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</si>
  <si>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</si>
  <si>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</si>
  <si>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</si>
  <si>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</si>
  <si>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</si>
  <si>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</si>
  <si>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</si>
  <si>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</si>
  <si>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</si>
  <si>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</si>
  <si>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</si>
  <si>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</si>
  <si>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</si>
  <si>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</si>
  <si>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</si>
  <si>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</si>
  <si>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</si>
  <si>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</si>
  <si>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</si>
  <si>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</si>
  <si>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</si>
  <si>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</si>
  <si>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</si>
  <si>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</si>
  <si>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</si>
  <si>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</si>
  <si>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</si>
  <si>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</si>
  <si>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</si>
  <si>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</si>
  <si>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</si>
  <si>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</si>
  <si>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</si>
  <si>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</si>
  <si>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</si>
  <si>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</si>
  <si>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</si>
  <si>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</si>
  <si>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</si>
  <si>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</si>
  <si>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</si>
  <si>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</si>
  <si>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</si>
  <si>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</si>
  <si>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</si>
  <si>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</si>
  <si>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</si>
  <si>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</si>
  <si>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</si>
  <si>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</si>
  <si>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</si>
  <si>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</si>
  <si>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</si>
  <si>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</si>
  <si>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</si>
  <si>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</si>
  <si>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</si>
  <si>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</si>
  <si>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</si>
  <si>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</si>
  <si>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</si>
  <si>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</si>
  <si>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</si>
  <si>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</si>
  <si>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</si>
  <si>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</si>
  <si>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</si>
  <si>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</si>
  <si>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</si>
  <si>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</si>
  <si>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</si>
  <si>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</si>
  <si>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</si>
  <si>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</si>
  <si>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</si>
  <si>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</si>
  <si>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</si>
  <si>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</si>
  <si>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</si>
  <si>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</si>
  <si>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</si>
  <si>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</si>
  <si>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</si>
  <si>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</si>
  <si>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</si>
  <si>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</si>
  <si>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</si>
  <si>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</si>
  <si>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</si>
  <si>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</si>
  <si>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</si>
  <si>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</si>
  <si>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</si>
  <si>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</si>
  <si>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</si>
  <si>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</si>
  <si>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</si>
  <si>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</si>
  <si>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</si>
  <si>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</si>
  <si>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</si>
  <si>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</si>
  <si>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</si>
  <si>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</si>
  <si>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</si>
  <si>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</si>
  <si>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</si>
  <si>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</si>
  <si>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</si>
  <si>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</si>
  <si>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</si>
  <si>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</si>
  <si>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</si>
  <si>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</si>
  <si>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</si>
  <si>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</si>
  <si>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</si>
  <si>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</si>
  <si>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</si>
  <si>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</si>
  <si>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</si>
  <si>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</si>
  <si>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</si>
  <si>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</si>
  <si>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</si>
  <si>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</si>
  <si>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</si>
  <si>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</si>
  <si>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</si>
  <si>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</si>
  <si>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</si>
  <si>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</si>
  <si>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</si>
  <si>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</si>
  <si>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</si>
  <si>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</si>
  <si>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>Piso 2</t>
  </si>
  <si>
    <t xml:space="preserve"> </t>
  </si>
  <si>
    <t>2.2</t>
  </si>
  <si>
    <t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</si>
</sst>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A4" zoomScaleNormal="100" workbookViewId="0">
      <selection activeCell="S37" sqref="S3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46111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44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244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9.1348649259011037</v>
      </c>
      <c r="P12" s="296">
        <f t="shared" si="0"/>
        <v>36.539459703604415</v>
      </c>
      <c r="Q12" s="617" t="s">
        <v>23</v>
      </c>
      <c r="R12" s="609"/>
      <c r="S12" s="284">
        <f>ROUNDUP(AI49/6,0)</f>
        <v>4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1.30074</v>
      </c>
      <c r="P14" s="296">
        <f t="shared" si="0"/>
        <v>8.3247359999999997</v>
      </c>
      <c r="Q14" s="617" t="s">
        <v>35</v>
      </c>
      <c r="R14" s="609"/>
      <c r="S14" s="301">
        <f>S12*2</f>
        <v>8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12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10.435604925901103</v>
      </c>
      <c r="P17" s="306">
        <f t="shared" si="1"/>
        <v>44.864195703604416</v>
      </c>
      <c r="Q17" s="617" t="s">
        <v>40</v>
      </c>
      <c r="R17" s="609"/>
      <c r="S17" s="284">
        <f>ROUNDUP(AI49/6,0)</f>
        <v>4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16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8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60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4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245</v>
      </c>
      <c r="D29" s="595" t="s">
        <v>243</v>
      </c>
      <c r="E29" s="596"/>
      <c r="F29" s="592" t="s">
        <v>105</v>
      </c>
      <c r="G29" s="593"/>
      <c r="H29" s="594"/>
      <c r="I29" s="192">
        <v>1</v>
      </c>
      <c r="J29" s="192">
        <v>117</v>
      </c>
      <c r="K29" s="192">
        <v>23</v>
      </c>
      <c r="L29" s="192"/>
      <c r="M29" s="192"/>
      <c r="N29" s="595"/>
      <c r="O29" s="593"/>
      <c r="P29" s="594"/>
      <c r="Q29" s="192"/>
      <c r="R29" s="192"/>
      <c r="S29" s="192">
        <v>0.15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137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0.8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0.8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104</v>
      </c>
      <c r="G30" s="593"/>
      <c r="H30" s="594"/>
      <c r="I30" s="192">
        <v>1</v>
      </c>
      <c r="J30" s="192">
        <v>117</v>
      </c>
      <c r="K30" s="192">
        <v>23</v>
      </c>
      <c r="L30" s="192"/>
      <c r="M30" s="192"/>
      <c r="N30" s="595" t="s">
        <v>159</v>
      </c>
      <c r="O30" s="593"/>
      <c r="P30" s="594"/>
      <c r="Q30" s="192">
        <v>45</v>
      </c>
      <c r="R30" s="192">
        <v>30</v>
      </c>
      <c r="S30" s="192">
        <v>0.45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0.8</v>
      </c>
      <c r="AK30" s="288"/>
      <c r="AL30" s="289">
        <f t="shared" si="6"/>
        <v>0.8</v>
      </c>
      <c r="AM30" s="290">
        <f t="shared" si="7"/>
        <v>1.30074</v>
      </c>
      <c r="AN30" s="290">
        <f t="shared" si="8"/>
        <v>8.3247359999999997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1.30074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88</v>
      </c>
      <c r="G31" s="593"/>
      <c r="H31" s="594"/>
      <c r="I31" s="192">
        <v>2</v>
      </c>
      <c r="J31" s="192">
        <v>25</v>
      </c>
      <c r="K31" s="192">
        <v>25</v>
      </c>
      <c r="L31" s="192"/>
      <c r="M31" s="192"/>
      <c r="N31" s="595"/>
      <c r="O31" s="593"/>
      <c r="P31" s="594"/>
      <c r="Q31" s="192" t="s">
        <v>246</v>
      </c>
      <c r="R31" s="192">
        <v>25</v>
      </c>
      <c r="S31" s="192"/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2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1.0967376290563657</v>
      </c>
      <c r="AN31" s="290">
        <f t="shared" ref="AN31:AN46" si="37">IF(ISERROR(AM31*(IF(AJ31=1,8,IF(AJ31=0.8,6.4,IF(AJ31=0.6,4.8,IF(AJ31=0.5,4)))))),"",AM31*(IF(AJ31=1,8,IF(AJ31=0.8,6.4,IF(AJ31=0.6,4.8,IF(AJ31=0.5,4))))))</f>
        <v>4.3869505162254629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>
        <f t="shared" si="13"/>
        <v>1.0967376290563657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87</v>
      </c>
      <c r="G32" s="593"/>
      <c r="H32" s="594"/>
      <c r="I32" s="192">
        <v>4</v>
      </c>
      <c r="J32" s="192">
        <v>30</v>
      </c>
      <c r="K32" s="192">
        <v>30</v>
      </c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4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3.292397296844737</v>
      </c>
      <c r="AN32" s="290">
        <f t="shared" si="37"/>
        <v>13.169589187378948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>
        <f t="shared" si="12"/>
        <v>3.292397296844737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98</v>
      </c>
      <c r="G33" s="593"/>
      <c r="H33" s="594"/>
      <c r="I33" s="192">
        <v>1</v>
      </c>
      <c r="J33" s="192">
        <v>60</v>
      </c>
      <c r="K33" s="192">
        <v>30</v>
      </c>
      <c r="L33" s="192"/>
      <c r="M33" s="192"/>
      <c r="N33" s="595"/>
      <c r="O33" s="593"/>
      <c r="P33" s="594"/>
      <c r="Q33" s="192"/>
      <c r="R33" s="192"/>
      <c r="S33" s="192">
        <v>0.9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1.8696599999999999</v>
      </c>
      <c r="AN33" s="290">
        <f t="shared" si="37"/>
        <v>7.4786399999999995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1.8696599999999999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98</v>
      </c>
      <c r="G34" s="593"/>
      <c r="H34" s="594"/>
      <c r="I34" s="192">
        <v>1</v>
      </c>
      <c r="J34" s="192">
        <v>60</v>
      </c>
      <c r="K34" s="192">
        <v>30</v>
      </c>
      <c r="L34" s="192"/>
      <c r="M34" s="192"/>
      <c r="N34" s="595"/>
      <c r="O34" s="593"/>
      <c r="P34" s="594"/>
      <c r="Q34" s="192"/>
      <c r="R34" s="192"/>
      <c r="S34" s="192">
        <v>0.67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136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8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1.44807</v>
      </c>
      <c r="AN34" s="290">
        <f t="shared" si="37"/>
        <v>5.7922799999999999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1.44807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104</v>
      </c>
      <c r="G35" s="593"/>
      <c r="H35" s="594"/>
      <c r="I35" s="192">
        <v>1</v>
      </c>
      <c r="J35" s="192">
        <v>40</v>
      </c>
      <c r="K35" s="192">
        <v>40</v>
      </c>
      <c r="L35" s="192"/>
      <c r="M35" s="192"/>
      <c r="N35" s="595"/>
      <c r="O35" s="593"/>
      <c r="P35" s="594"/>
      <c r="Q35" s="192">
        <v>45</v>
      </c>
      <c r="R35" s="192">
        <v>30</v>
      </c>
      <c r="S35" s="192">
        <v>0.45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8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0.95874000000000015</v>
      </c>
      <c r="AN35" s="290">
        <f t="shared" si="37"/>
        <v>3.8349600000000006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>
        <f t="shared" si="32"/>
        <v>0.95874000000000015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98</v>
      </c>
      <c r="G36" s="593"/>
      <c r="H36" s="594"/>
      <c r="I36" s="192">
        <v>1</v>
      </c>
      <c r="J36" s="192">
        <v>75</v>
      </c>
      <c r="K36" s="192">
        <v>30</v>
      </c>
      <c r="L36" s="192"/>
      <c r="M36" s="192"/>
      <c r="N36" s="595"/>
      <c r="O36" s="593"/>
      <c r="P36" s="594"/>
      <c r="Q36" s="192"/>
      <c r="R36" s="192"/>
      <c r="S36" s="192">
        <v>0.1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0.46925999999999995</v>
      </c>
      <c r="AN36" s="290">
        <f t="shared" si="37"/>
        <v>1.8770399999999998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0.46925999999999995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12</v>
      </c>
      <c r="AG49" s="203"/>
      <c r="AH49" s="204">
        <f>SUM(AH29:AH48)</f>
        <v>36</v>
      </c>
      <c r="AI49" s="204">
        <f>SUM(AI29:AI48)</f>
        <v>24</v>
      </c>
      <c r="AJ49" s="205"/>
      <c r="AK49" s="205"/>
      <c r="AL49" s="206"/>
      <c r="AM49" s="207">
        <f>SUM(AM29:AM48)</f>
        <v>10.435604925901103</v>
      </c>
      <c r="AN49" s="208">
        <f>SUM(AN29:AN48)</f>
        <v>44.864195703604409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46111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46111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44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46118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36.539459703604415</v>
      </c>
      <c r="Y8" s="531">
        <f>SUMIFS('Diseño 1"'!AN29:AN48,'Diseño 1"'!AJ29:AJ48,0.6)</f>
        <v>0</v>
      </c>
      <c r="Z8" s="531">
        <f>SUMIFS('Diseño 1"'!AN29:AN48,'Diseño 1"'!AJ29:AJ48,0.8)</f>
        <v>8.3247359999999997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44.864195703604416</v>
      </c>
      <c r="AH8" s="538"/>
      <c r="AI8" s="533">
        <f>+'Diseño 1"'!AM49</f>
        <v>10.435604925901103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Fan Coil</v>
      </c>
      <c r="E12" s="694"/>
      <c r="F12" s="247" t="str">
        <f>IF('Diseño 1"'!C29=0,"",'Diseño 1"'!C29)</f>
        <v>2.2</v>
      </c>
      <c r="G12" s="693" t="str">
        <f>IF('Diseño 1"'!D29="","",'Diseño 1"'!D29)</f>
        <v>Piso 2</v>
      </c>
      <c r="H12" s="694"/>
      <c r="I12" s="693" t="str">
        <f>IF('Diseño 1"'!F29="","",'Diseño 1"'!F29)</f>
        <v>Unión c/ Lona</v>
      </c>
      <c r="J12" s="694"/>
      <c r="K12" s="248">
        <f>IF(I12="","",'Diseño 1"'!I29)</f>
        <v>1</v>
      </c>
      <c r="L12" s="242">
        <f>IF('Diseño 1"'!J29="","",'Diseño 1"'!J29)</f>
        <v>117</v>
      </c>
      <c r="M12" s="242">
        <f>IF('Diseño 1"'!K29="","",'Diseño 1"'!K29)</f>
        <v>23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0.15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Liso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0.8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Transformación</v>
      </c>
      <c r="J13" s="651"/>
      <c r="K13" s="20">
        <f>IF(I13="","",'Diseño 1"'!I30)</f>
        <v>1</v>
      </c>
      <c r="L13" s="17">
        <f>IF('Diseño 1"'!J30="","",'Diseño 1"'!J30)</f>
        <v>117</v>
      </c>
      <c r="M13" s="17">
        <f>IF('Diseño 1"'!K30="","",'Diseño 1"'!K30)</f>
        <v>23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>Simétrica - Sup. Pareja</v>
      </c>
      <c r="Q13" s="651"/>
      <c r="R13" s="17">
        <f>IF('Diseño 1"'!Q30="","",'Diseño 1"'!Q30)</f>
        <v>45</v>
      </c>
      <c r="S13" s="17">
        <f>IF('Diseño 1"'!R30="","",'Diseño 1"'!R30)</f>
        <v>30</v>
      </c>
      <c r="T13" s="242">
        <f>IF('Diseño 1"'!S30="","",'Diseño 1"'!S30)</f>
        <v>0.45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0.8</v>
      </c>
      <c r="AF13" s="93">
        <f>'Diseño 1"'!AK30</f>
        <v>0</v>
      </c>
      <c r="AG13" s="243">
        <f>IF('Diseño 1"'!AN30="","",'Diseño 1"'!AN30)</f>
        <v>8.3247359999999997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Codo Transfor.</v>
      </c>
      <c r="J14" s="651"/>
      <c r="K14" s="20">
        <f>IF(I14="","",'Diseño 1"'!I31)</f>
        <v>2</v>
      </c>
      <c r="L14" s="17">
        <f>IF('Diseño 1"'!J31="","",'Diseño 1"'!J31)</f>
        <v>25</v>
      </c>
      <c r="M14" s="17">
        <f>IF('Diseño 1"'!K31="","",'Diseño 1"'!K31)</f>
        <v>25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>12.5</v>
      </c>
      <c r="S14" s="17">
        <f>IF('Diseño 1"'!R31="","",'Diseño 1"'!R31)</f>
        <v>25</v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4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4.3869505162254629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Codo</v>
      </c>
      <c r="J15" s="651"/>
      <c r="K15" s="20">
        <f>IF(I15="","",'Diseño 1"'!I32)</f>
        <v>4</v>
      </c>
      <c r="L15" s="17">
        <f>IF('Diseño 1"'!J32="","",'Diseño 1"'!J32)</f>
        <v>30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13.169589187378948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Ducto Recto</v>
      </c>
      <c r="J16" s="651"/>
      <c r="K16" s="20">
        <f>IF(I16="","",'Diseño 1"'!I33)</f>
        <v>1</v>
      </c>
      <c r="L16" s="17">
        <f>IF('Diseño 1"'!J33="","",'Diseño 1"'!J33)</f>
        <v>60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0.9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7.4786399999999995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Ducto Recto</v>
      </c>
      <c r="J17" s="651"/>
      <c r="K17" s="20">
        <f>IF(I17="","",'Diseño 1"'!I34)</f>
        <v>1</v>
      </c>
      <c r="L17" s="17">
        <f>IF('Diseño 1"'!J34="","",'Diseño 1"'!J34)</f>
        <v>60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0.67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TDF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5.7922799999999999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Transformación</v>
      </c>
      <c r="J18" s="651"/>
      <c r="K18" s="20">
        <f>IF(I18="","",'Diseño 1"'!I35)</f>
        <v>1</v>
      </c>
      <c r="L18" s="17">
        <f>IF('Diseño 1"'!J35="","",'Diseño 1"'!J35)</f>
        <v>40</v>
      </c>
      <c r="M18" s="17">
        <f>IF('Diseño 1"'!K35="","",'Diseño 1"'!K35)</f>
        <v>40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>
        <f>IF('Diseño 1"'!Q35="","",'Diseño 1"'!Q35)</f>
        <v>45</v>
      </c>
      <c r="S18" s="17">
        <f>IF('Diseño 1"'!R35="","",'Diseño 1"'!R35)</f>
        <v>30</v>
      </c>
      <c r="T18" s="242">
        <f>IF('Diseño 1"'!S35="","",'Diseño 1"'!S35)</f>
        <v>0.45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3.8349600000000006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Ducto Recto</v>
      </c>
      <c r="J19" s="651"/>
      <c r="K19" s="20">
        <f>IF(I19="","",'Diseño 1"'!I36)</f>
        <v>1</v>
      </c>
      <c r="L19" s="17">
        <f>IF('Diseño 1"'!J36="","",'Diseño 1"'!J36)</f>
        <v>75</v>
      </c>
      <c r="M19" s="17">
        <f>IF('Diseño 1"'!K36="","",'Diseño 1"'!K36)</f>
        <v>30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0.1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1.8770399999999998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36.539459703604415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36.539459703604415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2026-03-31T11:28:11Z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