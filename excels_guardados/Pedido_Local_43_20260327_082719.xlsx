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4" documentId="13_ncr:1_{1D628BDF-8158-42A2-9662-A347362F767D}" xr6:coauthVersionLast="47" xr6:coauthVersionMax="47" xr10:uidLastSave="{E9735F50-145E-418D-BE18-DC311ECEFF38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BK29" i="3" l="1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O14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AI49" i="5" l="1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<sst xmlns="http://schemas.openxmlformats.org/spreadsheetml/2006/main" count="1722" uniqueCount="245">
  <si>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</si>
  <si>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</si>
  <si>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</si>
  <si>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</si>
  <si>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</si>
  <si>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</si>
  <si>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</si>
  <si>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</si>
  <si>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</si>
  <si>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</si>
  <si>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</si>
  <si>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</si>
  <si>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</si>
  <si>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</si>
  <si>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</si>
  <si>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</si>
  <si>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</si>
  <si>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</si>
  <si>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</si>
  <si>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</si>
  <si>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</si>
  <si>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</si>
  <si>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</si>
  <si>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</si>
  <si>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</si>
  <si>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</si>
  <si>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</si>
  <si>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</si>
  <si>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</si>
  <si>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</si>
  <si>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</si>
  <si>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</si>
  <si>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</si>
  <si>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</si>
  <si>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</si>
  <si>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</si>
  <si>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</si>
  <si>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</si>
  <si>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</si>
  <si>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</si>
  <si>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</si>
  <si>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</si>
  <si>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</si>
  <si>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</si>
  <si>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</si>
  <si>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</si>
  <si>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</si>
  <si>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</si>
  <si>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</si>
  <si>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</si>
  <si>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</si>
  <si>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</si>
  <si>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</si>
  <si>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</si>
  <si>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</si>
  <si>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</si>
  <si>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</si>
  <si>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</si>
  <si>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</si>
  <si>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</si>
  <si>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</si>
  <si>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</si>
  <si>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</si>
  <si>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</si>
  <si>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</si>
  <si>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</si>
  <si>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</si>
  <si>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</si>
  <si>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</si>
  <si>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</si>
  <si>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</si>
  <si>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</si>
  <si>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</si>
  <si>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</si>
  <si>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</si>
  <si>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</si>
  <si>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</si>
  <si>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</si>
  <si>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</si>
  <si>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</si>
  <si>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</si>
  <si>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</si>
  <si>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</si>
  <si>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</si>
  <si>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</si>
  <si>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</si>
  <si>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</si>
  <si>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</si>
  <si>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</si>
  <si>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</si>
  <si>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</si>
  <si>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</si>
  <si>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</si>
  <si>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</si>
  <si>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</si>
  <si>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</si>
  <si>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</si>
  <si>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</si>
  <si>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</si>
  <si>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</si>
  <si>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</si>
  <si>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</si>
  <si>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</si>
  <si>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</si>
  <si>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</si>
  <si>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</si>
  <si>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</si>
  <si>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</si>
  <si>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</si>
  <si>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</si>
  <si>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</si>
  <si>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</si>
  <si>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</si>
  <si>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</si>
  <si>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</si>
  <si>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</si>
  <si>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</si>
  <si>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</si>
  <si>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</si>
  <si>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</si>
  <si>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</si>
  <si>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</si>
  <si>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</si>
  <si>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</si>
  <si>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</si>
  <si>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</si>
  <si>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</si>
  <si>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</si>
  <si>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</si>
  <si>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</si>
  <si>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</si>
  <si>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</si>
  <si>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</si>
  <si>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</si>
  <si>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</si>
  <si>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</si>
  <si>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</si>
  <si>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</si>
  <si>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</si>
  <si>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</si>
  <si>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</si>
  <si>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</si>
  <si>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</si>
  <si>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</si>
  <si>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</si>
  <si>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</si>
  <si>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</si>
  <si>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</si>
  <si>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</si>
  <si>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</si>
  <si>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</si>
  <si>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</si>
  <si>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</si>
  <si>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</si>
  <si>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</si>
  <si>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</si>
  <si>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</si>
  <si>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</si>
  <si>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</si>
  <si>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</si>
  <si>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</si>
  <si>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</si>
  <si>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</si>
  <si>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</si>
  <si>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</si>
  <si>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</si>
  <si>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</si>
  <si>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</si>
  <si>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</si>
  <si>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</si>
  <si>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</si>
  <si>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</si>
  <si>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</si>
  <si>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</si>
  <si>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</si>
  <si>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</si>
  <si>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</si>
  <si>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</si>
  <si>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</si>
  <si>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</si>
  <si>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</si>
  <si>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</si>
  <si>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</si>
  <si>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</si>
  <si>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</si>
  <si>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</si>
  <si>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</si>
  <si>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</si>
  <si>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</si>
  <si>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</si>
  <si>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</si>
  <si>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</si>
  <si>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</si>
  <si>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</si>
  <si>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</si>
  <si>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</si>
  <si>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</si>
  <si>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</si>
  <si>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</si>
  <si>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</si>
  <si>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</si>
  <si>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</si>
  <si>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</si>
  <si>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</si>
  <si>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</si>
  <si>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</si>
  <si>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</si>
  <si>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</si>
  <si>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</si>
  <si>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</si>
  <si>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</si>
  <si>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</si>
  <si>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</si>
  <si>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</si>
  <si>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</si>
  <si>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</si>
  <si>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</si>
  <si>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</si>
  <si>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</si>
  <si>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</si>
  <si>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</si>
  <si>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</si>
  <si>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</si>
  <si>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</si>
  <si>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</si>
  <si>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</si>
  <si>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</si>
  <si>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</si>
  <si>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</si>
  <si>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</si>
  <si>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</si>
  <si>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</si>
  <si>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</si>
  <si>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</si>
  <si>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</si>
  <si>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</si>
  <si>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</si>
  <si>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</si>
  <si>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</si>
  <si>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</si>
  <si>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</si>
  <si>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</si>
  <si>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</si>
  <si>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>Piso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</si>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</sst>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J4" zoomScaleNormal="100" workbookViewId="0">
      <selection activeCell="BK30" sqref="BK29:BK30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46107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43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244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0.64524000000000004</v>
      </c>
      <c r="P12" s="296">
        <f t="shared" si="0"/>
        <v>2.5809600000000001</v>
      </c>
      <c r="Q12" s="617" t="s">
        <v>23</v>
      </c>
      <c r="R12" s="609"/>
      <c r="S12" s="284">
        <f>ROUNDUP(AI49/6,0)</f>
        <v>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0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0.64524000000000004</v>
      </c>
      <c r="P17" s="306">
        <f t="shared" si="1"/>
        <v>2.5809600000000001</v>
      </c>
      <c r="Q17" s="617" t="s">
        <v>40</v>
      </c>
      <c r="R17" s="609"/>
      <c r="S17" s="284">
        <f>ROUNDUP(AI49/6,0)</f>
        <v>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8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1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185</v>
      </c>
      <c r="C29" s="192"/>
      <c r="D29" s="595" t="s">
        <v>243</v>
      </c>
      <c r="E29" s="596"/>
      <c r="F29" s="592" t="s">
        <v>104</v>
      </c>
      <c r="G29" s="593"/>
      <c r="H29" s="594"/>
      <c r="I29" s="192">
        <v>1</v>
      </c>
      <c r="J29" s="192">
        <v>30</v>
      </c>
      <c r="K29" s="192">
        <v>20</v>
      </c>
      <c r="L29" s="192"/>
      <c r="M29" s="192"/>
      <c r="N29" s="595"/>
      <c r="O29" s="593"/>
      <c r="P29" s="594"/>
      <c r="Q29" s="192">
        <v>25</v>
      </c>
      <c r="R29" s="192">
        <v>25</v>
      </c>
      <c r="S29" s="192">
        <v>0.45</v>
      </c>
      <c r="T29" s="192"/>
      <c r="U29" s="192"/>
      <c r="V29" s="193"/>
      <c r="W29" s="194"/>
      <c r="X29" s="192"/>
      <c r="Y29" s="192"/>
      <c r="Z29" s="195"/>
      <c r="AA29" s="595" t="s">
        <v>136</v>
      </c>
      <c r="AB29" s="594"/>
      <c r="AC29" s="595" t="s">
        <v>136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0.64524000000000004</v>
      </c>
      <c r="AN29" s="290">
        <f t="shared" ref="AN29:AN48" si="8">IF(ISERROR(AM29*(IF(AJ29=1,8,IF(AJ29=0.8,6.4,IF(AJ29=0.6,4.8,IF(AJ29=0.5,4)))))),"",AM29*(IF(AJ29=1,8,IF(AJ29=0.8,6.4,IF(AJ29=0.6,4.8,IF(AJ29=0.5,4))))))</f>
        <v>2.5809600000000001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>
        <f t="shared" ref="BK29:BK48" si="28">IF(F29="Transformación",((S29*100+(IF(AA29="TDF",BC$56/10,IF(AA29="Balleta",BC$55/10))+IF(AC29="TDF",BC$56/10,IF(AC29="Balleta",BC$55/10))))*(J29+2*AX$57/10+K29+2*AY$57/10+Q29+2*AX$57/10+R29+2*AY$57/10))/10000*I29,"N/D")</f>
        <v>0.64524000000000004</v>
      </c>
      <c r="BL29" s="280" t="str">
        <f t="shared" ref="BL29:BL48" si="29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2"/>
        <v/>
      </c>
      <c r="AG30" s="285">
        <f t="shared" si="3"/>
        <v>0</v>
      </c>
      <c r="AH30" s="285">
        <f t="shared" si="4"/>
        <v>0</v>
      </c>
      <c r="AI30" s="286">
        <f t="shared" si="5"/>
        <v>0</v>
      </c>
      <c r="AJ30" s="287" t="str">
        <f t="shared" ref="AJ30:AJ48" si="30">IF(AE30=TRUE,0.5,AL30)</f>
        <v/>
      </c>
      <c r="AK30" s="288"/>
      <c r="AL30" s="289" t="str">
        <f t="shared" si="6"/>
        <v/>
      </c>
      <c r="AM30" s="290" t="str">
        <f t="shared" si="7"/>
        <v/>
      </c>
      <c r="AN30" s="290" t="str">
        <f t="shared" si="8"/>
        <v/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1">IF(F30="Tapa",J30*K30/10000*I30,"N/D")</f>
        <v>N/D</v>
      </c>
      <c r="BJ30" s="280" t="str">
        <f t="shared" ref="BJ30:BJ48" si="32">IF(F30="Transf. Red - Cuad",(((S30*100+BC$56/10)*(J30+2*AX$55/10+2*AY$55/10+K30+PI()*T30/2))/10000*I30)*1.041,"N/D")</f>
        <v>N/D</v>
      </c>
      <c r="BK30" s="280" t="str">
        <f t="shared" si="28"/>
        <v>N/D</v>
      </c>
      <c r="BL30" s="280" t="str">
        <f t="shared" si="29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5"/>
      <c r="AB31" s="594"/>
      <c r="AC31" s="595"/>
      <c r="AD31" s="594"/>
      <c r="AE31" s="197"/>
      <c r="AF31" s="284" t="str">
        <f t="shared" si="2"/>
        <v/>
      </c>
      <c r="AG31" s="285">
        <f t="shared" si="3"/>
        <v>0</v>
      </c>
      <c r="AH31" s="285">
        <f t="shared" si="4"/>
        <v>0</v>
      </c>
      <c r="AI31" s="286">
        <f t="shared" si="5"/>
        <v>0</v>
      </c>
      <c r="AJ31" s="287" t="str">
        <f t="shared" ref="AJ31:AJ46" si="36">IF(AE31=TRUE,0.5,AL31)</f>
        <v/>
      </c>
      <c r="AK31" s="288"/>
      <c r="AL31" s="289" t="str">
        <f t="shared" si="6"/>
        <v/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2"/>
        <v>N/D</v>
      </c>
      <c r="BK31" s="280" t="str">
        <f t="shared" si="28"/>
        <v>N/D</v>
      </c>
      <c r="BL31" s="280" t="str">
        <f t="shared" si="29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2"/>
        <v/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 t="str">
        <f t="shared" si="36"/>
        <v/>
      </c>
      <c r="AK32" s="288"/>
      <c r="AL32" s="289" t="str">
        <f t="shared" si="6"/>
        <v/>
      </c>
      <c r="AM32" s="290" t="str">
        <f t="shared" si="7"/>
        <v/>
      </c>
      <c r="AN32" s="290" t="str">
        <f t="shared" si="37"/>
        <v/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2"/>
        <v>N/D</v>
      </c>
      <c r="BK32" s="280" t="str">
        <f t="shared" si="28"/>
        <v>N/D</v>
      </c>
      <c r="BL32" s="280" t="str">
        <f t="shared" si="29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2"/>
        <v>N/D</v>
      </c>
      <c r="BK33" s="280" t="str">
        <f t="shared" si="28"/>
        <v>N/D</v>
      </c>
      <c r="BL33" s="280" t="str">
        <f t="shared" si="29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/>
      <c r="G34" s="593"/>
      <c r="H34" s="594"/>
      <c r="I34" s="192"/>
      <c r="J34" s="192"/>
      <c r="K34" s="192"/>
      <c r="L34" s="192"/>
      <c r="M34" s="192"/>
      <c r="N34" s="595"/>
      <c r="O34" s="593"/>
      <c r="P34" s="594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5"/>
      <c r="AB34" s="594"/>
      <c r="AC34" s="595"/>
      <c r="AD34" s="594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2"/>
        <v>N/D</v>
      </c>
      <c r="BK34" s="280" t="str">
        <f t="shared" si="28"/>
        <v>N/D</v>
      </c>
      <c r="BL34" s="280" t="str">
        <f t="shared" si="29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/>
      <c r="G35" s="593"/>
      <c r="H35" s="594"/>
      <c r="I35" s="192"/>
      <c r="J35" s="192"/>
      <c r="K35" s="192"/>
      <c r="L35" s="192"/>
      <c r="M35" s="192"/>
      <c r="N35" s="595"/>
      <c r="O35" s="593"/>
      <c r="P35" s="594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5"/>
      <c r="AB35" s="594"/>
      <c r="AC35" s="595"/>
      <c r="AD35" s="594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2"/>
        <v>N/D</v>
      </c>
      <c r="BK35" s="280" t="str">
        <f t="shared" si="28"/>
        <v>N/D</v>
      </c>
      <c r="BL35" s="280" t="str">
        <f t="shared" si="29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/>
      <c r="G36" s="593"/>
      <c r="H36" s="594"/>
      <c r="I36" s="192"/>
      <c r="J36" s="192"/>
      <c r="K36" s="192"/>
      <c r="L36" s="192"/>
      <c r="M36" s="192"/>
      <c r="N36" s="595"/>
      <c r="O36" s="593"/>
      <c r="P36" s="594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5"/>
      <c r="AB36" s="594"/>
      <c r="AC36" s="595"/>
      <c r="AD36" s="594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2"/>
        <v>N/D</v>
      </c>
      <c r="BK36" s="280" t="str">
        <f t="shared" si="28"/>
        <v>N/D</v>
      </c>
      <c r="BL36" s="280" t="str">
        <f t="shared" si="29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/>
      <c r="G37" s="593"/>
      <c r="H37" s="594"/>
      <c r="I37" s="192"/>
      <c r="J37" s="192"/>
      <c r="K37" s="192"/>
      <c r="L37" s="192"/>
      <c r="M37" s="192"/>
      <c r="N37" s="595"/>
      <c r="O37" s="593"/>
      <c r="P37" s="594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5"/>
      <c r="AB37" s="594"/>
      <c r="AC37" s="595"/>
      <c r="AD37" s="594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2"/>
        <v>N/D</v>
      </c>
      <c r="BK37" s="280" t="str">
        <f t="shared" si="28"/>
        <v>N/D</v>
      </c>
      <c r="BL37" s="280" t="str">
        <f t="shared" si="29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/>
      <c r="G38" s="593"/>
      <c r="H38" s="594"/>
      <c r="I38" s="192"/>
      <c r="J38" s="192"/>
      <c r="K38" s="192"/>
      <c r="L38" s="192"/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/>
      <c r="AB38" s="594"/>
      <c r="AC38" s="595"/>
      <c r="AD38" s="594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2"/>
        <v>N/D</v>
      </c>
      <c r="BK38" s="280" t="str">
        <f t="shared" si="28"/>
        <v>N/D</v>
      </c>
      <c r="BL38" s="280" t="str">
        <f t="shared" si="29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/>
      <c r="G39" s="593"/>
      <c r="H39" s="594"/>
      <c r="I39" s="192"/>
      <c r="J39" s="192"/>
      <c r="K39" s="192"/>
      <c r="L39" s="192"/>
      <c r="M39" s="192"/>
      <c r="N39" s="595"/>
      <c r="O39" s="593"/>
      <c r="P39" s="594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5"/>
      <c r="AB39" s="594"/>
      <c r="AC39" s="595"/>
      <c r="AD39" s="594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2"/>
        <v>N/D</v>
      </c>
      <c r="BK39" s="280" t="str">
        <f t="shared" si="28"/>
        <v>N/D</v>
      </c>
      <c r="BL39" s="280" t="str">
        <f t="shared" si="29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2"/>
        <v>N/D</v>
      </c>
      <c r="BK40" s="280" t="str">
        <f t="shared" si="28"/>
        <v>N/D</v>
      </c>
      <c r="BL40" s="280" t="str">
        <f t="shared" si="29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2"/>
        <v>N/D</v>
      </c>
      <c r="BK41" s="280" t="str">
        <f t="shared" si="28"/>
        <v>N/D</v>
      </c>
      <c r="BL41" s="280" t="str">
        <f t="shared" si="29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2"/>
        <v>N/D</v>
      </c>
      <c r="BK42" s="280" t="str">
        <f t="shared" si="28"/>
        <v>N/D</v>
      </c>
      <c r="BL42" s="280" t="str">
        <f t="shared" si="29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2"/>
        <v>N/D</v>
      </c>
      <c r="BK43" s="280" t="str">
        <f t="shared" si="28"/>
        <v>N/D</v>
      </c>
      <c r="BL43" s="280" t="str">
        <f t="shared" si="29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2"/>
        <v>N/D</v>
      </c>
      <c r="BK44" s="280" t="str">
        <f t="shared" si="28"/>
        <v>N/D</v>
      </c>
      <c r="BL44" s="280" t="str">
        <f t="shared" si="29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2"/>
        <v>N/D</v>
      </c>
      <c r="BK45" s="280" t="str">
        <f t="shared" si="28"/>
        <v>N/D</v>
      </c>
      <c r="BL45" s="280" t="str">
        <f t="shared" si="29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2"/>
        <v>N/D</v>
      </c>
      <c r="BK46" s="280" t="str">
        <f t="shared" si="28"/>
        <v>N/D</v>
      </c>
      <c r="BL46" s="280" t="str">
        <f t="shared" si="29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30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2"/>
        <v>N/D</v>
      </c>
      <c r="BK47" s="280" t="str">
        <f t="shared" si="28"/>
        <v>N/D</v>
      </c>
      <c r="BL47" s="280" t="str">
        <f t="shared" si="29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30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2"/>
        <v>N/D</v>
      </c>
      <c r="BK48" s="280" t="str">
        <f t="shared" si="28"/>
        <v>N/D</v>
      </c>
      <c r="BL48" s="280" t="str">
        <f t="shared" si="29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</v>
      </c>
      <c r="AG49" s="203"/>
      <c r="AH49" s="204">
        <f>SUM(AH29:AH48)</f>
        <v>8</v>
      </c>
      <c r="AI49" s="204">
        <f>SUM(AI29:AI48)</f>
        <v>0</v>
      </c>
      <c r="AJ49" s="205"/>
      <c r="AK49" s="205"/>
      <c r="AL49" s="206"/>
      <c r="AM49" s="207">
        <f>SUM(AM29:AM48)</f>
        <v>0.64524000000000004</v>
      </c>
      <c r="AN49" s="208">
        <f>SUM(AN29:AN48)</f>
        <v>2.5809600000000001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46107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46107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43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46114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2.5809600000000001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2.5809600000000001</v>
      </c>
      <c r="AH8" s="538"/>
      <c r="AI8" s="533">
        <f>+'Diseño 1"'!AM49</f>
        <v>0.64524000000000004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>VEX</v>
      </c>
      <c r="E12" s="694"/>
      <c r="F12" s="247" t="str">
        <f>IF('Diseño 1"'!C29=0,"",'Diseño 1"'!C29)</f>
        <v/>
      </c>
      <c r="G12" s="693" t="str">
        <f>IF('Diseño 1"'!D29="","",'Diseño 1"'!D29)</f>
        <v>Piso 2</v>
      </c>
      <c r="H12" s="694"/>
      <c r="I12" s="693" t="str">
        <f>IF('Diseño 1"'!F29="","",'Diseño 1"'!F29)</f>
        <v>Transformación</v>
      </c>
      <c r="J12" s="694"/>
      <c r="K12" s="248">
        <f>IF(I12="","",'Diseño 1"'!I29)</f>
        <v>1</v>
      </c>
      <c r="L12" s="242">
        <f>IF('Diseño 1"'!J29="","",'Diseño 1"'!J29)</f>
        <v>30</v>
      </c>
      <c r="M12" s="242">
        <f>IF('Diseño 1"'!K29="","",'Diseño 1"'!K29)</f>
        <v>20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>
        <f>IF('Diseño 1"'!Q29="","",'Diseño 1"'!Q29)</f>
        <v>25</v>
      </c>
      <c r="S12" s="242">
        <f>IF('Diseño 1"'!R29="","",'Diseño 1"'!R29)</f>
        <v>25</v>
      </c>
      <c r="T12" s="242">
        <f>IF('Diseño 1"'!S29="","",'Diseño 1"'!S29)</f>
        <v>0.45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TDF</v>
      </c>
      <c r="Z12" s="688"/>
      <c r="AA12" s="687" t="str">
        <f>IF('Diseño 1"'!AC29="","",'Diseño 1"'!AC29)</f>
        <v>TDF</v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2.5809600000000001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/>
      </c>
      <c r="J13" s="651"/>
      <c r="K13" s="20" t="str">
        <f>IF(I13="","",'Diseño 1"'!I30)</f>
        <v/>
      </c>
      <c r="L13" s="17" t="str">
        <f>IF('Diseño 1"'!J30="","",'Diseño 1"'!J30)</f>
        <v/>
      </c>
      <c r="M13" s="17" t="str">
        <f>IF('Diseño 1"'!K30="","",'Diseño 1"'!K30)</f>
        <v/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 t="str">
        <f>IF('Diseño 1"'!S30="","",'Diseño 1"'!S30)</f>
        <v/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/>
      </c>
      <c r="Z13" s="650"/>
      <c r="AA13" s="649" t="str">
        <f>IF('Diseño 1"'!AC30="","",'Diseño 1"'!AC30)</f>
        <v/>
      </c>
      <c r="AB13" s="650"/>
      <c r="AC13" s="23" t="str">
        <f>IF('Diseño 1"'!AE30=TRUE,0.5,"")</f>
        <v/>
      </c>
      <c r="AD13" s="92" t="str">
        <f>IF('Diseño 1"'!AF30="","",'Diseño 1"'!AF30)</f>
        <v/>
      </c>
      <c r="AE13" s="24" t="str">
        <f>'Diseño 1"'!AJ30</f>
        <v/>
      </c>
      <c r="AF13" s="93">
        <f>'Diseño 1"'!AK30</f>
        <v>0</v>
      </c>
      <c r="AG13" s="243" t="str">
        <f>IF('Diseño 1"'!AN30="","",'Diseño 1"'!AN30)</f>
        <v/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/>
      </c>
      <c r="J14" s="651"/>
      <c r="K14" s="20" t="str">
        <f>IF(I14="","",'Diseño 1"'!I31)</f>
        <v/>
      </c>
      <c r="L14" s="17" t="str">
        <f>IF('Diseño 1"'!J31="","",'Diseño 1"'!J31)</f>
        <v/>
      </c>
      <c r="M14" s="17" t="str">
        <f>IF('Diseño 1"'!K31="","",'Diseño 1"'!K31)</f>
        <v/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/>
      </c>
      <c r="Z14" s="650"/>
      <c r="AA14" s="649" t="str">
        <f>IF('Diseño 1"'!AC31="","",'Diseño 1"'!AC31)</f>
        <v/>
      </c>
      <c r="AB14" s="650"/>
      <c r="AC14" s="23" t="str">
        <f>IF('Diseño 1"'!AE32=TRUE,0.5,"")</f>
        <v/>
      </c>
      <c r="AD14" s="92" t="str">
        <f>IF('Diseño 1"'!AF32="","",'Diseño 1"'!AF32)</f>
        <v/>
      </c>
      <c r="AE14" s="24" t="str">
        <f>'Diseño 1"'!AJ31</f>
        <v/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/>
      </c>
      <c r="J15" s="651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/>
      </c>
      <c r="Z15" s="650"/>
      <c r="AA15" s="649" t="str">
        <f>IF('Diseño 1"'!AC32="","",'Diseño 1"'!AC32)</f>
        <v/>
      </c>
      <c r="AB15" s="650"/>
      <c r="AE15" s="24" t="str">
        <f>'Diseño 1"'!AJ32</f>
        <v/>
      </c>
      <c r="AF15" s="93">
        <f>'Diseño 1"'!AK32</f>
        <v>0</v>
      </c>
      <c r="AG15" s="243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/>
      </c>
      <c r="J16" s="651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/>
      </c>
      <c r="Z16" s="650"/>
      <c r="AA16" s="649" t="str">
        <f>IF('Diseño 1"'!AC33="","",'Diseño 1"'!AC33)</f>
        <v/>
      </c>
      <c r="AB16" s="650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/>
      </c>
      <c r="J17" s="651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/>
      </c>
      <c r="Z17" s="650"/>
      <c r="AA17" s="649" t="str">
        <f>IF('Diseño 1"'!AC34="","",'Diseño 1"'!AC34)</f>
        <v/>
      </c>
      <c r="AB17" s="650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/>
      </c>
      <c r="J18" s="651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/>
      </c>
      <c r="Z18" s="650"/>
      <c r="AA18" s="649" t="str">
        <f>IF('Diseño 1"'!AC35="","",'Diseño 1"'!AC35)</f>
        <v/>
      </c>
      <c r="AB18" s="650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/>
      </c>
      <c r="J19" s="651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/>
      </c>
      <c r="Z19" s="650"/>
      <c r="AA19" s="649" t="str">
        <f>IF('Diseño 1"'!AC36="","",'Diseño 1"'!AC36)</f>
        <v/>
      </c>
      <c r="AB19" s="650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/>
      </c>
      <c r="J20" s="651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/>
      </c>
      <c r="Z20" s="650"/>
      <c r="AA20" s="649" t="str">
        <f>IF('Diseño 1"'!AC37="","",'Diseño 1"'!AC37)</f>
        <v/>
      </c>
      <c r="AB20" s="650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/>
      </c>
      <c r="J21" s="651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/>
      </c>
      <c r="Z21" s="650"/>
      <c r="AA21" s="649" t="str">
        <f>IF('Diseño 1"'!AC38="","",'Diseño 1"'!AC38)</f>
        <v/>
      </c>
      <c r="AB21" s="650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/>
      </c>
      <c r="J22" s="651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/>
      </c>
      <c r="Z22" s="650"/>
      <c r="AA22" s="649" t="str">
        <f>IF('Diseño 1"'!AC39="","",'Diseño 1"'!AC39)</f>
        <v/>
      </c>
      <c r="AB22" s="650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2.5809600000000001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2.5809600000000001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2026-03-27T11:25:38Z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