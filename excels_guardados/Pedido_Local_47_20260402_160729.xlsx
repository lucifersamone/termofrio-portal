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9" documentId="13_ncr:1_{D1E80150-5B79-435B-BAAB-E050DC6414C4}" xr6:coauthVersionLast="47" xr6:coauthVersionMax="47" xr10:uidLastSave="{E23056D1-2BA5-4889-9334-25CD0E7829FF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<sst xmlns="http://schemas.openxmlformats.org/spreadsheetml/2006/main" count="1780" uniqueCount="247">
  <si>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</si>
  <si>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</si>
  <si>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</si>
  <si>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</si>
  <si>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</si>
  <si>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</si>
  <si>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</si>
  <si>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</si>
  <si>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</si>
  <si>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</si>
  <si>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</si>
  <si>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</si>
  <si>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</si>
  <si>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</si>
  <si>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</si>
  <si>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</si>
  <si>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</si>
  <si>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</si>
  <si>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</si>
  <si>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</si>
  <si>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</si>
  <si>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</si>
  <si>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</si>
  <si>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</si>
  <si>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</si>
  <si>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</si>
  <si>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</si>
  <si>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</si>
  <si>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</si>
  <si>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</si>
  <si>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</si>
  <si>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</si>
  <si>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</si>
  <si>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</si>
  <si>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</si>
  <si>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</si>
  <si>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</si>
  <si>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</si>
  <si>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</si>
  <si>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</si>
  <si>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</si>
  <si>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</si>
  <si>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</si>
  <si>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</si>
  <si>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</si>
  <si>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</si>
  <si>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</si>
  <si>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</si>
  <si>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</si>
  <si>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</si>
  <si>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</si>
  <si>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</si>
  <si>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</si>
  <si>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</si>
  <si>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</si>
  <si>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</si>
  <si>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</si>
  <si>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</si>
  <si>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</si>
  <si>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</si>
  <si>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</si>
  <si>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</si>
  <si>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</si>
  <si>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</si>
  <si>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</si>
  <si>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</si>
  <si>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</si>
  <si>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</si>
  <si>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</si>
  <si>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</si>
  <si>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</si>
  <si>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</si>
  <si>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</si>
  <si>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</si>
  <si>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</si>
  <si>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</si>
  <si>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</si>
  <si>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</si>
  <si>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</si>
  <si>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</si>
  <si>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</si>
  <si>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</si>
  <si>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</si>
  <si>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</si>
  <si>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</si>
  <si>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</si>
  <si>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</si>
  <si>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</si>
  <si>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</si>
  <si>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</si>
  <si>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</si>
  <si>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</si>
  <si>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</si>
  <si>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</si>
  <si>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</si>
  <si>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</si>
  <si>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</si>
  <si>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</si>
  <si>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</si>
  <si>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</si>
  <si>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</si>
  <si>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</si>
  <si>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</si>
  <si>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</si>
  <si>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</si>
  <si>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</si>
  <si>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</si>
  <si>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</si>
  <si>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</si>
  <si>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</si>
  <si>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</si>
  <si>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</si>
  <si>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</si>
  <si>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</si>
  <si>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</si>
  <si>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</si>
  <si>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</si>
  <si>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</si>
  <si>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</si>
  <si>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</si>
  <si>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</si>
  <si>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</si>
  <si>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</si>
  <si>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</si>
  <si>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</si>
  <si>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</si>
  <si>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</si>
  <si>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</si>
  <si>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</si>
  <si>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</si>
  <si>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</si>
  <si>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</si>
  <si>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</si>
  <si>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</si>
  <si>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</si>
  <si>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</si>
  <si>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</si>
  <si>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</si>
  <si>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</si>
  <si>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</si>
  <si>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</si>
  <si>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</si>
  <si>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</si>
  <si>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</si>
  <si>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</si>
  <si>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</si>
  <si>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</si>
  <si>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</si>
  <si>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</si>
  <si>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</si>
  <si>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</si>
  <si>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</si>
  <si>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</si>
  <si>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</si>
  <si>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</si>
  <si>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</si>
  <si>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</si>
  <si>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</si>
  <si>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</si>
  <si>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</si>
  <si>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</si>
  <si>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</si>
  <si>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</si>
  <si>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</si>
  <si>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</si>
  <si>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</si>
  <si>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</si>
  <si>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</si>
  <si>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</si>
  <si>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</si>
  <si>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</si>
  <si>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</si>
  <si>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</si>
  <si>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</si>
  <si>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</si>
  <si>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</si>
  <si>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</si>
  <si>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</si>
  <si>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</si>
  <si>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</si>
  <si>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</si>
  <si>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</si>
  <si>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</si>
  <si>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</si>
  <si>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</si>
  <si>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</si>
  <si>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</si>
  <si>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</si>
  <si>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</si>
  <si>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</si>
  <si>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</si>
  <si>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</si>
  <si>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</si>
  <si>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</si>
  <si>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</si>
  <si>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</si>
  <si>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</si>
  <si>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</si>
  <si>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</si>
  <si>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</si>
  <si>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</si>
  <si>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</si>
  <si>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</si>
  <si>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</si>
  <si>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</si>
  <si>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</si>
  <si>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</si>
  <si>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</si>
  <si>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</si>
  <si>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</si>
  <si>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</si>
  <si>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</si>
  <si>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</si>
  <si>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</si>
  <si>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</si>
  <si>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</si>
  <si>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</si>
  <si>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</si>
  <si>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</si>
  <si>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</si>
  <si>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</si>
  <si>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</si>
  <si>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</si>
  <si>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</si>
  <si>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</si>
  <si>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</si>
  <si>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</si>
  <si>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</si>
  <si>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</si>
  <si>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</si>
  <si>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</si>
  <si>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</si>
  <si>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</si>
  <si>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</si>
  <si>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</si>
  <si>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</si>
  <si>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</si>
  <si>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</si>
  <si>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</si>
  <si>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</si>
  <si>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</si>
  <si>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</si>
  <si>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</si>
  <si>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</si>
  <si>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2.4</t>
  </si>
  <si>
    <t>Piso 2 Inyeccion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</si>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</sst>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zoomScaleNormal="100" workbookViewId="0">
      <selection activeCell="K14" sqref="K14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46113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47</v>
      </c>
      <c r="E7" s="139"/>
      <c r="F7" s="139"/>
      <c r="G7" s="126"/>
      <c r="H7" s="620" t="s">
        <v>239</v>
      </c>
      <c r="I7" s="594"/>
      <c r="J7" s="621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16.538427949818633</v>
      </c>
      <c r="P12" s="296">
        <f t="shared" si="0"/>
        <v>66.153711799274532</v>
      </c>
      <c r="Q12" s="597" t="s">
        <v>23</v>
      </c>
      <c r="R12" s="598"/>
      <c r="S12" s="284">
        <f>ROUNDUP(AI49/6,0)</f>
        <v>14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28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5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40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16.538427949818633</v>
      </c>
      <c r="P17" s="306">
        <f t="shared" si="1"/>
        <v>66.153711799274532</v>
      </c>
      <c r="Q17" s="597" t="s">
        <v>40</v>
      </c>
      <c r="R17" s="598"/>
      <c r="S17" s="284">
        <f>ROUNDUP(AI49/6,0)</f>
        <v>14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54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27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140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9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 t="s">
        <v>180</v>
      </c>
      <c r="C29" s="192" t="s">
        <v>244</v>
      </c>
      <c r="D29" s="592" t="s">
        <v>245</v>
      </c>
      <c r="E29" s="608"/>
      <c r="F29" s="607" t="s">
        <v>98</v>
      </c>
      <c r="G29" s="594"/>
      <c r="H29" s="593"/>
      <c r="I29" s="192">
        <v>1</v>
      </c>
      <c r="J29" s="192">
        <v>40</v>
      </c>
      <c r="K29" s="192">
        <v>30</v>
      </c>
      <c r="L29" s="192"/>
      <c r="M29" s="192"/>
      <c r="N29" s="592"/>
      <c r="O29" s="594"/>
      <c r="P29" s="593"/>
      <c r="Q29" s="192"/>
      <c r="R29" s="192"/>
      <c r="S29" s="192">
        <v>0.21</v>
      </c>
      <c r="T29" s="192"/>
      <c r="U29" s="192"/>
      <c r="V29" s="193"/>
      <c r="W29" s="194"/>
      <c r="X29" s="192"/>
      <c r="Y29" s="192"/>
      <c r="Z29" s="195"/>
      <c r="AA29" s="592" t="s">
        <v>136</v>
      </c>
      <c r="AB29" s="593"/>
      <c r="AC29" s="592" t="s">
        <v>136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8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0.47288999999999998</v>
      </c>
      <c r="AN29" s="290">
        <f t="shared" ref="AN29:AN48" si="8">IF(ISERROR(AM29*(IF(AJ29=1,8,IF(AJ29=0.8,6.4,IF(AJ29=0.6,4.8,IF(AJ29=0.5,4)))))),"",AM29*(IF(AJ29=1,8,IF(AJ29=0.8,6.4,IF(AJ29=0.6,4.8,IF(AJ29=0.5,4))))))</f>
        <v>1.8915599999999999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0.47288999999999998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608"/>
      <c r="F30" s="607" t="s">
        <v>88</v>
      </c>
      <c r="G30" s="594"/>
      <c r="H30" s="593"/>
      <c r="I30" s="192">
        <v>1</v>
      </c>
      <c r="J30" s="192">
        <v>20</v>
      </c>
      <c r="K30" s="192">
        <v>30</v>
      </c>
      <c r="L30" s="192"/>
      <c r="M30" s="192"/>
      <c r="N30" s="592"/>
      <c r="O30" s="594"/>
      <c r="P30" s="593"/>
      <c r="Q30" s="192">
        <v>25</v>
      </c>
      <c r="R30" s="192">
        <v>30</v>
      </c>
      <c r="S30" s="192"/>
      <c r="T30" s="192"/>
      <c r="U30" s="192"/>
      <c r="V30" s="193"/>
      <c r="W30" s="194"/>
      <c r="X30" s="192"/>
      <c r="Y30" s="192"/>
      <c r="Z30" s="195"/>
      <c r="AA30" s="592" t="s">
        <v>136</v>
      </c>
      <c r="AB30" s="593"/>
      <c r="AC30" s="592" t="s">
        <v>136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8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0.50391527847988726</v>
      </c>
      <c r="AN30" s="290">
        <f t="shared" si="8"/>
        <v>2.0156611139195491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>
        <f t="shared" si="13"/>
        <v>0.50391527847988726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2"/>
      <c r="E31" s="608"/>
      <c r="F31" s="607" t="s">
        <v>88</v>
      </c>
      <c r="G31" s="594"/>
      <c r="H31" s="593"/>
      <c r="I31" s="192">
        <v>1</v>
      </c>
      <c r="J31" s="192">
        <v>20</v>
      </c>
      <c r="K31" s="192">
        <v>30</v>
      </c>
      <c r="L31" s="192"/>
      <c r="M31" s="192"/>
      <c r="N31" s="592"/>
      <c r="O31" s="594"/>
      <c r="P31" s="593"/>
      <c r="Q31" s="192">
        <v>30</v>
      </c>
      <c r="R31" s="192">
        <v>30</v>
      </c>
      <c r="S31" s="192"/>
      <c r="T31" s="192"/>
      <c r="U31" s="192"/>
      <c r="V31" s="193"/>
      <c r="W31" s="194"/>
      <c r="X31" s="192"/>
      <c r="Y31" s="192"/>
      <c r="Z31" s="228"/>
      <c r="AA31" s="592" t="s">
        <v>136</v>
      </c>
      <c r="AB31" s="593"/>
      <c r="AC31" s="592" t="s">
        <v>136</v>
      </c>
      <c r="AD31" s="593"/>
      <c r="AE31" s="197"/>
      <c r="AF31" s="284">
        <f t="shared" si="2"/>
        <v>1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0.50391527847988726</v>
      </c>
      <c r="AN31" s="290">
        <f t="shared" ref="AN31:AN46" si="37">IF(ISERROR(AM31*(IF(AJ31=1,8,IF(AJ31=0.8,6.4,IF(AJ31=0.6,4.8,IF(AJ31=0.5,4)))))),"",AM31*(IF(AJ31=1,8,IF(AJ31=0.8,6.4,IF(AJ31=0.6,4.8,IF(AJ31=0.5,4))))))</f>
        <v>2.0156611139195491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>
        <f t="shared" si="13"/>
        <v>0.50391527847988726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608"/>
      <c r="F32" s="607" t="s">
        <v>99</v>
      </c>
      <c r="G32" s="594"/>
      <c r="H32" s="593"/>
      <c r="I32" s="192">
        <v>2</v>
      </c>
      <c r="J32" s="192">
        <v>25</v>
      </c>
      <c r="K32" s="192">
        <v>39</v>
      </c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 t="s">
        <v>136</v>
      </c>
      <c r="AB32" s="593"/>
      <c r="AC32" s="592" t="s">
        <v>136</v>
      </c>
      <c r="AD32" s="593"/>
      <c r="AE32" s="197"/>
      <c r="AF32" s="284">
        <f t="shared" si="2"/>
        <v>2</v>
      </c>
      <c r="AG32" s="285">
        <f t="shared" si="3"/>
        <v>0</v>
      </c>
      <c r="AH32" s="285">
        <f t="shared" si="4"/>
        <v>8</v>
      </c>
      <c r="AI32" s="286">
        <f t="shared" si="5"/>
        <v>0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1.3680154878335591</v>
      </c>
      <c r="AN32" s="290">
        <f t="shared" si="37"/>
        <v>5.4720619513342363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>
        <f t="shared" si="24"/>
        <v>1.3680154878335591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608"/>
      <c r="F33" s="607" t="s">
        <v>98</v>
      </c>
      <c r="G33" s="594"/>
      <c r="H33" s="593"/>
      <c r="I33" s="192">
        <v>1</v>
      </c>
      <c r="J33" s="192">
        <v>30</v>
      </c>
      <c r="K33" s="192">
        <v>25</v>
      </c>
      <c r="L33" s="192"/>
      <c r="M33" s="192"/>
      <c r="N33" s="592"/>
      <c r="O33" s="594"/>
      <c r="P33" s="593"/>
      <c r="Q33" s="192"/>
      <c r="R33" s="192"/>
      <c r="S33" s="192">
        <v>0.46</v>
      </c>
      <c r="T33" s="192"/>
      <c r="U33" s="192"/>
      <c r="V33" s="193"/>
      <c r="W33" s="194"/>
      <c r="X33" s="192"/>
      <c r="Y33" s="192"/>
      <c r="Z33" s="195"/>
      <c r="AA33" s="592" t="s">
        <v>136</v>
      </c>
      <c r="AB33" s="593"/>
      <c r="AC33" s="592" t="s">
        <v>136</v>
      </c>
      <c r="AD33" s="593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8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0.65713999999999995</v>
      </c>
      <c r="AN33" s="290">
        <f t="shared" si="37"/>
        <v>2.6285599999999998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>
        <f t="shared" si="23"/>
        <v>0.65713999999999995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 t="s">
        <v>98</v>
      </c>
      <c r="G34" s="594"/>
      <c r="H34" s="593"/>
      <c r="I34" s="192">
        <v>1</v>
      </c>
      <c r="J34" s="192">
        <v>30</v>
      </c>
      <c r="K34" s="192">
        <v>25</v>
      </c>
      <c r="L34" s="192"/>
      <c r="M34" s="192"/>
      <c r="N34" s="592"/>
      <c r="O34" s="594"/>
      <c r="P34" s="593"/>
      <c r="Q34" s="192"/>
      <c r="R34" s="192"/>
      <c r="S34" s="192">
        <v>0.76</v>
      </c>
      <c r="T34" s="192"/>
      <c r="U34" s="192"/>
      <c r="V34" s="193"/>
      <c r="W34" s="194"/>
      <c r="X34" s="192"/>
      <c r="Y34" s="192"/>
      <c r="Z34" s="195"/>
      <c r="AA34" s="592" t="s">
        <v>136</v>
      </c>
      <c r="AB34" s="593"/>
      <c r="AC34" s="592" t="s">
        <v>136</v>
      </c>
      <c r="AD34" s="593"/>
      <c r="AE34" s="197"/>
      <c r="AF34" s="284">
        <f t="shared" si="2"/>
        <v>1</v>
      </c>
      <c r="AG34" s="285">
        <f t="shared" si="3"/>
        <v>0</v>
      </c>
      <c r="AH34" s="285">
        <f t="shared" si="4"/>
        <v>0</v>
      </c>
      <c r="AI34" s="286">
        <f t="shared" si="5"/>
        <v>8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0.99703999999999993</v>
      </c>
      <c r="AN34" s="290">
        <f t="shared" si="37"/>
        <v>3.9881599999999997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>
        <f t="shared" si="23"/>
        <v>0.99703999999999993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 t="s">
        <v>98</v>
      </c>
      <c r="G35" s="594"/>
      <c r="H35" s="593"/>
      <c r="I35" s="192">
        <v>2</v>
      </c>
      <c r="J35" s="192">
        <v>30</v>
      </c>
      <c r="K35" s="192">
        <v>25</v>
      </c>
      <c r="L35" s="192"/>
      <c r="M35" s="192"/>
      <c r="N35" s="592"/>
      <c r="O35" s="594"/>
      <c r="P35" s="593"/>
      <c r="Q35" s="192"/>
      <c r="R35" s="192"/>
      <c r="S35" s="192">
        <v>0.9</v>
      </c>
      <c r="T35" s="192"/>
      <c r="U35" s="192"/>
      <c r="V35" s="193"/>
      <c r="W35" s="194"/>
      <c r="X35" s="192"/>
      <c r="Y35" s="192"/>
      <c r="Z35" s="195"/>
      <c r="AA35" s="592" t="s">
        <v>136</v>
      </c>
      <c r="AB35" s="593"/>
      <c r="AC35" s="592" t="s">
        <v>136</v>
      </c>
      <c r="AD35" s="593"/>
      <c r="AE35" s="197" t="s">
        <v>246</v>
      </c>
      <c r="AF35" s="284">
        <f t="shared" si="2"/>
        <v>2</v>
      </c>
      <c r="AG35" s="285">
        <f t="shared" si="3"/>
        <v>0</v>
      </c>
      <c r="AH35" s="285">
        <f t="shared" si="4"/>
        <v>0</v>
      </c>
      <c r="AI35" s="286">
        <f t="shared" si="5"/>
        <v>8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2.3113200000000003</v>
      </c>
      <c r="AN35" s="290">
        <f t="shared" si="37"/>
        <v>9.2452800000000011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>
        <f t="shared" si="23"/>
        <v>2.3113200000000003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 t="s">
        <v>104</v>
      </c>
      <c r="G36" s="594"/>
      <c r="H36" s="593"/>
      <c r="I36" s="192">
        <v>1</v>
      </c>
      <c r="J36" s="192">
        <v>25</v>
      </c>
      <c r="K36" s="192">
        <v>30</v>
      </c>
      <c r="L36" s="192"/>
      <c r="M36" s="192"/>
      <c r="N36" s="592" t="s">
        <v>159</v>
      </c>
      <c r="O36" s="594"/>
      <c r="P36" s="593"/>
      <c r="Q36" s="192">
        <v>25</v>
      </c>
      <c r="R36" s="192">
        <v>25</v>
      </c>
      <c r="S36" s="192">
        <v>0.55000000000000004</v>
      </c>
      <c r="T36" s="192"/>
      <c r="U36" s="192"/>
      <c r="V36" s="193"/>
      <c r="W36" s="194"/>
      <c r="X36" s="192"/>
      <c r="Y36" s="192"/>
      <c r="Z36" s="195"/>
      <c r="AA36" s="592" t="s">
        <v>136</v>
      </c>
      <c r="AB36" s="593"/>
      <c r="AC36" s="592" t="s">
        <v>136</v>
      </c>
      <c r="AD36" s="593"/>
      <c r="AE36" s="197"/>
      <c r="AF36" s="284">
        <f t="shared" si="2"/>
        <v>1</v>
      </c>
      <c r="AG36" s="285">
        <f t="shared" si="3"/>
        <v>0</v>
      </c>
      <c r="AH36" s="285">
        <f t="shared" si="4"/>
        <v>8</v>
      </c>
      <c r="AI36" s="286">
        <f t="shared" si="5"/>
        <v>0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0.79194000000000009</v>
      </c>
      <c r="AN36" s="290">
        <f t="shared" si="37"/>
        <v>3.1677600000000004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>
        <f t="shared" si="32"/>
        <v>0.79194000000000009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 t="s">
        <v>103</v>
      </c>
      <c r="G37" s="594"/>
      <c r="H37" s="593"/>
      <c r="I37" s="192">
        <v>1</v>
      </c>
      <c r="J37" s="192">
        <v>25</v>
      </c>
      <c r="K37" s="192">
        <v>25</v>
      </c>
      <c r="L37" s="192"/>
      <c r="M37" s="192"/>
      <c r="N37" s="592"/>
      <c r="O37" s="594"/>
      <c r="P37" s="593"/>
      <c r="Q37" s="192"/>
      <c r="R37" s="192"/>
      <c r="S37" s="192">
        <v>0.3</v>
      </c>
      <c r="T37" s="192">
        <v>20</v>
      </c>
      <c r="U37" s="192"/>
      <c r="V37" s="193"/>
      <c r="W37" s="194"/>
      <c r="X37" s="192"/>
      <c r="Y37" s="192"/>
      <c r="Z37" s="195"/>
      <c r="AA37" s="592" t="s">
        <v>136</v>
      </c>
      <c r="AB37" s="593"/>
      <c r="AC37" s="592" t="s">
        <v>133</v>
      </c>
      <c r="AD37" s="593"/>
      <c r="AE37" s="197"/>
      <c r="AF37" s="284">
        <f t="shared" si="2"/>
        <v>1</v>
      </c>
      <c r="AG37" s="285">
        <f t="shared" si="3"/>
        <v>0</v>
      </c>
      <c r="AH37" s="285">
        <f t="shared" si="4"/>
        <v>4</v>
      </c>
      <c r="AI37" s="286">
        <f t="shared" si="5"/>
        <v>0</v>
      </c>
      <c r="AJ37" s="287">
        <f t="shared" si="36"/>
        <v>0.5</v>
      </c>
      <c r="AK37" s="288"/>
      <c r="AL37" s="289">
        <f t="shared" si="6"/>
        <v>0.5</v>
      </c>
      <c r="AM37" s="290">
        <f t="shared" si="7"/>
        <v>0.32160376628593101</v>
      </c>
      <c r="AN37" s="290">
        <f t="shared" si="37"/>
        <v>1.2864150651437241</v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>
        <f t="shared" si="31"/>
        <v>0.32160376628593101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 t="s">
        <v>108</v>
      </c>
      <c r="G38" s="594"/>
      <c r="H38" s="593"/>
      <c r="I38" s="192">
        <v>1</v>
      </c>
      <c r="J38" s="192">
        <v>25</v>
      </c>
      <c r="K38" s="192">
        <v>25</v>
      </c>
      <c r="L38" s="192"/>
      <c r="M38" s="192"/>
      <c r="N38" s="592"/>
      <c r="O38" s="594"/>
      <c r="P38" s="593"/>
      <c r="Q38" s="192"/>
      <c r="R38" s="192"/>
      <c r="S38" s="192">
        <v>0.2</v>
      </c>
      <c r="T38" s="192"/>
      <c r="U38" s="192"/>
      <c r="V38" s="193"/>
      <c r="W38" s="194"/>
      <c r="X38" s="192"/>
      <c r="Y38" s="192"/>
      <c r="Z38" s="195"/>
      <c r="AA38" s="592" t="s">
        <v>151</v>
      </c>
      <c r="AB38" s="593"/>
      <c r="AC38" s="592" t="s">
        <v>136</v>
      </c>
      <c r="AD38" s="593"/>
      <c r="AE38" s="197"/>
      <c r="AF38" s="284">
        <f t="shared" si="2"/>
        <v>1</v>
      </c>
      <c r="AG38" s="285">
        <f t="shared" si="3"/>
        <v>0</v>
      </c>
      <c r="AH38" s="285">
        <f t="shared" si="4"/>
        <v>4</v>
      </c>
      <c r="AI38" s="286">
        <f t="shared" si="5"/>
        <v>0</v>
      </c>
      <c r="AJ38" s="287">
        <f t="shared" si="36"/>
        <v>0.5</v>
      </c>
      <c r="AK38" s="288"/>
      <c r="AL38" s="289">
        <f t="shared" si="6"/>
        <v>0.5</v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 t="s">
        <v>98</v>
      </c>
      <c r="G39" s="594"/>
      <c r="H39" s="593"/>
      <c r="I39" s="192">
        <v>2</v>
      </c>
      <c r="J39" s="192">
        <v>25</v>
      </c>
      <c r="K39" s="192">
        <v>25</v>
      </c>
      <c r="L39" s="192"/>
      <c r="M39" s="192"/>
      <c r="N39" s="592"/>
      <c r="O39" s="594"/>
      <c r="P39" s="593"/>
      <c r="Q39" s="192"/>
      <c r="R39" s="192"/>
      <c r="S39" s="192">
        <v>0.9</v>
      </c>
      <c r="T39" s="192"/>
      <c r="U39" s="192"/>
      <c r="V39" s="193"/>
      <c r="W39" s="194"/>
      <c r="X39" s="192"/>
      <c r="Y39" s="192"/>
      <c r="Z39" s="195"/>
      <c r="AA39" s="592" t="s">
        <v>136</v>
      </c>
      <c r="AB39" s="593"/>
      <c r="AC39" s="592" t="s">
        <v>136</v>
      </c>
      <c r="AD39" s="593"/>
      <c r="AE39" s="197"/>
      <c r="AF39" s="284">
        <f t="shared" si="2"/>
        <v>2</v>
      </c>
      <c r="AG39" s="285">
        <f t="shared" si="3"/>
        <v>0</v>
      </c>
      <c r="AH39" s="285">
        <f t="shared" si="4"/>
        <v>0</v>
      </c>
      <c r="AI39" s="286">
        <f t="shared" si="5"/>
        <v>8</v>
      </c>
      <c r="AJ39" s="287">
        <f t="shared" si="36"/>
        <v>0.5</v>
      </c>
      <c r="AK39" s="288"/>
      <c r="AL39" s="289">
        <f t="shared" si="6"/>
        <v>0.5</v>
      </c>
      <c r="AM39" s="290">
        <f t="shared" si="7"/>
        <v>2.1073200000000001</v>
      </c>
      <c r="AN39" s="290">
        <f t="shared" si="37"/>
        <v>8.4292800000000003</v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>
        <f t="shared" si="23"/>
        <v>2.1073200000000001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 t="s">
        <v>87</v>
      </c>
      <c r="G40" s="594"/>
      <c r="H40" s="593"/>
      <c r="I40" s="192">
        <v>1</v>
      </c>
      <c r="J40" s="192">
        <v>25</v>
      </c>
      <c r="K40" s="192">
        <v>25</v>
      </c>
      <c r="L40" s="192"/>
      <c r="M40" s="192"/>
      <c r="N40" s="592"/>
      <c r="O40" s="594"/>
      <c r="P40" s="593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2" t="s">
        <v>136</v>
      </c>
      <c r="AB40" s="593"/>
      <c r="AC40" s="592" t="s">
        <v>136</v>
      </c>
      <c r="AD40" s="593"/>
      <c r="AE40" s="197"/>
      <c r="AF40" s="284">
        <f t="shared" si="2"/>
        <v>1</v>
      </c>
      <c r="AG40" s="285">
        <f t="shared" si="3"/>
        <v>0</v>
      </c>
      <c r="AH40" s="285">
        <f t="shared" si="4"/>
        <v>8</v>
      </c>
      <c r="AI40" s="286">
        <f t="shared" si="5"/>
        <v>0</v>
      </c>
      <c r="AJ40" s="287">
        <f t="shared" si="36"/>
        <v>0.5</v>
      </c>
      <c r="AK40" s="288"/>
      <c r="AL40" s="289">
        <f t="shared" si="6"/>
        <v>0.5</v>
      </c>
      <c r="AM40" s="290">
        <f t="shared" si="7"/>
        <v>0.54836881452818287</v>
      </c>
      <c r="AN40" s="290">
        <f t="shared" si="37"/>
        <v>2.1934752581127315</v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>
        <f t="shared" si="12"/>
        <v>0.54836881452818287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 t="s">
        <v>98</v>
      </c>
      <c r="G41" s="594"/>
      <c r="H41" s="593"/>
      <c r="I41" s="192">
        <v>1</v>
      </c>
      <c r="J41" s="192">
        <v>25</v>
      </c>
      <c r="K41" s="192">
        <v>25</v>
      </c>
      <c r="L41" s="192"/>
      <c r="M41" s="192"/>
      <c r="N41" s="592"/>
      <c r="O41" s="594"/>
      <c r="P41" s="593"/>
      <c r="Q41" s="192"/>
      <c r="R41" s="192"/>
      <c r="S41" s="192">
        <v>0.9</v>
      </c>
      <c r="T41" s="192"/>
      <c r="U41" s="192"/>
      <c r="V41" s="193"/>
      <c r="W41" s="194"/>
      <c r="X41" s="192"/>
      <c r="Y41" s="192"/>
      <c r="Z41" s="195"/>
      <c r="AA41" s="592" t="s">
        <v>136</v>
      </c>
      <c r="AB41" s="593"/>
      <c r="AC41" s="592" t="s">
        <v>136</v>
      </c>
      <c r="AD41" s="593"/>
      <c r="AE41" s="197"/>
      <c r="AF41" s="284">
        <f t="shared" si="2"/>
        <v>1</v>
      </c>
      <c r="AG41" s="285">
        <f t="shared" si="3"/>
        <v>0</v>
      </c>
      <c r="AH41" s="285">
        <f t="shared" si="4"/>
        <v>0</v>
      </c>
      <c r="AI41" s="286">
        <f t="shared" si="5"/>
        <v>8</v>
      </c>
      <c r="AJ41" s="287">
        <f t="shared" si="36"/>
        <v>0.5</v>
      </c>
      <c r="AK41" s="288"/>
      <c r="AL41" s="289">
        <f t="shared" si="6"/>
        <v>0.5</v>
      </c>
      <c r="AM41" s="290">
        <f t="shared" si="7"/>
        <v>1.05366</v>
      </c>
      <c r="AN41" s="290">
        <f t="shared" si="37"/>
        <v>4.2146400000000002</v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>
        <f t="shared" si="23"/>
        <v>1.05366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 t="s">
        <v>98</v>
      </c>
      <c r="G42" s="594"/>
      <c r="H42" s="593"/>
      <c r="I42" s="192">
        <v>1</v>
      </c>
      <c r="J42" s="192">
        <v>25</v>
      </c>
      <c r="K42" s="192">
        <v>25</v>
      </c>
      <c r="L42" s="192"/>
      <c r="M42" s="192"/>
      <c r="N42" s="592"/>
      <c r="O42" s="594"/>
      <c r="P42" s="593"/>
      <c r="Q42" s="192"/>
      <c r="R42" s="192"/>
      <c r="S42" s="192">
        <v>0.9</v>
      </c>
      <c r="T42" s="192"/>
      <c r="U42" s="192"/>
      <c r="V42" s="193"/>
      <c r="W42" s="194"/>
      <c r="X42" s="192"/>
      <c r="Y42" s="192"/>
      <c r="Z42" s="195"/>
      <c r="AA42" s="592" t="s">
        <v>136</v>
      </c>
      <c r="AB42" s="593"/>
      <c r="AC42" s="592" t="s">
        <v>136</v>
      </c>
      <c r="AD42" s="593"/>
      <c r="AE42" s="197"/>
      <c r="AF42" s="284">
        <f t="shared" si="2"/>
        <v>1</v>
      </c>
      <c r="AG42" s="285">
        <f t="shared" si="3"/>
        <v>0</v>
      </c>
      <c r="AH42" s="285">
        <f t="shared" si="4"/>
        <v>0</v>
      </c>
      <c r="AI42" s="286">
        <f t="shared" si="5"/>
        <v>8</v>
      </c>
      <c r="AJ42" s="287">
        <f t="shared" si="36"/>
        <v>0.5</v>
      </c>
      <c r="AK42" s="288"/>
      <c r="AL42" s="289">
        <f t="shared" si="6"/>
        <v>0.5</v>
      </c>
      <c r="AM42" s="290">
        <f t="shared" si="7"/>
        <v>1.05366</v>
      </c>
      <c r="AN42" s="290">
        <f t="shared" si="37"/>
        <v>4.2146400000000002</v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>
        <f t="shared" si="23"/>
        <v>1.05366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 t="s">
        <v>87</v>
      </c>
      <c r="G43" s="594"/>
      <c r="H43" s="593"/>
      <c r="I43" s="192">
        <v>1</v>
      </c>
      <c r="J43" s="192">
        <v>30</v>
      </c>
      <c r="K43" s="192">
        <v>30</v>
      </c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 t="s">
        <v>136</v>
      </c>
      <c r="AB43" s="593"/>
      <c r="AC43" s="592" t="s">
        <v>136</v>
      </c>
      <c r="AD43" s="593"/>
      <c r="AE43" s="197"/>
      <c r="AF43" s="284">
        <f t="shared" si="2"/>
        <v>1</v>
      </c>
      <c r="AG43" s="285">
        <f t="shared" si="3"/>
        <v>0</v>
      </c>
      <c r="AH43" s="285">
        <f t="shared" si="4"/>
        <v>8</v>
      </c>
      <c r="AI43" s="286">
        <f t="shared" si="5"/>
        <v>0</v>
      </c>
      <c r="AJ43" s="287">
        <f t="shared" si="36"/>
        <v>0.5</v>
      </c>
      <c r="AK43" s="288"/>
      <c r="AL43" s="289">
        <f t="shared" si="6"/>
        <v>0.5</v>
      </c>
      <c r="AM43" s="290">
        <f t="shared" si="7"/>
        <v>0.82309932421118426</v>
      </c>
      <c r="AN43" s="290">
        <f t="shared" si="37"/>
        <v>3.292397296844737</v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>
        <f t="shared" si="12"/>
        <v>0.82309932421118426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 t="s">
        <v>98</v>
      </c>
      <c r="G44" s="594"/>
      <c r="H44" s="593"/>
      <c r="I44" s="192">
        <v>1</v>
      </c>
      <c r="J44" s="192">
        <v>30</v>
      </c>
      <c r="K44" s="192">
        <v>30</v>
      </c>
      <c r="L44" s="192"/>
      <c r="M44" s="192"/>
      <c r="N44" s="592"/>
      <c r="O44" s="594"/>
      <c r="P44" s="593"/>
      <c r="Q44" s="192"/>
      <c r="R44" s="192"/>
      <c r="S44" s="192">
        <v>0.5</v>
      </c>
      <c r="T44" s="192"/>
      <c r="U44" s="192"/>
      <c r="V44" s="193"/>
      <c r="W44" s="194"/>
      <c r="X44" s="192"/>
      <c r="Y44" s="192"/>
      <c r="Z44" s="195"/>
      <c r="AA44" s="592" t="s">
        <v>136</v>
      </c>
      <c r="AB44" s="593"/>
      <c r="AC44" s="592" t="s">
        <v>136</v>
      </c>
      <c r="AD44" s="593"/>
      <c r="AE44" s="197"/>
      <c r="AF44" s="284">
        <f t="shared" si="2"/>
        <v>1</v>
      </c>
      <c r="AG44" s="285">
        <f t="shared" si="3"/>
        <v>0</v>
      </c>
      <c r="AH44" s="285">
        <f t="shared" si="4"/>
        <v>0</v>
      </c>
      <c r="AI44" s="286">
        <f t="shared" si="5"/>
        <v>8</v>
      </c>
      <c r="AJ44" s="287">
        <f t="shared" si="36"/>
        <v>0.5</v>
      </c>
      <c r="AK44" s="288"/>
      <c r="AL44" s="289">
        <f t="shared" si="6"/>
        <v>0.5</v>
      </c>
      <c r="AM44" s="290">
        <f t="shared" si="7"/>
        <v>0.76445999999999992</v>
      </c>
      <c r="AN44" s="290">
        <f t="shared" si="37"/>
        <v>3.0578399999999997</v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>
        <f t="shared" si="23"/>
        <v>0.76445999999999992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 t="s">
        <v>98</v>
      </c>
      <c r="G45" s="594"/>
      <c r="H45" s="593"/>
      <c r="I45" s="192">
        <v>1</v>
      </c>
      <c r="J45" s="192">
        <v>30</v>
      </c>
      <c r="K45" s="192">
        <v>30</v>
      </c>
      <c r="L45" s="192"/>
      <c r="M45" s="192"/>
      <c r="N45" s="592"/>
      <c r="O45" s="594"/>
      <c r="P45" s="593"/>
      <c r="Q45" s="192"/>
      <c r="R45" s="192"/>
      <c r="S45" s="192">
        <v>0.9</v>
      </c>
      <c r="T45" s="192"/>
      <c r="U45" s="192"/>
      <c r="V45" s="193"/>
      <c r="W45" s="194"/>
      <c r="X45" s="192"/>
      <c r="Y45" s="192"/>
      <c r="Z45" s="195"/>
      <c r="AA45" s="592" t="s">
        <v>136</v>
      </c>
      <c r="AB45" s="593"/>
      <c r="AC45" s="592" t="s">
        <v>136</v>
      </c>
      <c r="AD45" s="593"/>
      <c r="AE45" s="197"/>
      <c r="AF45" s="284">
        <f t="shared" si="2"/>
        <v>1</v>
      </c>
      <c r="AG45" s="285">
        <f t="shared" si="3"/>
        <v>0</v>
      </c>
      <c r="AH45" s="285">
        <f t="shared" si="4"/>
        <v>0</v>
      </c>
      <c r="AI45" s="286">
        <f t="shared" si="5"/>
        <v>8</v>
      </c>
      <c r="AJ45" s="287">
        <f t="shared" si="36"/>
        <v>0.5</v>
      </c>
      <c r="AK45" s="288"/>
      <c r="AL45" s="289">
        <f t="shared" si="6"/>
        <v>0.5</v>
      </c>
      <c r="AM45" s="290">
        <f t="shared" si="7"/>
        <v>1.25766</v>
      </c>
      <c r="AN45" s="290">
        <f t="shared" si="37"/>
        <v>5.03064</v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>
        <f t="shared" si="23"/>
        <v>1.25766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 t="s">
        <v>98</v>
      </c>
      <c r="G46" s="594"/>
      <c r="H46" s="593"/>
      <c r="I46" s="192">
        <v>1</v>
      </c>
      <c r="J46" s="192">
        <v>30</v>
      </c>
      <c r="K46" s="192">
        <v>30</v>
      </c>
      <c r="L46" s="192"/>
      <c r="M46" s="192"/>
      <c r="N46" s="592"/>
      <c r="O46" s="594"/>
      <c r="P46" s="593"/>
      <c r="Q46" s="192"/>
      <c r="R46" s="192"/>
      <c r="S46" s="192">
        <v>0.62</v>
      </c>
      <c r="T46" s="192"/>
      <c r="U46" s="192"/>
      <c r="V46" s="193"/>
      <c r="W46" s="194"/>
      <c r="X46" s="192"/>
      <c r="Y46" s="192"/>
      <c r="Z46" s="195"/>
      <c r="AA46" s="592" t="s">
        <v>136</v>
      </c>
      <c r="AB46" s="593"/>
      <c r="AC46" s="592" t="s">
        <v>136</v>
      </c>
      <c r="AD46" s="593"/>
      <c r="AE46" s="197"/>
      <c r="AF46" s="284">
        <f t="shared" si="2"/>
        <v>1</v>
      </c>
      <c r="AG46" s="285">
        <f t="shared" si="3"/>
        <v>0</v>
      </c>
      <c r="AH46" s="285">
        <f t="shared" si="4"/>
        <v>0</v>
      </c>
      <c r="AI46" s="286">
        <f t="shared" si="5"/>
        <v>8</v>
      </c>
      <c r="AJ46" s="287">
        <f t="shared" si="36"/>
        <v>0.5</v>
      </c>
      <c r="AK46" s="288"/>
      <c r="AL46" s="289">
        <f t="shared" si="6"/>
        <v>0.5</v>
      </c>
      <c r="AM46" s="290">
        <f t="shared" si="7"/>
        <v>0.9124199999999999</v>
      </c>
      <c r="AN46" s="290">
        <f t="shared" si="37"/>
        <v>3.6496799999999996</v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>
        <f t="shared" si="23"/>
        <v>0.9124199999999999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 t="s">
        <v>102</v>
      </c>
      <c r="G47" s="594"/>
      <c r="H47" s="593"/>
      <c r="I47" s="192">
        <v>1</v>
      </c>
      <c r="J47" s="192">
        <v>30</v>
      </c>
      <c r="K47" s="192">
        <v>30</v>
      </c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>
        <f t="shared" si="2"/>
        <v>1</v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>
        <f t="shared" si="29"/>
        <v>0.5</v>
      </c>
      <c r="AK47" s="288"/>
      <c r="AL47" s="289">
        <f t="shared" si="6"/>
        <v>0.5</v>
      </c>
      <c r="AM47" s="290">
        <f t="shared" si="7"/>
        <v>0.09</v>
      </c>
      <c r="AN47" s="290">
        <f t="shared" si="8"/>
        <v>0.36</v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>
        <f t="shared" si="38"/>
        <v>0.09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 t="s">
        <v>108</v>
      </c>
      <c r="G48" s="594"/>
      <c r="H48" s="593"/>
      <c r="I48" s="192">
        <v>1</v>
      </c>
      <c r="J48" s="192">
        <v>25</v>
      </c>
      <c r="K48" s="192">
        <v>25</v>
      </c>
      <c r="L48" s="192"/>
      <c r="M48" s="192"/>
      <c r="N48" s="592"/>
      <c r="O48" s="594"/>
      <c r="P48" s="593"/>
      <c r="Q48" s="192"/>
      <c r="R48" s="192"/>
      <c r="S48" s="192">
        <v>0.2</v>
      </c>
      <c r="T48" s="192"/>
      <c r="U48" s="192"/>
      <c r="V48" s="193"/>
      <c r="W48" s="194"/>
      <c r="X48" s="192"/>
      <c r="Y48" s="192"/>
      <c r="Z48" s="195"/>
      <c r="AA48" s="592" t="s">
        <v>151</v>
      </c>
      <c r="AB48" s="593"/>
      <c r="AC48" s="592" t="s">
        <v>136</v>
      </c>
      <c r="AD48" s="593"/>
      <c r="AE48" s="197"/>
      <c r="AF48" s="284">
        <f t="shared" si="2"/>
        <v>1</v>
      </c>
      <c r="AG48" s="285">
        <f t="shared" si="3"/>
        <v>0</v>
      </c>
      <c r="AH48" s="285">
        <f t="shared" si="4"/>
        <v>4</v>
      </c>
      <c r="AI48" s="286">
        <f t="shared" si="5"/>
        <v>0</v>
      </c>
      <c r="AJ48" s="291">
        <f t="shared" si="29"/>
        <v>0.5</v>
      </c>
      <c r="AK48" s="292"/>
      <c r="AL48" s="289">
        <f t="shared" si="6"/>
        <v>0.5</v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23</v>
      </c>
      <c r="AG49" s="203"/>
      <c r="AH49" s="204">
        <f>SUM(AH29:AH48)</f>
        <v>60</v>
      </c>
      <c r="AI49" s="204">
        <f>SUM(AI29:AI48)</f>
        <v>80</v>
      </c>
      <c r="AJ49" s="205"/>
      <c r="AK49" s="205"/>
      <c r="AL49" s="206"/>
      <c r="AM49" s="207">
        <f>SUM(AM29:AM48)</f>
        <v>16.538427949818633</v>
      </c>
      <c r="AN49" s="208">
        <f>SUM(AN29:AN48)</f>
        <v>66.153711799274532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46113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46113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47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46120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66.153711799274532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66.153711799274532</v>
      </c>
      <c r="AH8" s="538"/>
      <c r="AI8" s="533">
        <f>+'Diseño 1"'!AM49</f>
        <v>16.538427949818633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>Fan Coil</v>
      </c>
      <c r="E12" s="650"/>
      <c r="F12" s="247" t="str">
        <f>IF('Diseño 1"'!C29=0,"",'Diseño 1"'!C29)</f>
        <v>2.4</v>
      </c>
      <c r="G12" s="670" t="str">
        <f>IF('Diseño 1"'!D29="","",'Diseño 1"'!D29)</f>
        <v>Piso 2 Inyeccion</v>
      </c>
      <c r="H12" s="650"/>
      <c r="I12" s="670" t="str">
        <f>IF('Diseño 1"'!F29="","",'Diseño 1"'!F29)</f>
        <v>Ducto Recto</v>
      </c>
      <c r="J12" s="650"/>
      <c r="K12" s="248">
        <f>IF(I12="","",'Diseño 1"'!I29)</f>
        <v>1</v>
      </c>
      <c r="L12" s="242">
        <f>IF('Diseño 1"'!J29="","",'Diseño 1"'!J29)</f>
        <v>40</v>
      </c>
      <c r="M12" s="242">
        <f>IF('Diseño 1"'!K29="","",'Diseño 1"'!K29)</f>
        <v>30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0.21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TDF</v>
      </c>
      <c r="Z12" s="667"/>
      <c r="AA12" s="649" t="str">
        <f>IF('Diseño 1"'!AC29="","",'Diseño 1"'!AC29)</f>
        <v>TDF</v>
      </c>
      <c r="AB12" s="667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1.8915599999999999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Codo Transfor.</v>
      </c>
      <c r="J13" s="642"/>
      <c r="K13" s="20">
        <f>IF(I13="","",'Diseño 1"'!I30)</f>
        <v>1</v>
      </c>
      <c r="L13" s="17">
        <f>IF('Diseño 1"'!J30="","",'Diseño 1"'!J30)</f>
        <v>20</v>
      </c>
      <c r="M13" s="17">
        <f>IF('Diseño 1"'!K30="","",'Diseño 1"'!K30)</f>
        <v>30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>
        <f>IF('Diseño 1"'!Q30="","",'Diseño 1"'!Q30)</f>
        <v>25</v>
      </c>
      <c r="S13" s="17">
        <f>IF('Diseño 1"'!R30="","",'Diseño 1"'!R30)</f>
        <v>30</v>
      </c>
      <c r="T13" s="242" t="str">
        <f>IF('Diseño 1"'!S30="","",'Diseño 1"'!S30)</f>
        <v/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TDF</v>
      </c>
      <c r="Z13" s="634"/>
      <c r="AA13" s="633" t="str">
        <f>IF('Diseño 1"'!AC30="","",'Diseño 1"'!AC30)</f>
        <v>TDF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2.0156611139195491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Codo Transfor.</v>
      </c>
      <c r="J14" s="642"/>
      <c r="K14" s="20">
        <f>IF(I14="","",'Diseño 1"'!I31)</f>
        <v>1</v>
      </c>
      <c r="L14" s="17">
        <f>IF('Diseño 1"'!J31="","",'Diseño 1"'!J31)</f>
        <v>20</v>
      </c>
      <c r="M14" s="17">
        <f>IF('Diseño 1"'!K31="","",'Diseño 1"'!K31)</f>
        <v>30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>
        <f>IF('Diseño 1"'!Q31="","",'Diseño 1"'!Q31)</f>
        <v>30</v>
      </c>
      <c r="S14" s="17">
        <f>IF('Diseño 1"'!R31="","",'Diseño 1"'!R31)</f>
        <v>30</v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TDF</v>
      </c>
      <c r="Z14" s="634"/>
      <c r="AA14" s="633" t="str">
        <f>IF('Diseño 1"'!AC31="","",'Diseño 1"'!AC31)</f>
        <v>TDF</v>
      </c>
      <c r="AB14" s="634"/>
      <c r="AC14" s="23" t="str">
        <f>IF('Diseño 1"'!AE32=TRUE,0.5,"")</f>
        <v/>
      </c>
      <c r="AD14" s="92">
        <f>IF('Diseño 1"'!AF32="","",'Diseño 1"'!AF32)</f>
        <v>2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2.0156611139195491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>Medio Codo</v>
      </c>
      <c r="J15" s="642"/>
      <c r="K15" s="20">
        <f>IF(I15="","",'Diseño 1"'!I32)</f>
        <v>2</v>
      </c>
      <c r="L15" s="17">
        <f>IF('Diseño 1"'!J32="","",'Diseño 1"'!J32)</f>
        <v>25</v>
      </c>
      <c r="M15" s="17">
        <f>IF('Diseño 1"'!K32="","",'Diseño 1"'!K32)</f>
        <v>39</v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>TDF</v>
      </c>
      <c r="Z15" s="634"/>
      <c r="AA15" s="633" t="str">
        <f>IF('Diseño 1"'!AC32="","",'Diseño 1"'!AC32)</f>
        <v>TDF</v>
      </c>
      <c r="AB15" s="634"/>
      <c r="AE15" s="24">
        <f>'Diseño 1"'!AJ32</f>
        <v>0.5</v>
      </c>
      <c r="AF15" s="93">
        <f>'Diseño 1"'!AK32</f>
        <v>0</v>
      </c>
      <c r="AG15" s="243">
        <f>IF('Diseño 1"'!AN32="","",'Diseño 1"'!AN32)</f>
        <v>5.4720619513342363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/>
      </c>
      <c r="H16" s="642"/>
      <c r="I16" s="641" t="str">
        <f>IF('Diseño 1"'!F33="","",'Diseño 1"'!F33)</f>
        <v>Ducto Recto</v>
      </c>
      <c r="J16" s="642"/>
      <c r="K16" s="20">
        <f>IF(I16="","",'Diseño 1"'!I33)</f>
        <v>1</v>
      </c>
      <c r="L16" s="17">
        <f>IF('Diseño 1"'!J33="","",'Diseño 1"'!J33)</f>
        <v>30</v>
      </c>
      <c r="M16" s="17">
        <f>IF('Diseño 1"'!K33="","",'Diseño 1"'!K33)</f>
        <v>25</v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0.46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>TDF</v>
      </c>
      <c r="Z16" s="634"/>
      <c r="AA16" s="633" t="str">
        <f>IF('Diseño 1"'!AC33="","",'Diseño 1"'!AC33)</f>
        <v>TDF</v>
      </c>
      <c r="AB16" s="634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2.6285599999999998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>Ducto Recto</v>
      </c>
      <c r="J17" s="642"/>
      <c r="K17" s="20">
        <f>IF(I17="","",'Diseño 1"'!I34)</f>
        <v>1</v>
      </c>
      <c r="L17" s="17">
        <f>IF('Diseño 1"'!J34="","",'Diseño 1"'!J34)</f>
        <v>30</v>
      </c>
      <c r="M17" s="17">
        <f>IF('Diseño 1"'!K34="","",'Diseño 1"'!K34)</f>
        <v>25</v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>
        <f>IF('Diseño 1"'!S34="","",'Diseño 1"'!S34)</f>
        <v>0.76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>TDF</v>
      </c>
      <c r="Z17" s="634"/>
      <c r="AA17" s="633" t="str">
        <f>IF('Diseño 1"'!AC34="","",'Diseño 1"'!AC34)</f>
        <v>TDF</v>
      </c>
      <c r="AB17" s="634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3.9881599999999997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>Ducto Recto</v>
      </c>
      <c r="J18" s="642"/>
      <c r="K18" s="20">
        <f>IF(I18="","",'Diseño 1"'!I35)</f>
        <v>2</v>
      </c>
      <c r="L18" s="17">
        <f>IF('Diseño 1"'!J35="","",'Diseño 1"'!J35)</f>
        <v>30</v>
      </c>
      <c r="M18" s="17">
        <f>IF('Diseño 1"'!K35="","",'Diseño 1"'!K35)</f>
        <v>25</v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0.9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>TDF</v>
      </c>
      <c r="Z18" s="634"/>
      <c r="AA18" s="633" t="str">
        <f>IF('Diseño 1"'!AC35="","",'Diseño 1"'!AC35)</f>
        <v>TDF</v>
      </c>
      <c r="AB18" s="634"/>
      <c r="AC18" s="23" t="str">
        <f>IF('Diseño 1"'!AE35=TRUE,0.5,"")</f>
        <v/>
      </c>
      <c r="AD18" s="92">
        <f>IF('Diseño 1"'!AF35="","",'Diseño 1"'!AF35)</f>
        <v>2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9.2452800000000011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>Transformación</v>
      </c>
      <c r="J19" s="642"/>
      <c r="K19" s="20">
        <f>IF(I19="","",'Diseño 1"'!I36)</f>
        <v>1</v>
      </c>
      <c r="L19" s="17">
        <f>IF('Diseño 1"'!J36="","",'Diseño 1"'!J36)</f>
        <v>25</v>
      </c>
      <c r="M19" s="17">
        <f>IF('Diseño 1"'!K36="","",'Diseño 1"'!K36)</f>
        <v>30</v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>Simétrica - Sup. Pareja</v>
      </c>
      <c r="Q19" s="642"/>
      <c r="R19" s="17">
        <f>IF('Diseño 1"'!Q36="","",'Diseño 1"'!Q36)</f>
        <v>25</v>
      </c>
      <c r="S19" s="17">
        <f>IF('Diseño 1"'!R36="","",'Diseño 1"'!R36)</f>
        <v>25</v>
      </c>
      <c r="T19" s="242">
        <f>IF('Diseño 1"'!S36="","",'Diseño 1"'!S36)</f>
        <v>0.55000000000000004</v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>TDF</v>
      </c>
      <c r="Z19" s="634"/>
      <c r="AA19" s="633" t="str">
        <f>IF('Diseño 1"'!AC36="","",'Diseño 1"'!AC36)</f>
        <v>TDF</v>
      </c>
      <c r="AB19" s="634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3.1677600000000004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>Transf. Red - Cuad</v>
      </c>
      <c r="J20" s="642"/>
      <c r="K20" s="20">
        <f>IF(I20="","",'Diseño 1"'!I37)</f>
        <v>1</v>
      </c>
      <c r="L20" s="17">
        <f>IF('Diseño 1"'!J37="","",'Diseño 1"'!J37)</f>
        <v>25</v>
      </c>
      <c r="M20" s="17">
        <f>IF('Diseño 1"'!K37="","",'Diseño 1"'!K37)</f>
        <v>25</v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>
        <f>IF('Diseño 1"'!S37="","",'Diseño 1"'!S37)</f>
        <v>0.3</v>
      </c>
      <c r="U20" s="17">
        <f>IF('Diseño 1"'!T37="","",'Diseño 1"'!T37)</f>
        <v>20</v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>TDF</v>
      </c>
      <c r="Z20" s="634"/>
      <c r="AA20" s="633" t="str">
        <f>IF('Diseño 1"'!AC37="","",'Diseño 1"'!AC37)</f>
        <v>Copla Rodón</v>
      </c>
      <c r="AB20" s="634"/>
      <c r="AC20" s="23" t="str">
        <f>IF('Diseño 1"'!AE37=TRUE,0.5,"")</f>
        <v/>
      </c>
      <c r="AD20" s="92">
        <f>IF('Diseño 1"'!AF37="","",'Diseño 1"'!AF37)</f>
        <v>1</v>
      </c>
      <c r="AE20" s="24">
        <f>'Diseño 1"'!AJ37</f>
        <v>0.5</v>
      </c>
      <c r="AF20" s="93">
        <f>'Diseño 1"'!AK37</f>
        <v>0</v>
      </c>
      <c r="AG20" s="243">
        <f>IF('Diseño 1"'!AN37="","",'Diseño 1"'!AN37)</f>
        <v>1.2864150651437241</v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>Zapato s/ Templador</v>
      </c>
      <c r="J21" s="642"/>
      <c r="K21" s="20">
        <f>IF(I21="","",'Diseño 1"'!I38)</f>
        <v>1</v>
      </c>
      <c r="L21" s="17">
        <f>IF('Diseño 1"'!J38="","",'Diseño 1"'!J38)</f>
        <v>25</v>
      </c>
      <c r="M21" s="17">
        <f>IF('Diseño 1"'!K38="","",'Diseño 1"'!K38)</f>
        <v>25</v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>
        <f>IF('Diseño 1"'!S38="","",'Diseño 1"'!S38)</f>
        <v>0.2</v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>Triple 50</v>
      </c>
      <c r="Z21" s="634"/>
      <c r="AA21" s="633" t="str">
        <f>IF('Diseño 1"'!AC38="","",'Diseño 1"'!AC38)</f>
        <v>TDF</v>
      </c>
      <c r="AB21" s="634"/>
      <c r="AC21" s="23" t="str">
        <f>IF('Diseño 1"'!AE38=TRUE,0.5,"")</f>
        <v/>
      </c>
      <c r="AD21" s="92">
        <f>IF('Diseño 1"'!AF38="","",'Diseño 1"'!AF38)</f>
        <v>1</v>
      </c>
      <c r="AE21" s="24">
        <f>'Diseño 1"'!AJ38</f>
        <v>0.5</v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>Ducto Recto</v>
      </c>
      <c r="J22" s="642"/>
      <c r="K22" s="20">
        <f>IF(I22="","",'Diseño 1"'!I39)</f>
        <v>2</v>
      </c>
      <c r="L22" s="17">
        <f>IF('Diseño 1"'!J39="","",'Diseño 1"'!J39)</f>
        <v>25</v>
      </c>
      <c r="M22" s="17">
        <f>IF('Diseño 1"'!K39="","",'Diseño 1"'!K39)</f>
        <v>25</v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>
        <f>IF('Diseño 1"'!S39="","",'Diseño 1"'!S39)</f>
        <v>0.9</v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>TDF</v>
      </c>
      <c r="Z22" s="634"/>
      <c r="AA22" s="633" t="str">
        <f>IF('Diseño 1"'!AC39="","",'Diseño 1"'!AC39)</f>
        <v>TDF</v>
      </c>
      <c r="AB22" s="634"/>
      <c r="AC22" s="23" t="str">
        <f>IF('Diseño 1"'!AE39=TRUE,0.5,"")</f>
        <v/>
      </c>
      <c r="AD22" s="92">
        <f>IF('Diseño 1"'!AF39="","",'Diseño 1"'!AF39)</f>
        <v>2</v>
      </c>
      <c r="AE22" s="24">
        <f>'Diseño 1"'!AJ39</f>
        <v>0.5</v>
      </c>
      <c r="AF22" s="93">
        <f>'Diseño 1"'!AK39</f>
        <v>0</v>
      </c>
      <c r="AG22" s="243">
        <f>IF('Diseño 1"'!AN39="","",'Diseño 1"'!AN39)</f>
        <v>8.4292800000000003</v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>Codo</v>
      </c>
      <c r="J23" s="642"/>
      <c r="K23" s="20">
        <f>IF(I23="","",'Diseño 1"'!I40)</f>
        <v>1</v>
      </c>
      <c r="L23" s="17">
        <f>IF('Diseño 1"'!J40="","",'Diseño 1"'!J40)</f>
        <v>25</v>
      </c>
      <c r="M23" s="17">
        <f>IF('Diseño 1"'!K40="","",'Diseño 1"'!K40)</f>
        <v>25</v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>TDF</v>
      </c>
      <c r="Z23" s="634"/>
      <c r="AA23" s="633" t="str">
        <f>IF('Diseño 1"'!AC40="","",'Diseño 1"'!AC40)</f>
        <v>TDF</v>
      </c>
      <c r="AB23" s="634"/>
      <c r="AC23" s="23" t="str">
        <f>IF('Diseño 1"'!AE40=TRUE,0.5,"")</f>
        <v/>
      </c>
      <c r="AD23" s="92">
        <f>IF('Diseño 1"'!AF40="","",'Diseño 1"'!AF40)</f>
        <v>1</v>
      </c>
      <c r="AE23" s="24">
        <f>'Diseño 1"'!AJ40</f>
        <v>0.5</v>
      </c>
      <c r="AF23" s="93">
        <f>'Diseño 1"'!AK40</f>
        <v>0</v>
      </c>
      <c r="AG23" s="243">
        <f>IF('Diseño 1"'!AN40="","",'Diseño 1"'!AN40)</f>
        <v>2.1934752581127315</v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>Ducto Recto</v>
      </c>
      <c r="J24" s="642"/>
      <c r="K24" s="20">
        <f>IF(I24="","",'Diseño 1"'!I41)</f>
        <v>1</v>
      </c>
      <c r="L24" s="17">
        <f>IF('Diseño 1"'!J41="","",'Diseño 1"'!J41)</f>
        <v>25</v>
      </c>
      <c r="M24" s="17">
        <f>IF('Diseño 1"'!K41="","",'Diseño 1"'!K41)</f>
        <v>25</v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>
        <f>IF('Diseño 1"'!S41="","",'Diseño 1"'!S41)</f>
        <v>0.9</v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>TDF</v>
      </c>
      <c r="Z24" s="634"/>
      <c r="AA24" s="633" t="str">
        <f>IF('Diseño 1"'!AC41="","",'Diseño 1"'!AC41)</f>
        <v>TDF</v>
      </c>
      <c r="AB24" s="634"/>
      <c r="AC24" s="23" t="str">
        <f>IF('Diseño 1"'!AE41=TRUE,0.5,"")</f>
        <v/>
      </c>
      <c r="AD24" s="92">
        <f>IF('Diseño 1"'!AF41="","",'Diseño 1"'!AF41)</f>
        <v>1</v>
      </c>
      <c r="AE24" s="24">
        <f>'Diseño 1"'!AJ41</f>
        <v>0.5</v>
      </c>
      <c r="AF24" s="93">
        <f>'Diseño 1"'!AK41</f>
        <v>0</v>
      </c>
      <c r="AG24" s="243">
        <f>IF('Diseño 1"'!AN41="","",'Diseño 1"'!AN41)</f>
        <v>4.2146400000000002</v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>Ducto Recto</v>
      </c>
      <c r="J25" s="642"/>
      <c r="K25" s="20">
        <f>IF(I25="","",'Diseño 1"'!I42)</f>
        <v>1</v>
      </c>
      <c r="L25" s="17">
        <f>IF('Diseño 1"'!J42="","",'Diseño 1"'!J42)</f>
        <v>25</v>
      </c>
      <c r="M25" s="17">
        <f>IF('Diseño 1"'!K42="","",'Diseño 1"'!K42)</f>
        <v>25</v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>
        <f>IF('Diseño 1"'!S42="","",'Diseño 1"'!S42)</f>
        <v>0.9</v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>TDF</v>
      </c>
      <c r="Z25" s="634"/>
      <c r="AA25" s="633" t="str">
        <f>IF('Diseño 1"'!AC42="","",'Diseño 1"'!AC42)</f>
        <v>TDF</v>
      </c>
      <c r="AB25" s="634"/>
      <c r="AC25" s="23" t="str">
        <f>IF('Diseño 1"'!AE42=TRUE,0.5,"")</f>
        <v/>
      </c>
      <c r="AD25" s="92">
        <f>IF('Diseño 1"'!AF42="","",'Diseño 1"'!AF42)</f>
        <v>1</v>
      </c>
      <c r="AE25" s="24">
        <f>'Diseño 1"'!AJ42</f>
        <v>0.5</v>
      </c>
      <c r="AF25" s="93">
        <f>'Diseño 1"'!AK42</f>
        <v>0</v>
      </c>
      <c r="AG25" s="243">
        <f>IF('Diseño 1"'!AN42="","",'Diseño 1"'!AN42)</f>
        <v>4.2146400000000002</v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>Codo</v>
      </c>
      <c r="J26" s="642"/>
      <c r="K26" s="20">
        <f>IF(I26="","",'Diseño 1"'!I43)</f>
        <v>1</v>
      </c>
      <c r="L26" s="17">
        <f>IF('Diseño 1"'!J43="","",'Diseño 1"'!J43)</f>
        <v>30</v>
      </c>
      <c r="M26" s="17">
        <f>IF('Diseño 1"'!K43="","",'Diseño 1"'!K43)</f>
        <v>30</v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>TDF</v>
      </c>
      <c r="Z26" s="634"/>
      <c r="AA26" s="633" t="str">
        <f>IF('Diseño 1"'!AC43="","",'Diseño 1"'!AC43)</f>
        <v>TDF</v>
      </c>
      <c r="AB26" s="634"/>
      <c r="AC26" s="23" t="str">
        <f>IF('Diseño 1"'!AE43=TRUE,0.5,"")</f>
        <v/>
      </c>
      <c r="AD26" s="92">
        <f>IF('Diseño 1"'!AF43="","",'Diseño 1"'!AF43)</f>
        <v>1</v>
      </c>
      <c r="AE26" s="24">
        <f>'Diseño 1"'!AJ43</f>
        <v>0.5</v>
      </c>
      <c r="AF26" s="93">
        <f>'Diseño 1"'!AK43</f>
        <v>0</v>
      </c>
      <c r="AG26" s="243">
        <f>IF('Diseño 1"'!AN43="","",'Diseño 1"'!AN43)</f>
        <v>3.292397296844737</v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>Ducto Recto</v>
      </c>
      <c r="J27" s="642"/>
      <c r="K27" s="20">
        <f>IF(I27="","",'Diseño 1"'!I44)</f>
        <v>1</v>
      </c>
      <c r="L27" s="17">
        <f>IF('Diseño 1"'!J44="","",'Diseño 1"'!J44)</f>
        <v>30</v>
      </c>
      <c r="M27" s="17">
        <f>IF('Diseño 1"'!K44="","",'Diseño 1"'!K44)</f>
        <v>30</v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>
        <f>IF('Diseño 1"'!S44="","",'Diseño 1"'!S44)</f>
        <v>0.5</v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>TDF</v>
      </c>
      <c r="Z27" s="634"/>
      <c r="AA27" s="633" t="str">
        <f>IF('Diseño 1"'!AC44="","",'Diseño 1"'!AC44)</f>
        <v>TDF</v>
      </c>
      <c r="AB27" s="634"/>
      <c r="AC27" s="115"/>
      <c r="AD27" s="116"/>
      <c r="AE27" s="24">
        <f>'Diseño 1"'!AJ44</f>
        <v>0.5</v>
      </c>
      <c r="AF27" s="93">
        <f>'Diseño 1"'!AK44</f>
        <v>0</v>
      </c>
      <c r="AG27" s="243">
        <f>IF('Diseño 1"'!AN44="","",'Diseño 1"'!AN44)</f>
        <v>3.0578399999999997</v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>Ducto Recto</v>
      </c>
      <c r="J28" s="642"/>
      <c r="K28" s="20">
        <f>IF(I28="","",'Diseño 1"'!I45)</f>
        <v>1</v>
      </c>
      <c r="L28" s="17">
        <f>IF('Diseño 1"'!J45="","",'Diseño 1"'!J45)</f>
        <v>30</v>
      </c>
      <c r="M28" s="17">
        <f>IF('Diseño 1"'!K45="","",'Diseño 1"'!K45)</f>
        <v>30</v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>
        <f>IF('Diseño 1"'!S45="","",'Diseño 1"'!S45)</f>
        <v>0.9</v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>TDF</v>
      </c>
      <c r="Z28" s="634"/>
      <c r="AA28" s="633" t="str">
        <f>IF('Diseño 1"'!AC45="","",'Diseño 1"'!AC45)</f>
        <v>TDF</v>
      </c>
      <c r="AB28" s="634"/>
      <c r="AC28" s="115"/>
      <c r="AD28" s="116"/>
      <c r="AE28" s="24">
        <f>'Diseño 1"'!AJ45</f>
        <v>0.5</v>
      </c>
      <c r="AF28" s="93">
        <f>'Diseño 1"'!AK45</f>
        <v>0</v>
      </c>
      <c r="AG28" s="243">
        <f>IF('Diseño 1"'!AN45="","",'Diseño 1"'!AN45)</f>
        <v>5.03064</v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>Ducto Recto</v>
      </c>
      <c r="J29" s="642"/>
      <c r="K29" s="20">
        <f>IF(I29="","",'Diseño 1"'!I46)</f>
        <v>1</v>
      </c>
      <c r="L29" s="17">
        <f>IF('Diseño 1"'!J46="","",'Diseño 1"'!J46)</f>
        <v>30</v>
      </c>
      <c r="M29" s="17">
        <f>IF('Diseño 1"'!K46="","",'Diseño 1"'!K46)</f>
        <v>30</v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>
        <f>IF('Diseño 1"'!S46="","",'Diseño 1"'!S46)</f>
        <v>0.62</v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>TDF</v>
      </c>
      <c r="Z29" s="634"/>
      <c r="AA29" s="633" t="str">
        <f>IF('Diseño 1"'!AC46="","",'Diseño 1"'!AC46)</f>
        <v>TDF</v>
      </c>
      <c r="AB29" s="634"/>
      <c r="AC29" s="115"/>
      <c r="AD29" s="116"/>
      <c r="AE29" s="24">
        <f>'Diseño 1"'!AJ46</f>
        <v>0.5</v>
      </c>
      <c r="AF29" s="93">
        <f>'Diseño 1"'!AK46</f>
        <v>0</v>
      </c>
      <c r="AG29" s="243">
        <f>IF('Diseño 1"'!AN46="","",'Diseño 1"'!AN46)</f>
        <v>3.6496799999999996</v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>Tapa</v>
      </c>
      <c r="J30" s="642"/>
      <c r="K30" s="20">
        <f>IF(I30="","",'Diseño 1"'!I47)</f>
        <v>1</v>
      </c>
      <c r="L30" s="17">
        <f>IF('Diseño 1"'!J47="","",'Diseño 1"'!J47)</f>
        <v>30</v>
      </c>
      <c r="M30" s="17">
        <f>IF('Diseño 1"'!K47="","",'Diseño 1"'!K47)</f>
        <v>30</v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>
        <f>'Diseño 1"'!AJ47</f>
        <v>0.5</v>
      </c>
      <c r="AF30" s="93">
        <f>'Diseño 1"'!AK47</f>
        <v>0</v>
      </c>
      <c r="AG30" s="243">
        <f>IF('Diseño 1"'!AN47="","",'Diseño 1"'!AN47)</f>
        <v>0.36</v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>Zapato s/ Templador</v>
      </c>
      <c r="J31" s="648"/>
      <c r="K31" s="97">
        <f>IF(I31="","",'Diseño 1"'!I48)</f>
        <v>1</v>
      </c>
      <c r="L31" s="98">
        <f>IF('Diseño 1"'!J48="","",'Diseño 1"'!J48)</f>
        <v>25</v>
      </c>
      <c r="M31" s="98">
        <f>IF('Diseño 1"'!K48="","",'Diseño 1"'!K48)</f>
        <v>25</v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>
        <f>IF('Diseño 1"'!S48="","",'Diseño 1"'!S48)</f>
        <v>0.2</v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>Triple 50</v>
      </c>
      <c r="Z31" s="632"/>
      <c r="AA31" s="631" t="str">
        <f>IF('Diseño 1"'!AC48="","",'Diseño 1"'!AC48)</f>
        <v>TDF</v>
      </c>
      <c r="AB31" s="632"/>
      <c r="AC31" s="101"/>
      <c r="AD31" s="102"/>
      <c r="AE31" s="103">
        <f>'Diseño 1"'!AJ48</f>
        <v>0.5</v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66.153711799274532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66.153711799274532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2026-04-02T12:55:37Z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