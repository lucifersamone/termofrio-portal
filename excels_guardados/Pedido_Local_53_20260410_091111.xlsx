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9" documentId="13_ncr:1_{4062F0F7-2036-4079-9D77-DB889C22FC95}" xr6:coauthVersionLast="47" xr6:coauthVersionMax="47" xr10:uidLastSave="{6C687FBA-0A91-4C3C-90DA-CEBE12B05D1C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<sst xmlns="http://schemas.openxmlformats.org/spreadsheetml/2006/main" count="1746" uniqueCount="246">
  <si>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</si>
  <si>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</si>
  <si>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</si>
  <si>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</si>
  <si>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</si>
  <si>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</si>
  <si>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</si>
  <si>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</si>
  <si>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</si>
  <si>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</si>
  <si>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</si>
  <si>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</si>
  <si>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</si>
  <si>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</si>
  <si>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</si>
  <si>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</si>
  <si>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</si>
  <si>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</si>
  <si>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</si>
  <si>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</si>
  <si>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</si>
  <si>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</si>
  <si>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</si>
  <si>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</si>
  <si>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</si>
  <si>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</si>
  <si>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</si>
  <si>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</si>
  <si>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</si>
  <si>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</si>
  <si>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</si>
  <si>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</si>
  <si>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</si>
  <si>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</si>
  <si>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</si>
  <si>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</si>
  <si>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</si>
  <si>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</si>
  <si>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</si>
  <si>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</si>
  <si>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</si>
  <si>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</si>
  <si>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</si>
  <si>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</si>
  <si>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</si>
  <si>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</si>
  <si>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</si>
  <si>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</si>
  <si>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</si>
  <si>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</si>
  <si>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</si>
  <si>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</si>
  <si>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</si>
  <si>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</si>
  <si>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</si>
  <si>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</si>
  <si>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</si>
  <si>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</si>
  <si>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</si>
  <si>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</si>
  <si>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</si>
  <si>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</si>
  <si>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</si>
  <si>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</si>
  <si>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</si>
  <si>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</si>
  <si>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</si>
  <si>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</si>
  <si>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</si>
  <si>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</si>
  <si>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</si>
  <si>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</si>
  <si>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</si>
  <si>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</si>
  <si>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</si>
  <si>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</si>
  <si>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</si>
  <si>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</si>
  <si>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</si>
  <si>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</si>
  <si>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</si>
  <si>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</si>
  <si>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</si>
  <si>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</si>
  <si>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</si>
  <si>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</si>
  <si>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</si>
  <si>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</si>
  <si>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</si>
  <si>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</si>
  <si>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</si>
  <si>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</si>
  <si>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</si>
  <si>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</si>
  <si>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</si>
  <si>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</si>
  <si>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</si>
  <si>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</si>
  <si>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</si>
  <si>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</si>
  <si>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</si>
  <si>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</si>
  <si>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</si>
  <si>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</si>
  <si>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</si>
  <si>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</si>
  <si>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</si>
  <si>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</si>
  <si>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</si>
  <si>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</si>
  <si>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</si>
  <si>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</si>
  <si>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</si>
  <si>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</si>
  <si>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</si>
  <si>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</si>
  <si>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</si>
  <si>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</si>
  <si>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</si>
  <si>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</si>
  <si>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</si>
  <si>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</si>
  <si>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</si>
  <si>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</si>
  <si>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</si>
  <si>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</si>
  <si>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</si>
  <si>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</si>
  <si>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</si>
  <si>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</si>
  <si>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</si>
  <si>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</si>
  <si>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</si>
  <si>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</si>
  <si>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</si>
  <si>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</si>
  <si>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</si>
  <si>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</si>
  <si>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</si>
  <si>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</si>
  <si>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</si>
  <si>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</si>
  <si>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</si>
  <si>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</si>
  <si>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</si>
  <si>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</si>
  <si>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</si>
  <si>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</si>
  <si>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</si>
  <si>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</si>
  <si>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</si>
  <si>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</si>
  <si>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</si>
  <si>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</si>
  <si>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</si>
  <si>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</si>
  <si>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</si>
  <si>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</si>
  <si>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</si>
  <si>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</si>
  <si>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</si>
  <si>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</si>
  <si>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</si>
  <si>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</si>
  <si>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</si>
  <si>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</si>
  <si>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</si>
  <si>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</si>
  <si>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</si>
  <si>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</si>
  <si>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</si>
  <si>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</si>
  <si>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</si>
  <si>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</si>
  <si>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</si>
  <si>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</si>
  <si>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</si>
  <si>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</si>
  <si>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</si>
  <si>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</si>
  <si>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</si>
  <si>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</si>
  <si>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</si>
  <si>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</si>
  <si>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</si>
  <si>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</si>
  <si>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</si>
  <si>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</si>
  <si>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</si>
  <si>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</si>
  <si>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</si>
  <si>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</si>
  <si>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</si>
  <si>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</si>
  <si>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</si>
  <si>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</si>
  <si>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</si>
  <si>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</si>
  <si>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</si>
  <si>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</si>
  <si>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</si>
  <si>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</si>
  <si>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</si>
  <si>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</si>
  <si>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</si>
  <si>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</si>
  <si>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</si>
  <si>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</si>
  <si>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</si>
  <si>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</si>
  <si>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</si>
  <si>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</si>
  <si>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</si>
  <si>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</si>
  <si>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</si>
  <si>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</si>
  <si>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</si>
  <si>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</si>
  <si>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</si>
  <si>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</si>
  <si>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</si>
  <si>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</si>
  <si>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</si>
  <si>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</si>
  <si>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</si>
  <si>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</si>
  <si>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</si>
  <si>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</si>
  <si>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</si>
  <si>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</si>
  <si>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</si>
  <si>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</si>
  <si>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</si>
  <si>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</si>
  <si>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</si>
  <si>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</si>
  <si>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</si>
  <si>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</si>
  <si>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</si>
  <si>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</si>
  <si>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</si>
  <si>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</si>
  <si>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</si>
  <si>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</si>
  <si>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06-04-2'026</t>
  </si>
  <si>
    <t>Segundo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</si>
</sst>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A4" zoomScaleNormal="100" workbookViewId="0">
      <selection activeCell="D8" sqref="D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 t="s">
        <v>244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53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2.3179863811253392</v>
      </c>
      <c r="P12" s="296">
        <f t="shared" si="0"/>
        <v>9.2719455245013567</v>
      </c>
      <c r="Q12" s="617" t="s">
        <v>23</v>
      </c>
      <c r="R12" s="609"/>
      <c r="S12" s="284">
        <f>ROUNDUP(AI49/6,0)</f>
        <v>3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0.91100000000000003</v>
      </c>
      <c r="P13" s="296">
        <f t="shared" si="0"/>
        <v>4.3727999999999998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6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1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8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3.2289863811253392</v>
      </c>
      <c r="P17" s="306">
        <f t="shared" si="1"/>
        <v>13.644745524501356</v>
      </c>
      <c r="Q17" s="617" t="s">
        <v>40</v>
      </c>
      <c r="R17" s="609"/>
      <c r="S17" s="284">
        <f>ROUNDUP(AI49/6,0)</f>
        <v>3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11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6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64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4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5" t="s">
        <v>245</v>
      </c>
      <c r="E29" s="596"/>
      <c r="F29" s="592" t="s">
        <v>88</v>
      </c>
      <c r="G29" s="593"/>
      <c r="H29" s="594"/>
      <c r="I29" s="192">
        <v>2</v>
      </c>
      <c r="J29" s="192">
        <v>25</v>
      </c>
      <c r="K29" s="192">
        <v>12.5</v>
      </c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136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2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0.85452525514815791</v>
      </c>
      <c r="AN29" s="290">
        <f t="shared" ref="AN29:AN48" si="8">IF(ISERROR(AM29*(IF(AJ29=1,8,IF(AJ29=0.8,6.4,IF(AJ29=0.6,4.8,IF(AJ29=0.5,4)))))),"",AM29*(IF(AJ29=1,8,IF(AJ29=0.8,6.4,IF(AJ29=0.6,4.8,IF(AJ29=0.5,4))))))</f>
        <v>3.4181010205926317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0.85452525514815791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95</v>
      </c>
      <c r="G30" s="593"/>
      <c r="H30" s="594"/>
      <c r="I30" s="192">
        <v>1</v>
      </c>
      <c r="J30" s="192">
        <v>20</v>
      </c>
      <c r="K30" s="192">
        <v>15</v>
      </c>
      <c r="L30" s="192"/>
      <c r="M30" s="192"/>
      <c r="N30" s="595"/>
      <c r="O30" s="593"/>
      <c r="P30" s="594"/>
      <c r="Q30" s="192"/>
      <c r="R30" s="192"/>
      <c r="S30" s="192">
        <v>0.42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136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0.1210386</v>
      </c>
      <c r="AN30" s="290">
        <f t="shared" si="8"/>
        <v>0.48415439999999998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>
        <f t="shared" si="20"/>
        <v>0.1210386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 t="s">
        <v>87</v>
      </c>
      <c r="G31" s="593"/>
      <c r="H31" s="594"/>
      <c r="I31" s="192">
        <v>1</v>
      </c>
      <c r="J31" s="192">
        <v>15</v>
      </c>
      <c r="K31" s="192">
        <v>20</v>
      </c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136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0.33769626298859046</v>
      </c>
      <c r="AN31" s="290">
        <f t="shared" ref="AN31:AN46" si="37">IF(ISERROR(AM31*(IF(AJ31=1,8,IF(AJ31=0.8,6.4,IF(AJ31=0.6,4.8,IF(AJ31=0.5,4)))))),"",AM31*(IF(AJ31=1,8,IF(AJ31=0.8,6.4,IF(AJ31=0.6,4.8,IF(AJ31=0.5,4))))))</f>
        <v>1.3507850519543618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>
        <f t="shared" si="12"/>
        <v>0.33769626298859046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 t="s">
        <v>98</v>
      </c>
      <c r="G32" s="593"/>
      <c r="H32" s="594"/>
      <c r="I32" s="192">
        <v>1</v>
      </c>
      <c r="J32" s="192">
        <v>20</v>
      </c>
      <c r="K32" s="192">
        <v>15</v>
      </c>
      <c r="L32" s="192"/>
      <c r="M32" s="192"/>
      <c r="N32" s="595"/>
      <c r="O32" s="593"/>
      <c r="P32" s="594"/>
      <c r="Q32" s="192"/>
      <c r="R32" s="192"/>
      <c r="S32" s="192">
        <v>0.27</v>
      </c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136</v>
      </c>
      <c r="AD32" s="594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0.28586999999999996</v>
      </c>
      <c r="AN32" s="290">
        <f t="shared" si="37"/>
        <v>1.1434799999999998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0.28586999999999996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87</v>
      </c>
      <c r="G33" s="593"/>
      <c r="H33" s="594"/>
      <c r="I33" s="192">
        <v>1</v>
      </c>
      <c r="J33" s="192">
        <v>15</v>
      </c>
      <c r="K33" s="192">
        <v>20</v>
      </c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136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8</v>
      </c>
      <c r="AI33" s="286">
        <f t="shared" si="5"/>
        <v>0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0.33769626298859046</v>
      </c>
      <c r="AN33" s="290">
        <f t="shared" si="37"/>
        <v>1.3507850519543618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>
        <f t="shared" si="12"/>
        <v>0.33769626298859046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105</v>
      </c>
      <c r="G34" s="593"/>
      <c r="H34" s="594"/>
      <c r="I34" s="192">
        <v>1</v>
      </c>
      <c r="J34" s="192">
        <v>25</v>
      </c>
      <c r="K34" s="192">
        <v>25</v>
      </c>
      <c r="L34" s="192"/>
      <c r="M34" s="192"/>
      <c r="N34" s="595"/>
      <c r="O34" s="593"/>
      <c r="P34" s="594"/>
      <c r="Q34" s="192"/>
      <c r="R34" s="192"/>
      <c r="S34" s="192">
        <v>0.2</v>
      </c>
      <c r="T34" s="192"/>
      <c r="U34" s="192"/>
      <c r="V34" s="193"/>
      <c r="W34" s="194"/>
      <c r="X34" s="192"/>
      <c r="Y34" s="192"/>
      <c r="Z34" s="195"/>
      <c r="AA34" s="595" t="s">
        <v>136</v>
      </c>
      <c r="AB34" s="594"/>
      <c r="AC34" s="595" t="s">
        <v>137</v>
      </c>
      <c r="AD34" s="594"/>
      <c r="AE34" s="197"/>
      <c r="AF34" s="284">
        <f t="shared" si="2"/>
        <v>1</v>
      </c>
      <c r="AG34" s="285">
        <f t="shared" si="3"/>
        <v>0</v>
      </c>
      <c r="AH34" s="285">
        <f t="shared" si="4"/>
        <v>4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105</v>
      </c>
      <c r="G35" s="593"/>
      <c r="H35" s="594"/>
      <c r="I35" s="192">
        <v>1</v>
      </c>
      <c r="J35" s="192">
        <v>77</v>
      </c>
      <c r="K35" s="192">
        <v>22</v>
      </c>
      <c r="L35" s="192"/>
      <c r="M35" s="192"/>
      <c r="N35" s="595"/>
      <c r="O35" s="593"/>
      <c r="P35" s="594"/>
      <c r="Q35" s="192"/>
      <c r="R35" s="192"/>
      <c r="S35" s="192">
        <v>0.2</v>
      </c>
      <c r="T35" s="192"/>
      <c r="U35" s="192"/>
      <c r="V35" s="193"/>
      <c r="W35" s="194"/>
      <c r="X35" s="192"/>
      <c r="Y35" s="192"/>
      <c r="Z35" s="195"/>
      <c r="AA35" s="595" t="s">
        <v>136</v>
      </c>
      <c r="AB35" s="594"/>
      <c r="AC35" s="595" t="s">
        <v>137</v>
      </c>
      <c r="AD35" s="594"/>
      <c r="AE35" s="197"/>
      <c r="AF35" s="284">
        <f t="shared" si="2"/>
        <v>1</v>
      </c>
      <c r="AG35" s="285">
        <f t="shared" si="3"/>
        <v>0</v>
      </c>
      <c r="AH35" s="285">
        <f t="shared" si="4"/>
        <v>4</v>
      </c>
      <c r="AI35" s="286">
        <f t="shared" si="5"/>
        <v>0</v>
      </c>
      <c r="AJ35" s="287">
        <f t="shared" si="36"/>
        <v>0.6</v>
      </c>
      <c r="AK35" s="288"/>
      <c r="AL35" s="289">
        <f t="shared" si="6"/>
        <v>0.6</v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 t="s">
        <v>104</v>
      </c>
      <c r="G36" s="593"/>
      <c r="H36" s="594"/>
      <c r="I36" s="192">
        <v>1</v>
      </c>
      <c r="J36" s="192">
        <v>77</v>
      </c>
      <c r="K36" s="192">
        <v>22</v>
      </c>
      <c r="L36" s="192"/>
      <c r="M36" s="192"/>
      <c r="N36" s="595"/>
      <c r="O36" s="593"/>
      <c r="P36" s="594"/>
      <c r="Q36" s="192">
        <v>40</v>
      </c>
      <c r="R36" s="192">
        <v>30</v>
      </c>
      <c r="S36" s="192">
        <v>0.38</v>
      </c>
      <c r="T36" s="192"/>
      <c r="U36" s="192"/>
      <c r="V36" s="193"/>
      <c r="W36" s="194"/>
      <c r="X36" s="192"/>
      <c r="Y36" s="192"/>
      <c r="Z36" s="195"/>
      <c r="AA36" s="595" t="s">
        <v>136</v>
      </c>
      <c r="AB36" s="594"/>
      <c r="AC36" s="595" t="s">
        <v>136</v>
      </c>
      <c r="AD36" s="594"/>
      <c r="AE36" s="197"/>
      <c r="AF36" s="284">
        <f t="shared" si="2"/>
        <v>1</v>
      </c>
      <c r="AG36" s="285">
        <f t="shared" si="3"/>
        <v>0</v>
      </c>
      <c r="AH36" s="285">
        <f t="shared" si="4"/>
        <v>8</v>
      </c>
      <c r="AI36" s="286">
        <f t="shared" si="5"/>
        <v>0</v>
      </c>
      <c r="AJ36" s="287">
        <f t="shared" si="36"/>
        <v>0.6</v>
      </c>
      <c r="AK36" s="288"/>
      <c r="AL36" s="289">
        <f t="shared" si="6"/>
        <v>0.6</v>
      </c>
      <c r="AM36" s="290">
        <f t="shared" si="7"/>
        <v>0.91100000000000003</v>
      </c>
      <c r="AN36" s="290">
        <f t="shared" si="37"/>
        <v>4.3727999999999998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>
        <f t="shared" si="32"/>
        <v>0.91100000000000003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 t="s">
        <v>98</v>
      </c>
      <c r="G37" s="593"/>
      <c r="H37" s="594"/>
      <c r="I37" s="192">
        <v>1</v>
      </c>
      <c r="J37" s="192">
        <v>20</v>
      </c>
      <c r="K37" s="192">
        <v>15</v>
      </c>
      <c r="L37" s="192"/>
      <c r="M37" s="192"/>
      <c r="N37" s="595"/>
      <c r="O37" s="593"/>
      <c r="P37" s="594"/>
      <c r="Q37" s="192"/>
      <c r="R37" s="192"/>
      <c r="S37" s="192">
        <v>0.4</v>
      </c>
      <c r="T37" s="192"/>
      <c r="U37" s="192"/>
      <c r="V37" s="193"/>
      <c r="W37" s="194"/>
      <c r="X37" s="192"/>
      <c r="Y37" s="192"/>
      <c r="Z37" s="195"/>
      <c r="AA37" s="595" t="s">
        <v>136</v>
      </c>
      <c r="AB37" s="594"/>
      <c r="AC37" s="595" t="s">
        <v>136</v>
      </c>
      <c r="AD37" s="594"/>
      <c r="AE37" s="197"/>
      <c r="AF37" s="284">
        <f t="shared" si="2"/>
        <v>1</v>
      </c>
      <c r="AG37" s="285">
        <f t="shared" si="3"/>
        <v>0</v>
      </c>
      <c r="AH37" s="285">
        <f t="shared" si="4"/>
        <v>0</v>
      </c>
      <c r="AI37" s="286">
        <f t="shared" si="5"/>
        <v>8</v>
      </c>
      <c r="AJ37" s="287">
        <f t="shared" si="36"/>
        <v>0.5</v>
      </c>
      <c r="AK37" s="288"/>
      <c r="AL37" s="289">
        <f t="shared" si="6"/>
        <v>0.5</v>
      </c>
      <c r="AM37" s="290">
        <f t="shared" si="7"/>
        <v>0.38116</v>
      </c>
      <c r="AN37" s="290">
        <f t="shared" si="37"/>
        <v>1.52464</v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>
        <f t="shared" si="23"/>
        <v>0.38116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10</v>
      </c>
      <c r="AG49" s="203"/>
      <c r="AH49" s="204">
        <f>SUM(AH29:AH48)</f>
        <v>48</v>
      </c>
      <c r="AI49" s="204">
        <f>SUM(AI29:AI48)</f>
        <v>16</v>
      </c>
      <c r="AJ49" s="205"/>
      <c r="AK49" s="205"/>
      <c r="AL49" s="206"/>
      <c r="AM49" s="207">
        <f>SUM(AM29:AM48)</f>
        <v>3.2289863811253388</v>
      </c>
      <c r="AN49" s="208">
        <f>SUM(AN29:AN48)</f>
        <v>13.644745524501355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 t="str">
        <f>+'Diseño 1"'!K5</f>
        <v>06-04-2'026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 t="str">
        <f>+T5</f>
        <v>06-04-2'026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53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 t="e">
        <f>WORKDAY(T6,5,0)</f>
        <v>#VALUE!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9.2719455245013567</v>
      </c>
      <c r="Y8" s="531">
        <f>SUMIFS('Diseño 1"'!AN29:AN48,'Diseño 1"'!AJ29:AJ48,0.6)</f>
        <v>4.3727999999999998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13.644745524501356</v>
      </c>
      <c r="AH8" s="538"/>
      <c r="AI8" s="533">
        <f>+'Diseño 1"'!AM49</f>
        <v>3.2289863811253388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/>
      </c>
      <c r="E12" s="694"/>
      <c r="F12" s="247" t="str">
        <f>IF('Diseño 1"'!C29=0,"",'Diseño 1"'!C29)</f>
        <v/>
      </c>
      <c r="G12" s="693" t="str">
        <f>IF('Diseño 1"'!D29="","",'Diseño 1"'!D29)</f>
        <v>Segundo piso</v>
      </c>
      <c r="H12" s="694"/>
      <c r="I12" s="693" t="str">
        <f>IF('Diseño 1"'!F29="","",'Diseño 1"'!F29)</f>
        <v>Codo Transfor.</v>
      </c>
      <c r="J12" s="694"/>
      <c r="K12" s="248">
        <f>IF(I12="","",'Diseño 1"'!I29)</f>
        <v>2</v>
      </c>
      <c r="L12" s="242">
        <f>IF('Diseño 1"'!J29="","",'Diseño 1"'!J29)</f>
        <v>25</v>
      </c>
      <c r="M12" s="242">
        <f>IF('Diseño 1"'!K29="","",'Diseño 1"'!K29)</f>
        <v>12.5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 t="str">
        <f>IF('Diseño 1"'!S29="","",'Diseño 1"'!S29)</f>
        <v/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TDF</v>
      </c>
      <c r="AB12" s="688"/>
      <c r="AC12" s="251" t="str">
        <f>IF('Diseño 1"'!AE29=TRUE,0.5,"")</f>
        <v/>
      </c>
      <c r="AD12" s="252">
        <f>IF('Diseño 1"'!AF29="","",'Diseño 1"'!AF29)</f>
        <v>2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3.4181010205926317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Ducto c/ Aleta</v>
      </c>
      <c r="J13" s="651"/>
      <c r="K13" s="20">
        <f>IF(I13="","",'Diseño 1"'!I30)</f>
        <v>1</v>
      </c>
      <c r="L13" s="17">
        <f>IF('Diseño 1"'!J30="","",'Diseño 1"'!J30)</f>
        <v>20</v>
      </c>
      <c r="M13" s="17">
        <f>IF('Diseño 1"'!K30="","",'Diseño 1"'!K30)</f>
        <v>15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0.42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TDF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0.48415439999999998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Codo</v>
      </c>
      <c r="J14" s="651"/>
      <c r="K14" s="20">
        <f>IF(I14="","",'Diseño 1"'!I31)</f>
        <v>1</v>
      </c>
      <c r="L14" s="17">
        <f>IF('Diseño 1"'!J31="","",'Diseño 1"'!J31)</f>
        <v>15</v>
      </c>
      <c r="M14" s="17">
        <f>IF('Diseño 1"'!K31="","",'Diseño 1"'!K31)</f>
        <v>20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TDF</v>
      </c>
      <c r="AB14" s="650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1.3507850519543618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Ducto Recto</v>
      </c>
      <c r="J15" s="651"/>
      <c r="K15" s="20">
        <f>IF(I15="","",'Diseño 1"'!I32)</f>
        <v>1</v>
      </c>
      <c r="L15" s="17">
        <f>IF('Diseño 1"'!J32="","",'Diseño 1"'!J32)</f>
        <v>20</v>
      </c>
      <c r="M15" s="17">
        <f>IF('Diseño 1"'!K32="","",'Diseño 1"'!K32)</f>
        <v>15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0.27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TDF</v>
      </c>
      <c r="AB15" s="650"/>
      <c r="AE15" s="24">
        <f>'Diseño 1"'!AJ32</f>
        <v>0.5</v>
      </c>
      <c r="AF15" s="93">
        <f>'Diseño 1"'!AK32</f>
        <v>0</v>
      </c>
      <c r="AG15" s="243">
        <f>IF('Diseño 1"'!AN32="","",'Diseño 1"'!AN32)</f>
        <v>1.1434799999999998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Codo</v>
      </c>
      <c r="J16" s="651"/>
      <c r="K16" s="20">
        <f>IF(I16="","",'Diseño 1"'!I33)</f>
        <v>1</v>
      </c>
      <c r="L16" s="17">
        <f>IF('Diseño 1"'!J33="","",'Diseño 1"'!J33)</f>
        <v>15</v>
      </c>
      <c r="M16" s="17">
        <f>IF('Diseño 1"'!K33="","",'Diseño 1"'!K33)</f>
        <v>20</v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TDF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1.3507850519543618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Unión c/ Lona</v>
      </c>
      <c r="J17" s="651"/>
      <c r="K17" s="20">
        <f>IF(I17="","",'Diseño 1"'!I34)</f>
        <v>1</v>
      </c>
      <c r="L17" s="17">
        <f>IF('Diseño 1"'!J34="","",'Diseño 1"'!J34)</f>
        <v>25</v>
      </c>
      <c r="M17" s="17">
        <f>IF('Diseño 1"'!K34="","",'Diseño 1"'!K34)</f>
        <v>25</v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0.2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TDF</v>
      </c>
      <c r="Z17" s="650"/>
      <c r="AA17" s="649" t="str">
        <f>IF('Diseño 1"'!AC34="","",'Diseño 1"'!AC34)</f>
        <v>Liso</v>
      </c>
      <c r="AB17" s="650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Unión c/ Lona</v>
      </c>
      <c r="J18" s="651"/>
      <c r="K18" s="20">
        <f>IF(I18="","",'Diseño 1"'!I35)</f>
        <v>1</v>
      </c>
      <c r="L18" s="17">
        <f>IF('Diseño 1"'!J35="","",'Diseño 1"'!J35)</f>
        <v>77</v>
      </c>
      <c r="M18" s="17">
        <f>IF('Diseño 1"'!K35="","",'Diseño 1"'!K35)</f>
        <v>22</v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0.2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TDF</v>
      </c>
      <c r="Z18" s="650"/>
      <c r="AA18" s="649" t="str">
        <f>IF('Diseño 1"'!AC35="","",'Diseño 1"'!AC35)</f>
        <v>Liso</v>
      </c>
      <c r="AB18" s="650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0.6</v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>Transformación</v>
      </c>
      <c r="J19" s="651"/>
      <c r="K19" s="20">
        <f>IF(I19="","",'Diseño 1"'!I36)</f>
        <v>1</v>
      </c>
      <c r="L19" s="17">
        <f>IF('Diseño 1"'!J36="","",'Diseño 1"'!J36)</f>
        <v>77</v>
      </c>
      <c r="M19" s="17">
        <f>IF('Diseño 1"'!K36="","",'Diseño 1"'!K36)</f>
        <v>22</v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>
        <f>IF('Diseño 1"'!Q36="","",'Diseño 1"'!Q36)</f>
        <v>40</v>
      </c>
      <c r="S19" s="17">
        <f>IF('Diseño 1"'!R36="","",'Diseño 1"'!R36)</f>
        <v>30</v>
      </c>
      <c r="T19" s="242">
        <f>IF('Diseño 1"'!S36="","",'Diseño 1"'!S36)</f>
        <v>0.38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>TDF</v>
      </c>
      <c r="Z19" s="650"/>
      <c r="AA19" s="649" t="str">
        <f>IF('Diseño 1"'!AC36="","",'Diseño 1"'!AC36)</f>
        <v>TDF</v>
      </c>
      <c r="AB19" s="650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0.6</v>
      </c>
      <c r="AF19" s="93">
        <f>'Diseño 1"'!AK36</f>
        <v>0</v>
      </c>
      <c r="AG19" s="243">
        <f>IF('Diseño 1"'!AN36="","",'Diseño 1"'!AN36)</f>
        <v>4.3727999999999998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>Ducto Recto</v>
      </c>
      <c r="J20" s="651"/>
      <c r="K20" s="20">
        <f>IF(I20="","",'Diseño 1"'!I37)</f>
        <v>1</v>
      </c>
      <c r="L20" s="17">
        <f>IF('Diseño 1"'!J37="","",'Diseño 1"'!J37)</f>
        <v>20</v>
      </c>
      <c r="M20" s="17">
        <f>IF('Diseño 1"'!K37="","",'Diseño 1"'!K37)</f>
        <v>15</v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0.4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>TDF</v>
      </c>
      <c r="Z20" s="650"/>
      <c r="AA20" s="649" t="str">
        <f>IF('Diseño 1"'!AC37="","",'Diseño 1"'!AC37)</f>
        <v>TDF</v>
      </c>
      <c r="AB20" s="650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>
        <f>IF('Diseño 1"'!AN37="","",'Diseño 1"'!AN37)</f>
        <v>1.52464</v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9.2719455245013567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9.2719455245013567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2026-04-10T13:10:20Z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