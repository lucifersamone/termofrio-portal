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7A2D7E96-6E34-419A-AE5F-296B3A7E7977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4" documentId="11_6A73ABB3D3EDE279FB304FAE89FA649E93CE2966" xr6:coauthVersionLast="47" xr6:coauthVersionMax="47" xr10:uidLastSave="{6746EE2B-8D94-4EF4-BD48-B120E9394A80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/>
  <c r="AD13" i="9" s="1"/>
  <c r="AL31" i="8"/>
  <c r="AJ31" i="8" s="1"/>
  <c r="AL32" i="8"/>
  <c r="AJ32" i="8" s="1"/>
  <c r="AD15" i="9" s="1"/>
  <c r="AL33" i="8"/>
  <c r="AJ33" i="8" s="1"/>
  <c r="AD16" i="9" s="1"/>
  <c r="AL34" i="8"/>
  <c r="AJ34" i="8"/>
  <c r="AD17" i="9" s="1"/>
  <c r="AL35" i="8"/>
  <c r="AJ35" i="8" s="1"/>
  <c r="AD18" i="9" s="1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 s="1"/>
  <c r="AL41" i="8"/>
  <c r="AJ41" i="8"/>
  <c r="AD24" i="9" s="1"/>
  <c r="AL42" i="8"/>
  <c r="AJ42" i="8"/>
  <c r="AD25" i="9"/>
  <c r="AL43" i="8"/>
  <c r="AJ43" i="8" s="1"/>
  <c r="AD26" i="9" s="1"/>
  <c r="AL44" i="8"/>
  <c r="AJ44" i="8" s="1"/>
  <c r="AD27" i="9" s="1"/>
  <c r="AL45" i="8"/>
  <c r="AJ45" i="8"/>
  <c r="AD28" i="9" s="1"/>
  <c r="AL46" i="8"/>
  <c r="AJ46" i="8"/>
  <c r="AD29" i="9"/>
  <c r="AL47" i="8"/>
  <c r="AJ47" i="8" s="1"/>
  <c r="AD30" i="9" s="1"/>
  <c r="AL48" i="8"/>
  <c r="AJ48" i="8" s="1"/>
  <c r="AD31" i="9" s="1"/>
  <c r="AL29" i="8"/>
  <c r="AJ29" i="8"/>
  <c r="AD12" i="9" s="1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H20" i="9"/>
  <c r="J20" i="9" s="1"/>
  <c r="H21" i="9"/>
  <c r="J21" i="9" s="1"/>
  <c r="H22" i="9"/>
  <c r="J22" i="9" s="1"/>
  <c r="H23" i="9"/>
  <c r="J23" i="9" s="1"/>
  <c r="H24" i="9"/>
  <c r="H25" i="9"/>
  <c r="H26" i="9"/>
  <c r="H27" i="9"/>
  <c r="H28" i="9"/>
  <c r="J28" i="9"/>
  <c r="H29" i="9"/>
  <c r="J29" i="9" s="1"/>
  <c r="H30" i="9"/>
  <c r="H31" i="9"/>
  <c r="H13" i="9"/>
  <c r="J13" i="9" s="1"/>
  <c r="J19" i="9"/>
  <c r="J24" i="9"/>
  <c r="J25" i="9"/>
  <c r="J27" i="9"/>
  <c r="J31" i="9"/>
  <c r="J26" i="9"/>
  <c r="J30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 s="1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I48" i="8"/>
  <c r="AF48" i="8"/>
  <c r="AH48" i="8" s="1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I47" i="8"/>
  <c r="AG47" i="8"/>
  <c r="AF47" i="8"/>
  <c r="AH47" i="8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I46" i="8"/>
  <c r="AF46" i="8"/>
  <c r="AH46" i="8" s="1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I44" i="8"/>
  <c r="AF44" i="8"/>
  <c r="AH44" i="8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N42" i="8" s="1"/>
  <c r="AF25" i="9" s="1"/>
  <c r="AI42" i="8"/>
  <c r="AF42" i="8"/>
  <c r="AH42" i="8" s="1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N41" i="8" s="1"/>
  <c r="AF24" i="9" s="1"/>
  <c r="AI41" i="8"/>
  <c r="AG41" i="8"/>
  <c r="AF41" i="8"/>
  <c r="AH41" i="8"/>
  <c r="BO40" i="8"/>
  <c r="BN40" i="8"/>
  <c r="BM40" i="8"/>
  <c r="BK40" i="8"/>
  <c r="AM40" i="8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 s="1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 s="1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AN30" i="8" s="1"/>
  <c r="AF13" i="9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S24" i="8"/>
  <c r="S25" i="8" s="1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 s="1"/>
  <c r="AD29" i="6" s="1"/>
  <c r="AL47" i="5"/>
  <c r="AJ47" i="5" s="1"/>
  <c r="AD30" i="6" s="1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S24" i="5"/>
  <c r="S25" i="5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C21" i="6" l="1"/>
  <c r="AN47" i="8"/>
  <c r="AF30" i="9" s="1"/>
  <c r="AN45" i="8"/>
  <c r="AF28" i="9" s="1"/>
  <c r="AN40" i="8"/>
  <c r="AF23" i="9" s="1"/>
  <c r="AN44" i="8"/>
  <c r="AF27" i="9" s="1"/>
  <c r="AN48" i="8"/>
  <c r="AF31" i="9" s="1"/>
  <c r="AC31" i="6"/>
  <c r="AN43" i="8"/>
  <c r="AF26" i="9" s="1"/>
  <c r="AN46" i="8"/>
  <c r="AF29" i="9" s="1"/>
  <c r="AN34" i="8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<sst xmlns="http://schemas.openxmlformats.org/spreadsheetml/2006/main" count="1657" uniqueCount="243">
  <si>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</si>
  <si>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</si>
  <si>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</si>
  <si>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</si>
  <si>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</si>
  <si>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</si>
  <si>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</si>
  <si>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</si>
  <si>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</si>
  <si>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</si>
  <si>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</si>
  <si>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</si>
  <si>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</si>
  <si>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</si>
  <si>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</si>
  <si>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</si>
  <si>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</si>
  <si>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</si>
  <si>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</si>
  <si>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</si>
  <si>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</si>
  <si>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</si>
  <si>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</si>
  <si>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</si>
  <si>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</si>
  <si>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</si>
  <si>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</si>
  <si>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</si>
  <si>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</si>
  <si>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</si>
  <si>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</si>
  <si>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</si>
  <si>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</si>
  <si>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</si>
  <si>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</si>
  <si>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</si>
  <si>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</si>
  <si>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</si>
  <si>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</si>
  <si>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</si>
  <si>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</si>
  <si>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</si>
  <si>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</si>
  <si>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</si>
  <si>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</si>
  <si>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</si>
  <si>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</si>
  <si>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</si>
  <si>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</si>
  <si>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</si>
  <si>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</si>
  <si>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</si>
  <si>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</si>
  <si>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</si>
  <si>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</si>
  <si>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</si>
  <si>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</si>
  <si>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</si>
  <si>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</si>
  <si>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</si>
  <si>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</si>
  <si>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</si>
  <si>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</si>
  <si>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</si>
  <si>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</si>
  <si>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</si>
  <si>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</si>
  <si>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</si>
  <si>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</si>
  <si>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</si>
  <si>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</si>
  <si>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</si>
  <si>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</si>
  <si>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</si>
  <si>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</si>
  <si>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</si>
  <si>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</si>
  <si>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</si>
  <si>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</si>
  <si>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</si>
  <si>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</si>
  <si>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</si>
  <si>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</si>
  <si>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</si>
  <si>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</si>
  <si>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</si>
  <si>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</si>
  <si>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</si>
  <si>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</si>
  <si>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</si>
  <si>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</si>
  <si>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</si>
  <si>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</si>
  <si>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</si>
  <si>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</si>
  <si>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</si>
  <si>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</si>
  <si>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</si>
  <si>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</si>
  <si>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</si>
  <si>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</si>
  <si>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</si>
  <si>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</si>
  <si>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</si>
  <si>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</si>
  <si>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</si>
  <si>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</si>
  <si>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</si>
  <si>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</si>
  <si>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</si>
  <si>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</si>
  <si>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</si>
  <si>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</si>
  <si>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</si>
  <si>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</si>
  <si>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</si>
  <si>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</si>
  <si>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</si>
  <si>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</si>
  <si>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</si>
  <si>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</si>
  <si>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</si>
  <si>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</si>
  <si>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</si>
  <si>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</si>
  <si>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</si>
  <si>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</si>
  <si>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</si>
  <si>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</si>
  <si>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</si>
  <si>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</si>
  <si>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</si>
  <si>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</si>
  <si>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</si>
  <si>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</si>
  <si>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</si>
  <si>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</si>
  <si>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</si>
  <si>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</si>
  <si>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</si>
  <si>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</si>
  <si>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</si>
  <si>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</si>
  <si>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</si>
  <si>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</si>
  <si>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</si>
  <si>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</si>
  <si>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</si>
  <si>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</si>
  <si>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</si>
  <si>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</si>
  <si>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</si>
  <si>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</si>
  <si>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</si>
  <si>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</si>
  <si>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</si>
  <si>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</si>
  <si>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</si>
  <si>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</si>
  <si>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</si>
  <si>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</si>
  <si>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</si>
  <si>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</si>
  <si>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</si>
  <si>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</si>
  <si>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</si>
  <si>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</si>
  <si>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</si>
  <si>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</si>
  <si>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</si>
  <si>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</si>
  <si>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</si>
  <si>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</si>
  <si>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</si>
  <si>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</si>
  <si>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</si>
  <si>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</si>
  <si>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</si>
  <si>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</si>
  <si>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</si>
  <si>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</si>
  <si>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</si>
  <si>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</si>
  <si>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</si>
  <si>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</si>
  <si>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</si>
  <si>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</si>
  <si>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</si>
  <si>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</si>
  <si>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</si>
  <si>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</si>
  <si>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</si>
  <si>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</si>
  <si>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</si>
  <si>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</si>
  <si>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</si>
  <si>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</si>
  <si>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</si>
  <si>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</si>
  <si>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</si>
  <si>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</si>
  <si>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</si>
  <si>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</si>
  <si>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</si>
  <si>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</si>
  <si>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</si>
  <si>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</si>
  <si>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</si>
  <si>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</si>
  <si>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</si>
  <si>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</si>
  <si>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</si>
  <si>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</si>
  <si>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</si>
  <si>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</si>
  <si>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</si>
  <si>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</si>
  <si>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</si>
  <si>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</si>
  <si>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</si>
  <si>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</si>
  <si>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</si>
  <si>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</si>
  <si>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</si>
  <si>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</si>
  <si>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</si>
  <si>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</si>
  <si>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</si>
  <si>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</si>
  <si>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</si>
  <si>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</si>
  <si>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</si>
  <si>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</si>
  <si>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</si>
  <si>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</si>
  <si>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</si>
  <si>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ACHS EDIFICIO K1</t>
  </si>
  <si>
    <t>Edific torre k1</t>
  </si>
  <si>
    <t>Edificio torre K1</t>
  </si>
  <si>
    <t>Miguel Angel Alviña</t>
  </si>
  <si>
    <t>PLENOS Y INYECION</t>
  </si>
  <si>
    <t xml:space="preserve">ACHS PISO C </t>
  </si>
  <si>
    <t>ESTRACCION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</si>
</sst>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8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Protection="1">
      <protection locked="0"/>
    </xf>
    <xf numFmtId="0" fontId="6" fillId="7" borderId="41" xfId="0" applyFont="1" applyFill="1" applyBorder="1" applyProtection="1">
      <protection locked="0"/>
    </xf>
    <xf numFmtId="0" fontId="6" fillId="7" borderId="42" xfId="0" applyFont="1" applyFill="1" applyBorder="1" applyProtection="1">
      <protection locked="0"/>
    </xf>
    <xf numFmtId="0" fontId="36" fillId="7" borderId="43" xfId="0" applyFont="1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44" xfId="0" applyFill="1" applyBorder="1" applyProtection="1">
      <protection locked="0"/>
    </xf>
    <xf numFmtId="0" fontId="6" fillId="7" borderId="45" xfId="0" applyFont="1" applyFill="1" applyBorder="1" applyProtection="1">
      <protection locked="0"/>
    </xf>
    <xf numFmtId="0" fontId="6" fillId="7" borderId="46" xfId="0" applyFont="1" applyFill="1" applyBorder="1" applyProtection="1">
      <protection locked="0"/>
    </xf>
    <xf numFmtId="0" fontId="6" fillId="7" borderId="50" xfId="0" applyFont="1" applyFill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Protection="1">
      <protection locked="0"/>
    </xf>
    <xf numFmtId="0" fontId="6" fillId="7" borderId="17" xfId="0" applyFont="1" applyFill="1" applyBorder="1" applyProtection="1">
      <protection locked="0"/>
    </xf>
    <xf numFmtId="0" fontId="6" fillId="7" borderId="12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4" fillId="0" borderId="79" xfId="1" applyFont="1" applyBorder="1" applyAlignment="1">
      <alignment vertical="center"/>
    </xf>
    <xf numFmtId="0" fontId="24" fillId="0" borderId="55" xfId="1" applyFont="1" applyBorder="1" applyAlignment="1">
      <alignment vertical="center"/>
    </xf>
    <xf numFmtId="0" fontId="24" fillId="0" borderId="66" xfId="1" applyFont="1" applyBorder="1" applyAlignment="1">
      <alignment vertical="center"/>
    </xf>
    <xf numFmtId="165" fontId="10" fillId="0" borderId="51" xfId="1" applyNumberFormat="1" applyFont="1" applyBorder="1" applyAlignment="1">
      <alignment vertical="center"/>
    </xf>
    <xf numFmtId="165" fontId="10" fillId="0" borderId="53" xfId="1" applyNumberFormat="1" applyFont="1" applyBorder="1" applyAlignment="1">
      <alignment vertical="center"/>
    </xf>
    <xf numFmtId="165" fontId="10" fillId="0" borderId="52" xfId="1" applyNumberFormat="1" applyFont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10" fillId="0" borderId="53" xfId="1" applyFont="1" applyBorder="1" applyAlignment="1">
      <alignment vertical="center"/>
    </xf>
    <xf numFmtId="0" fontId="10" fillId="0" borderId="52" xfId="1" applyFont="1" applyBorder="1" applyAlignment="1">
      <alignment vertical="center"/>
    </xf>
    <xf numFmtId="0" fontId="1" fillId="0" borderId="52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164" fontId="17" fillId="0" borderId="47" xfId="1" applyNumberFormat="1" applyFont="1" applyBorder="1" applyAlignment="1">
      <alignment horizontal="left" vertical="center"/>
    </xf>
    <xf numFmtId="0" fontId="17" fillId="0" borderId="47" xfId="1" applyFont="1" applyBorder="1" applyAlignment="1">
      <alignment vertical="center"/>
    </xf>
    <xf numFmtId="0" fontId="1" fillId="0" borderId="63" xfId="1" applyFont="1" applyBorder="1" applyAlignment="1">
      <alignment horizontal="center" vertical="center"/>
    </xf>
    <xf numFmtId="0" fontId="24" fillId="0" borderId="51" xfId="1" applyFont="1" applyBorder="1" applyAlignment="1">
      <alignment vertical="center"/>
    </xf>
    <xf numFmtId="0" fontId="24" fillId="0" borderId="53" xfId="1" applyFont="1" applyBorder="1" applyAlignment="1">
      <alignment vertical="center"/>
    </xf>
    <xf numFmtId="0" fontId="24" fillId="0" borderId="52" xfId="1" applyFont="1" applyBorder="1" applyAlignment="1">
      <alignment vertical="center"/>
    </xf>
    <xf numFmtId="3" fontId="4" fillId="0" borderId="52" xfId="1" applyNumberFormat="1" applyFont="1" applyBorder="1" applyAlignment="1">
      <alignment horizontal="center" vertical="center"/>
    </xf>
    <xf numFmtId="3" fontId="4" fillId="0" borderId="47" xfId="1" applyNumberFormat="1" applyFont="1" applyBorder="1" applyAlignment="1">
      <alignment horizontal="center" vertical="center"/>
    </xf>
    <xf numFmtId="0" fontId="1" fillId="0" borderId="47" xfId="1" applyFont="1" applyBorder="1" applyAlignment="1">
      <alignment vertical="center"/>
    </xf>
    <xf numFmtId="3" fontId="4" fillId="0" borderId="63" xfId="1" applyNumberFormat="1" applyFont="1" applyBorder="1" applyAlignment="1">
      <alignment horizontal="center" vertical="center"/>
    </xf>
    <xf numFmtId="0" fontId="17" fillId="0" borderId="75" xfId="1" applyFont="1" applyBorder="1" applyAlignment="1">
      <alignment vertical="center"/>
    </xf>
    <xf numFmtId="0" fontId="17" fillId="0" borderId="76" xfId="1" applyFont="1" applyBorder="1" applyAlignment="1">
      <alignment vertical="center"/>
    </xf>
    <xf numFmtId="0" fontId="17" fillId="0" borderId="77" xfId="1" applyFont="1" applyBorder="1" applyAlignment="1">
      <alignment vertical="center"/>
    </xf>
    <xf numFmtId="3" fontId="4" fillId="0" borderId="46" xfId="1" applyNumberFormat="1" applyFont="1" applyBorder="1" applyAlignment="1">
      <alignment horizontal="center" vertical="center"/>
    </xf>
    <xf numFmtId="0" fontId="17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36" fillId="0" borderId="46" xfId="1" applyBorder="1"/>
    <xf numFmtId="0" fontId="36" fillId="0" borderId="50" xfId="1" applyBorder="1"/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5" xfId="1" applyFont="1" applyBorder="1" applyAlignment="1">
      <alignment horizontal="center" vertical="center" wrapText="1"/>
    </xf>
    <xf numFmtId="0" fontId="11" fillId="0" borderId="85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9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90" xfId="1" applyNumberFormat="1" applyFont="1" applyBorder="1" applyAlignment="1">
      <alignment horizontal="center" vertical="center"/>
    </xf>
    <xf numFmtId="0" fontId="24" fillId="0" borderId="91" xfId="1" applyFont="1" applyBorder="1" applyAlignment="1">
      <alignment horizontal="center" vertical="center"/>
    </xf>
    <xf numFmtId="0" fontId="17" fillId="0" borderId="92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7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2" xfId="1" applyFont="1" applyBorder="1" applyAlignment="1">
      <alignment horizontal="center" vertical="center"/>
    </xf>
    <xf numFmtId="0" fontId="17" fillId="0" borderId="83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6" fillId="7" borderId="98" xfId="1" applyFont="1" applyFill="1" applyBorder="1" applyProtection="1">
      <protection locked="0"/>
    </xf>
    <xf numFmtId="0" fontId="6" fillId="7" borderId="99" xfId="1" applyFont="1" applyFill="1" applyBorder="1" applyProtection="1">
      <protection locked="0"/>
    </xf>
    <xf numFmtId="0" fontId="6" fillId="7" borderId="100" xfId="1" applyFont="1" applyFill="1" applyBorder="1" applyProtection="1">
      <protection locked="0"/>
    </xf>
    <xf numFmtId="0" fontId="6" fillId="0" borderId="30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36" fillId="7" borderId="48" xfId="1" applyFill="1" applyBorder="1" applyProtection="1">
      <protection locked="0"/>
    </xf>
    <xf numFmtId="0" fontId="36" fillId="7" borderId="0" xfId="1" applyFill="1" applyProtection="1">
      <protection locked="0"/>
    </xf>
    <xf numFmtId="0" fontId="36" fillId="7" borderId="49" xfId="1" applyFill="1" applyBorder="1" applyProtection="1">
      <protection locked="0"/>
    </xf>
    <xf numFmtId="0" fontId="6" fillId="0" borderId="21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6" fillId="7" borderId="101" xfId="1" applyFont="1" applyFill="1" applyBorder="1" applyProtection="1">
      <protection locked="0"/>
    </xf>
    <xf numFmtId="0" fontId="6" fillId="7" borderId="102" xfId="1" applyFont="1" applyFill="1" applyBorder="1" applyProtection="1">
      <protection locked="0"/>
    </xf>
    <xf numFmtId="0" fontId="6" fillId="7" borderId="103" xfId="1" applyFont="1" applyFill="1" applyBorder="1" applyProtection="1">
      <protection locked="0"/>
    </xf>
    <xf numFmtId="0" fontId="6" fillId="0" borderId="38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/>
    </xf>
    <xf numFmtId="2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vertical="center"/>
    </xf>
    <xf numFmtId="0" fontId="41" fillId="0" borderId="0" xfId="1" applyFont="1" applyAlignment="1">
      <alignment vertical="center"/>
    </xf>
    <xf numFmtId="0" fontId="42" fillId="0" borderId="0" xfId="1" applyFont="1" applyAlignment="1">
      <alignment horizontal="right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right" vertical="center"/>
    </xf>
    <xf numFmtId="169" fontId="38" fillId="0" borderId="0" xfId="1" applyNumberFormat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8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2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3" fillId="4" borderId="8" xfId="0" applyFont="1" applyFill="1" applyBorder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9" fillId="4" borderId="8" xfId="0" applyFont="1" applyFill="1" applyBorder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4" fillId="0" borderId="96" xfId="1" applyFont="1" applyBorder="1" applyAlignment="1">
      <alignment horizontal="center" vertical="center" wrapText="1"/>
    </xf>
    <xf numFmtId="0" fontId="6" fillId="0" borderId="97" xfId="1" applyFont="1" applyBorder="1"/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78" xfId="1" applyFont="1" applyBorder="1" applyAlignment="1">
      <alignment horizontal="left" vertical="center"/>
    </xf>
    <xf numFmtId="0" fontId="17" fillId="0" borderId="76" xfId="1" applyFont="1" applyBorder="1" applyAlignment="1">
      <alignment horizontal="left" vertical="center"/>
    </xf>
    <xf numFmtId="0" fontId="17" fillId="0" borderId="77" xfId="1" applyFont="1" applyBorder="1" applyAlignment="1">
      <alignment horizontal="left" vertical="center"/>
    </xf>
    <xf numFmtId="0" fontId="17" fillId="0" borderId="64" xfId="1" applyFont="1" applyBorder="1" applyAlignment="1">
      <alignment horizontal="left" vertical="center"/>
    </xf>
    <xf numFmtId="3" fontId="4" fillId="0" borderId="64" xfId="1" applyNumberFormat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17" fillId="0" borderId="57" xfId="1" applyFont="1" applyBorder="1" applyAlignment="1">
      <alignment horizontal="left" vertical="center"/>
    </xf>
    <xf numFmtId="0" fontId="17" fillId="0" borderId="53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17" fillId="0" borderId="47" xfId="1" applyFont="1" applyBorder="1" applyAlignment="1">
      <alignment horizontal="left" vertical="center"/>
    </xf>
    <xf numFmtId="0" fontId="6" fillId="0" borderId="51" xfId="1" applyFont="1" applyBorder="1" applyAlignment="1">
      <alignment horizontal="center"/>
    </xf>
    <xf numFmtId="0" fontId="6" fillId="0" borderId="53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63" xfId="1" applyFont="1" applyBorder="1" applyAlignment="1">
      <alignment horizont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0" fontId="17" fillId="0" borderId="47" xfId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7" fillId="0" borderId="54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17" fillId="0" borderId="66" xfId="1" applyFont="1" applyBorder="1" applyAlignment="1">
      <alignment horizontal="left" vertical="center"/>
    </xf>
    <xf numFmtId="0" fontId="17" fillId="0" borderId="61" xfId="1" applyFont="1" applyBorder="1" applyAlignment="1">
      <alignment horizontal="left" vertical="center"/>
    </xf>
    <xf numFmtId="14" fontId="6" fillId="0" borderId="79" xfId="1" applyNumberFormat="1" applyFont="1" applyBorder="1" applyAlignment="1">
      <alignment horizontal="center"/>
    </xf>
    <xf numFmtId="14" fontId="6" fillId="0" borderId="55" xfId="1" applyNumberFormat="1" applyFont="1" applyBorder="1" applyAlignment="1">
      <alignment horizontal="center"/>
    </xf>
    <xf numFmtId="14" fontId="6" fillId="0" borderId="66" xfId="1" applyNumberFormat="1" applyFont="1" applyBorder="1" applyAlignment="1">
      <alignment horizontal="center"/>
    </xf>
    <xf numFmtId="0" fontId="6" fillId="0" borderId="66" xfId="1" applyFont="1" applyBorder="1" applyAlignment="1">
      <alignment horizontal="left"/>
    </xf>
    <xf numFmtId="0" fontId="6" fillId="0" borderId="61" xfId="1" applyFont="1" applyBorder="1" applyAlignment="1">
      <alignment horizontal="left"/>
    </xf>
    <xf numFmtId="0" fontId="17" fillId="0" borderId="62" xfId="1" applyFont="1" applyBorder="1" applyAlignment="1">
      <alignment horizontal="left" vertical="center"/>
    </xf>
    <xf numFmtId="0" fontId="1" fillId="0" borderId="37" xfId="1" applyFont="1" applyBorder="1" applyAlignment="1">
      <alignment horizontal="left" vertical="center"/>
    </xf>
    <xf numFmtId="14" fontId="4" fillId="0" borderId="51" xfId="1" applyNumberFormat="1" applyFont="1" applyBorder="1" applyAlignment="1">
      <alignment horizontal="center" vertical="center"/>
    </xf>
    <xf numFmtId="14" fontId="4" fillId="0" borderId="53" xfId="1" applyNumberFormat="1" applyFont="1" applyBorder="1" applyAlignment="1">
      <alignment horizontal="center" vertical="center"/>
    </xf>
    <xf numFmtId="14" fontId="4" fillId="0" borderId="5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085854" y="4614582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999134" y="4586007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37744" y="4614582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496425" y="1971675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10800" y="1943100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886950" y="1971675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04704" y="461889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14289" y="459031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54747" y="461889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35498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752358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427265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872943" y="4614582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786222" y="4586007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24832" y="4614582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794280" y="1969441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18297" y="1950391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189626" y="1969441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CI301"/>
  <sheetViews>
    <sheetView showGridLines="0" tabSelected="1" zoomScale="85" zoomScaleNormal="85" workbookViewId="0">
      <selection activeCell="S30" sqref="S30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11.14062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201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657" t="s">
        <v>3</v>
      </c>
      <c r="AQ2" s="658"/>
      <c r="AR2" s="658"/>
      <c r="AS2" s="658"/>
      <c r="AT2" s="658"/>
      <c r="AU2" s="658"/>
      <c r="AV2" s="658"/>
      <c r="AW2" s="658"/>
      <c r="AX2" s="658"/>
      <c r="AY2" s="658"/>
      <c r="AZ2" s="658"/>
      <c r="BA2" s="658"/>
      <c r="BB2" s="658"/>
      <c r="BC2" s="658"/>
      <c r="BD2" s="658"/>
      <c r="BE2" s="658"/>
      <c r="BF2" s="658"/>
      <c r="BG2" s="658"/>
      <c r="BH2" s="658"/>
      <c r="BI2" s="658"/>
      <c r="BJ2" s="658"/>
      <c r="BK2" s="658"/>
      <c r="BL2" s="658"/>
      <c r="BM2" s="659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660"/>
      <c r="AQ3" s="653"/>
      <c r="AR3" s="653"/>
      <c r="AS3" s="653"/>
      <c r="AT3" s="653"/>
      <c r="AU3" s="653"/>
      <c r="AV3" s="653"/>
      <c r="AW3" s="653"/>
      <c r="AX3" s="653"/>
      <c r="AY3" s="653"/>
      <c r="AZ3" s="653"/>
      <c r="BA3" s="653"/>
      <c r="BB3" s="653"/>
      <c r="BC3" s="653"/>
      <c r="BD3" s="653"/>
      <c r="BE3" s="653"/>
      <c r="BF3" s="653"/>
      <c r="BG3" s="653"/>
      <c r="BH3" s="653"/>
      <c r="BI3" s="653"/>
      <c r="BJ3" s="653"/>
      <c r="BK3" s="653"/>
      <c r="BL3" s="653"/>
      <c r="BM3" s="654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234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6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248" t="s">
        <v>241</v>
      </c>
      <c r="E5" s="161"/>
      <c r="F5" s="161"/>
      <c r="G5" s="161"/>
      <c r="H5" s="661" t="s">
        <v>5</v>
      </c>
      <c r="I5" s="643"/>
      <c r="J5" s="662"/>
      <c r="K5" s="254">
        <v>46192</v>
      </c>
      <c r="L5" s="252"/>
      <c r="M5" s="252"/>
      <c r="N5" s="253"/>
      <c r="O5" s="148"/>
      <c r="P5" s="158" t="s">
        <v>6</v>
      </c>
      <c r="Q5" s="162"/>
      <c r="R5" s="651" t="s">
        <v>242</v>
      </c>
      <c r="S5" s="643"/>
      <c r="T5" s="642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234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6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249">
        <v>13784</v>
      </c>
      <c r="E6" s="161"/>
      <c r="F6" s="161"/>
      <c r="G6" s="161"/>
      <c r="H6" s="661" t="s">
        <v>8</v>
      </c>
      <c r="I6" s="643"/>
      <c r="J6" s="662"/>
      <c r="K6" s="254">
        <v>46198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237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38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248">
        <v>2</v>
      </c>
      <c r="E7" s="161"/>
      <c r="F7" s="161"/>
      <c r="G7" s="148"/>
      <c r="H7" s="661" t="s">
        <v>10</v>
      </c>
      <c r="I7" s="643"/>
      <c r="J7" s="662"/>
      <c r="K7" s="271" t="s">
        <v>229</v>
      </c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237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38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237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38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73" t="s">
        <v>202</v>
      </c>
      <c r="C9" s="643"/>
      <c r="D9" s="643"/>
      <c r="E9" s="643"/>
      <c r="F9" s="643"/>
      <c r="G9" s="643"/>
      <c r="H9" s="643"/>
      <c r="I9" s="643"/>
      <c r="J9" s="643"/>
      <c r="K9" s="642"/>
      <c r="L9" s="168"/>
      <c r="M9" s="169"/>
      <c r="N9" s="673" t="s">
        <v>11</v>
      </c>
      <c r="O9" s="643"/>
      <c r="P9" s="643"/>
      <c r="Q9" s="643"/>
      <c r="R9" s="643"/>
      <c r="S9" s="642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237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38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44" t="s">
        <v>12</v>
      </c>
      <c r="C10" s="642"/>
      <c r="D10" s="172" t="s">
        <v>13</v>
      </c>
      <c r="E10" s="644" t="s">
        <v>14</v>
      </c>
      <c r="F10" s="642"/>
      <c r="G10" s="644" t="s">
        <v>15</v>
      </c>
      <c r="H10" s="642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44" t="s">
        <v>20</v>
      </c>
      <c r="R10" s="642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237" t="s">
        <v>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38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47"/>
      <c r="F11" s="646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>SUMIF(AJ$29:AJ$48,N11,$AM$29:AM48)</f>
        <v>0</v>
      </c>
      <c r="P11" s="338">
        <f t="shared" ref="P11:P16" si="0">SUMIF(AJ$29:AJ$48,N11,AN$29:AN$48)</f>
        <v>0</v>
      </c>
      <c r="Q11" s="647"/>
      <c r="R11" s="646"/>
      <c r="S11" s="326"/>
      <c r="T11" s="339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237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38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47"/>
      <c r="F12" s="646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>SUMIF(AJ$29:AJ$48,N12,$AM$29:AM48)</f>
        <v>0.15530149123755782</v>
      </c>
      <c r="P12" s="338">
        <f t="shared" si="0"/>
        <v>0.62120596495023128</v>
      </c>
      <c r="Q12" s="645" t="s">
        <v>24</v>
      </c>
      <c r="R12" s="646"/>
      <c r="S12" s="326">
        <f>ROUNDUP(AI49/6,0)</f>
        <v>0</v>
      </c>
      <c r="T12" s="339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655" t="s">
        <v>26</v>
      </c>
      <c r="AQ12" s="653"/>
      <c r="AR12" s="653"/>
      <c r="AS12" s="656" t="s">
        <v>27</v>
      </c>
      <c r="AT12" s="653"/>
      <c r="AU12" s="653"/>
      <c r="AV12" s="652" t="s">
        <v>28</v>
      </c>
      <c r="AW12" s="653"/>
      <c r="AX12" s="652" t="s">
        <v>29</v>
      </c>
      <c r="AY12" s="653"/>
      <c r="AZ12" s="653"/>
      <c r="BA12" s="652" t="s">
        <v>30</v>
      </c>
      <c r="BB12" s="653"/>
      <c r="BC12" s="652" t="s">
        <v>31</v>
      </c>
      <c r="BD12" s="653"/>
      <c r="BE12" s="653"/>
      <c r="BF12" s="652" t="s">
        <v>32</v>
      </c>
      <c r="BG12" s="653"/>
      <c r="BH12" s="653"/>
      <c r="BI12" s="652" t="s">
        <v>33</v>
      </c>
      <c r="BJ12" s="653"/>
      <c r="BK12" s="653"/>
      <c r="BL12" s="652" t="s">
        <v>34</v>
      </c>
      <c r="BM12" s="654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47">
        <v>0.5</v>
      </c>
      <c r="F13" s="646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>SUMIF(AJ$29:AJ$48,N13,$AM$29:AM49)</f>
        <v>0</v>
      </c>
      <c r="P13" s="338">
        <f t="shared" si="0"/>
        <v>0</v>
      </c>
      <c r="Q13" s="645" t="s">
        <v>35</v>
      </c>
      <c r="R13" s="646"/>
      <c r="S13" s="343">
        <f>ROUNDUP(Z49,0)</f>
        <v>0</v>
      </c>
      <c r="T13" s="344"/>
      <c r="U13" s="178"/>
      <c r="V13" s="148"/>
      <c r="W13" s="148"/>
      <c r="X13" s="289"/>
      <c r="Y13" s="290"/>
      <c r="Z13" s="290"/>
      <c r="AA13" s="298" t="s">
        <v>233</v>
      </c>
      <c r="AB13" s="299" t="s">
        <v>234</v>
      </c>
      <c r="AC13" s="299"/>
      <c r="AD13" s="299"/>
      <c r="AE13" s="299"/>
      <c r="AF13" s="300"/>
      <c r="AG13" s="291"/>
      <c r="AH13" s="179"/>
      <c r="AI13" s="179"/>
      <c r="AJ13" s="179"/>
      <c r="AK13" s="179"/>
      <c r="AL13" s="179"/>
      <c r="AM13" s="148"/>
      <c r="AN13" s="180"/>
      <c r="AO13" s="150"/>
      <c r="AP13" s="239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1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75</v>
      </c>
      <c r="D14" s="326">
        <v>4</v>
      </c>
      <c r="E14" s="647">
        <v>0.5</v>
      </c>
      <c r="F14" s="646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>SUMIF(AJ$29:AJ$48,N14,$AM$29:AM50)</f>
        <v>0</v>
      </c>
      <c r="P14" s="338">
        <f t="shared" si="0"/>
        <v>0</v>
      </c>
      <c r="Q14" s="645" t="s">
        <v>36</v>
      </c>
      <c r="R14" s="646"/>
      <c r="S14" s="343">
        <f>S12*2</f>
        <v>0</v>
      </c>
      <c r="T14" s="344"/>
      <c r="U14" s="178"/>
      <c r="V14" s="148"/>
      <c r="W14" s="148"/>
      <c r="X14" s="292"/>
      <c r="AA14" s="301"/>
      <c r="AB14" s="302"/>
      <c r="AC14" s="302"/>
      <c r="AD14" s="302"/>
      <c r="AE14" s="302"/>
      <c r="AF14" s="303"/>
      <c r="AG14" s="293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76</v>
      </c>
      <c r="C15" s="326">
        <v>100</v>
      </c>
      <c r="D15" s="326">
        <v>4.8</v>
      </c>
      <c r="E15" s="647">
        <v>0.6</v>
      </c>
      <c r="F15" s="646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>SUMIF(AJ$29:AJ$48,N15,$AM$29:AM51)</f>
        <v>0</v>
      </c>
      <c r="P15" s="338">
        <f t="shared" si="0"/>
        <v>0</v>
      </c>
      <c r="Q15" s="645" t="s">
        <v>37</v>
      </c>
      <c r="R15" s="646"/>
      <c r="S15" s="340">
        <f>ROUNDUP(AI49/16,0)</f>
        <v>0</v>
      </c>
      <c r="T15" s="1"/>
      <c r="U15" s="178"/>
      <c r="V15" s="148"/>
      <c r="W15" s="148"/>
      <c r="X15" s="292"/>
      <c r="AA15" s="301"/>
      <c r="AB15" s="302"/>
      <c r="AC15" s="302"/>
      <c r="AD15" s="302"/>
      <c r="AE15" s="302"/>
      <c r="AF15" s="303"/>
      <c r="AG15" s="293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101</v>
      </c>
      <c r="C16" s="326">
        <v>120</v>
      </c>
      <c r="D16" s="326">
        <v>6.4</v>
      </c>
      <c r="E16" s="647">
        <v>0.8</v>
      </c>
      <c r="F16" s="646"/>
      <c r="G16" s="1"/>
      <c r="H16" s="1"/>
      <c r="I16" s="345"/>
      <c r="J16" s="1"/>
      <c r="K16" s="1"/>
      <c r="L16" s="1"/>
      <c r="M16" s="1"/>
      <c r="N16" s="346" t="s">
        <v>38</v>
      </c>
      <c r="O16" s="332">
        <f>SUMIF(AJ$29:AJ$48,N16,$AM$29:AM52)</f>
        <v>0</v>
      </c>
      <c r="P16" s="338">
        <f t="shared" si="0"/>
        <v>0</v>
      </c>
      <c r="Q16" s="645" t="s">
        <v>39</v>
      </c>
      <c r="R16" s="646"/>
      <c r="S16" s="326">
        <f>ROUNDUP(AI49/2,0)</f>
        <v>0</v>
      </c>
      <c r="T16" s="344"/>
      <c r="U16" s="178"/>
      <c r="V16" s="148"/>
      <c r="W16" s="148"/>
      <c r="X16" s="294"/>
      <c r="Y16" s="295"/>
      <c r="Z16" s="295"/>
      <c r="AA16" s="304"/>
      <c r="AB16" s="305"/>
      <c r="AC16" s="305"/>
      <c r="AD16" s="305"/>
      <c r="AE16" s="305"/>
      <c r="AF16" s="306"/>
      <c r="AG16" s="296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121</v>
      </c>
      <c r="C17" s="326">
        <v>150</v>
      </c>
      <c r="D17" s="326">
        <v>8</v>
      </c>
      <c r="E17" s="647">
        <v>1</v>
      </c>
      <c r="F17" s="646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si="1">SUM(O11:O16)</f>
        <v>0.15530149123755782</v>
      </c>
      <c r="P17" s="348">
        <f t="shared" si="1"/>
        <v>0.62120596495023128</v>
      </c>
      <c r="Q17" s="645" t="s">
        <v>41</v>
      </c>
      <c r="R17" s="646"/>
      <c r="S17" s="326">
        <f>ROUNDUP(AI49/6,0)</f>
        <v>0</v>
      </c>
      <c r="T17" s="344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151</v>
      </c>
      <c r="C18" s="349">
        <v>270</v>
      </c>
      <c r="D18" s="349">
        <v>8</v>
      </c>
      <c r="E18" s="663" t="s">
        <v>42</v>
      </c>
      <c r="F18" s="664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5" t="s">
        <v>43</v>
      </c>
      <c r="R18" s="646"/>
      <c r="S18" s="326">
        <f>ROUNDUP(AI49/1.5,0)</f>
        <v>0</v>
      </c>
      <c r="T18" s="344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5" t="s">
        <v>45</v>
      </c>
      <c r="R19" s="646"/>
      <c r="S19" s="326">
        <f>ROUNDUP(AI49/3,0)</f>
        <v>0</v>
      </c>
      <c r="T19" s="35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65" t="s">
        <v>44</v>
      </c>
      <c r="C20" s="666"/>
      <c r="D20" s="666"/>
      <c r="E20" s="666"/>
      <c r="F20" s="666"/>
      <c r="G20" s="666"/>
      <c r="H20" s="666"/>
      <c r="I20" s="666"/>
      <c r="J20" s="666"/>
      <c r="K20" s="646"/>
      <c r="L20" s="354"/>
      <c r="M20" s="350"/>
      <c r="N20" s="1"/>
      <c r="O20" s="1"/>
      <c r="P20" s="1"/>
      <c r="Q20" s="674" t="s">
        <v>46</v>
      </c>
      <c r="R20" s="355" t="s">
        <v>47</v>
      </c>
      <c r="S20" s="326">
        <f>AI49+AH49</f>
        <v>0</v>
      </c>
      <c r="T20" s="35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7" t="s">
        <v>48</v>
      </c>
      <c r="C21" s="668"/>
      <c r="D21" s="671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72"/>
      <c r="R21" s="355" t="s">
        <v>49</v>
      </c>
      <c r="S21" s="326">
        <f>ROUNDUP(S20*0.062,0)</f>
        <v>0</v>
      </c>
      <c r="T21" s="1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9"/>
      <c r="C22" s="670"/>
      <c r="D22" s="672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75" t="s">
        <v>50</v>
      </c>
      <c r="R22" s="355" t="s">
        <v>51</v>
      </c>
      <c r="S22" s="343">
        <f>ROUNDUP(Y49,0)</f>
        <v>0</v>
      </c>
      <c r="T22" s="1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72"/>
      <c r="R23" s="355" t="s">
        <v>49</v>
      </c>
      <c r="S23" s="356">
        <f>ROUNDUP(5.3*100*D15/10000*S22,0)</f>
        <v>0</v>
      </c>
      <c r="T23" s="357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75" t="s">
        <v>52</v>
      </c>
      <c r="R24" s="355" t="s">
        <v>47</v>
      </c>
      <c r="S24" s="343">
        <f>ROUNDUP(X49,0)</f>
        <v>0</v>
      </c>
      <c r="T24" s="1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72"/>
      <c r="R25" s="355" t="s">
        <v>49</v>
      </c>
      <c r="S25" s="356">
        <f>ROUNDUP(5.7*100*D16/10000*S24,0)</f>
        <v>0</v>
      </c>
      <c r="T25" s="1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4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150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44" t="s">
        <v>62</v>
      </c>
      <c r="E28" s="642"/>
      <c r="F28" s="644" t="s">
        <v>63</v>
      </c>
      <c r="G28" s="643"/>
      <c r="H28" s="642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44" t="s">
        <v>68</v>
      </c>
      <c r="O28" s="643"/>
      <c r="P28" s="642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44" t="s">
        <v>76</v>
      </c>
      <c r="AB28" s="642"/>
      <c r="AC28" s="644" t="s">
        <v>77</v>
      </c>
      <c r="AD28" s="642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39" t="s">
        <v>14</v>
      </c>
      <c r="AK28" s="640"/>
      <c r="AL28" s="212" t="s">
        <v>83</v>
      </c>
      <c r="AM28" s="172" t="s">
        <v>84</v>
      </c>
      <c r="AN28" s="172" t="s">
        <v>49</v>
      </c>
      <c r="AO28" s="255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35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251"/>
      <c r="E29" s="638"/>
      <c r="F29" s="651" t="s">
        <v>98</v>
      </c>
      <c r="G29" s="643"/>
      <c r="H29" s="642"/>
      <c r="I29" s="214">
        <v>15</v>
      </c>
      <c r="J29" s="214"/>
      <c r="K29" s="214"/>
      <c r="L29" s="214"/>
      <c r="M29" s="214"/>
      <c r="N29" s="641"/>
      <c r="O29" s="643"/>
      <c r="P29" s="642"/>
      <c r="Q29" s="214"/>
      <c r="R29" s="214"/>
      <c r="S29" s="214">
        <v>1</v>
      </c>
      <c r="T29" s="214">
        <v>30</v>
      </c>
      <c r="U29" s="214"/>
      <c r="V29" s="215"/>
      <c r="W29" s="216"/>
      <c r="X29" s="214"/>
      <c r="Y29" s="214"/>
      <c r="Z29" s="217"/>
      <c r="AA29" s="641" t="s">
        <v>134</v>
      </c>
      <c r="AB29" s="642"/>
      <c r="AC29" s="641" t="s">
        <v>140</v>
      </c>
      <c r="AD29" s="642"/>
      <c r="AE29" s="218" t="b">
        <v>0</v>
      </c>
      <c r="AF29" s="32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15</v>
      </c>
      <c r="AG29" s="32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4">IF(F29&lt;&gt;C$78,IF(AA29="TDF",4,0)+IF(AC29="TDF",4,0)+IF(AND(F29=C$78,AF29&gt;1,J29&gt;25,K29&gt;25),8*AG29,0),0)</f>
        <v>0</v>
      </c>
      <c r="AI29" s="328">
        <f t="shared" ref="AI29:AI48" si="5">IF(F29=C$78,IF(AA29="TDF",4,0)+IF(AC29="TDF",4,0)+IF(AND(F29=C$78,AF29&gt;1,J29&gt;25,K29&gt;25),8*AG29,0),0)</f>
        <v>0</v>
      </c>
      <c r="AJ29" s="329" t="str">
        <f>IF(F29&lt;&gt;"Ducto Cilindrico",IF(AE29=TRUE,0.5,AL29),"")</f>
        <v/>
      </c>
      <c r="AK29" s="330">
        <f>IF(F29="Ducto Cilindrico",IF(T29&lt;=C23,D23,IF(T29&lt;=C24,D24,IF(T29&lt;=C25,D25,IF(T29&lt;=C26,D26)))),"")</f>
        <v>0.5</v>
      </c>
      <c r="AL29" s="331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32">
        <f t="shared" ref="AM29:AM48" si="7">IF(F29="","",IF(ISERROR(HLOOKUP(F29,AP$28:BO$48,AO29)),"",IF(HLOOKUP(F29,AP$28:BO$48,AO29)="N/D","",HLOOKUP(F29,AP$28:BO$48,AO29))))</f>
        <v>14.467166941154069</v>
      </c>
      <c r="AN29" s="332">
        <f t="shared" ref="AN29:AN48" si="8">IF(ISERROR(AM29*(IF(AJ29=1,8,IF(AJ29=0.8,6.4,IF(AJ29=0.6,4.8,IF(AJ29=0.5,4)))))),"",AM29*(IF(AJ29=1,8,IF(AJ29=0.8,6.4,IF(AJ29=0.6,4.8,IF(AJ29=0.5,4))))))</f>
        <v>0</v>
      </c>
      <c r="AO29" s="255">
        <v>2</v>
      </c>
      <c r="AP29" s="322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0">IF(F29="Caja Difusora",((PI()*(2*AY$57/10+J29)^2)/2+J29*(1+PI()/2)*(2*AX$57/10+K29)-PI()*T29+(PI()*T29+(AX$55+AY$55)/10)*10)/10000*I29,"N/D")</f>
        <v>N/D</v>
      </c>
      <c r="AR29" s="322" t="str">
        <f t="shared" ref="AR29:AR48" si="11">IF(F29="Caja Difusora Esp.",((2*S29*100+J29)*(K29+2*AX$57/10)-PI()*((T29/2)^2-(T29+(AX$55+AY$55)/10)*12)+2*(S29*100+AY$57/10)*(K29+2*AY$57/10))/10000*I29,"N/D")</f>
        <v>N/D</v>
      </c>
      <c r="AS29" s="322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>
        <f t="shared" ref="BC29:BC48" si="22">IF(F29="Ducto Cilindrico",((PI()*T29+AX$55/10+AY$55/10)*S29*100)/10000*I29,"N/D")</f>
        <v>14.467166941154069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5">IF(F29="Pleno",((K29+2*AX$57/10)*(2*S29*100+J29)+2*(J29+2*AY$57/10)*(S29*100+AY$57/10)+2*(J29+K29)*(VLOOKUP(AA29,AS$55:AT$71,2))/10)/10000*I29,"N/D")</f>
        <v>N/D</v>
      </c>
      <c r="BG29" s="322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>IF(I29="Pleno",((N29+2*BA$57/10)*(2*V29*100+M29)+2*(M29+2*BB$57/10)*(V29*100+BB$57/10)+2*(M29+N29)*(VLOOKUP(AD29,AV$55:AW$71,2))/10)/10000*L29,"N/D")</f>
        <v>N/D</v>
      </c>
      <c r="BJ29" s="322" t="str">
        <f>IF(J29="Pleno",((O29+2*BB$57/10)*(2*W29*100+N29)+2*(N29+2*BC$57/10)*(W29*100+BC$57/10)+2*(N29+O29)*(VLOOKUP(AE29,AW$55:AX$71,2))/10)/10000*M29,"N/D")</f>
        <v>N/D</v>
      </c>
      <c r="BK29" s="322" t="str">
        <f>IF(K29="Pleno",((P29+2*BC$57/10)*(2*X29*100+O29)+2*(O29+2*BD$57/10)*(X29*100+BD$57/10)+2*(O29+P29)*(VLOOKUP(AF29,AX$55:AY$71,2))/10)/10000*N29,"N/D")</f>
        <v>N/D</v>
      </c>
      <c r="BL29" s="322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>IF(M29="Pleno",((R29+2*BE$57/10)*(2*Z29*100+Q29)+2*(Q29+2*BF$57/10)*(Z29*100+BF$57/10)+2*(Q29+R29)*(VLOOKUP(AH29,AZ$55:BA$71,2))/10)/10000*P29,"N/D")</f>
        <v>N/D</v>
      </c>
      <c r="BN29" s="322" t="str">
        <f>IF(N29="Pleno",((S29+2*BF$57/10)*(2*AA29*100+R29)+2*(R29+2*BG$57/10)*(AA29*100+BG$57/10)+2*(R29+S29)*(VLOOKUP(AI29,BA$55:BB$71,2))/10)/10000*Q29,"N/D")</f>
        <v>N/D</v>
      </c>
      <c r="BO29" s="322" t="str">
        <f>IF(O29="Pleno",((T29+2*BG$57/10)*(2*AB29*100+S29)+2*(S29+2*BH$57/10)*(AB29*100+BH$57/10)+2*(S29+T29)*(VLOOKUP(AJ29,BB$55:BC$71,2))/10)/10000*R29,"N/D")</f>
        <v>N/D</v>
      </c>
      <c r="BP29" s="256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251"/>
      <c r="E30" s="638"/>
      <c r="F30" s="651" t="s">
        <v>88</v>
      </c>
      <c r="G30" s="643"/>
      <c r="H30" s="642"/>
      <c r="I30" s="214">
        <v>3</v>
      </c>
      <c r="J30" s="214"/>
      <c r="K30" s="214"/>
      <c r="L30" s="214"/>
      <c r="M30" s="214"/>
      <c r="N30" s="641"/>
      <c r="O30" s="643"/>
      <c r="P30" s="642"/>
      <c r="Q30" s="214"/>
      <c r="R30" s="214"/>
      <c r="S30" s="214"/>
      <c r="T30" s="214">
        <v>30</v>
      </c>
      <c r="U30" s="214"/>
      <c r="V30" s="215"/>
      <c r="W30" s="216"/>
      <c r="X30" s="214"/>
      <c r="Y30" s="214"/>
      <c r="Z30" s="217"/>
      <c r="AA30" s="641" t="s">
        <v>134</v>
      </c>
      <c r="AB30" s="642"/>
      <c r="AC30" s="641" t="s">
        <v>140</v>
      </c>
      <c r="AD30" s="642"/>
      <c r="AE30" s="219" t="b">
        <v>0</v>
      </c>
      <c r="AF30" s="326">
        <f t="shared" si="2"/>
        <v>3</v>
      </c>
      <c r="AG30" s="327">
        <f t="shared" si="3"/>
        <v>0</v>
      </c>
      <c r="AH30" s="327">
        <f t="shared" si="4"/>
        <v>0</v>
      </c>
      <c r="AI30" s="328">
        <f t="shared" si="5"/>
        <v>0</v>
      </c>
      <c r="AJ30" s="329">
        <f t="shared" ref="AJ30:AJ48" si="29">IF(AE30=TRUE,0.5,AL30)</f>
        <v>0.5</v>
      </c>
      <c r="AK30" s="330"/>
      <c r="AL30" s="331">
        <f t="shared" si="6"/>
        <v>0.5</v>
      </c>
      <c r="AM30" s="332">
        <f t="shared" si="7"/>
        <v>6.6557781958953344E-2</v>
      </c>
      <c r="AN30" s="332">
        <f t="shared" si="8"/>
        <v>0.26623112783581337</v>
      </c>
      <c r="AO30" s="255">
        <v>3</v>
      </c>
      <c r="AP30" s="322" t="str">
        <f t="shared" si="9"/>
        <v>N/D</v>
      </c>
      <c r="AQ30" s="322" t="str">
        <f t="shared" si="10"/>
        <v>N/D</v>
      </c>
      <c r="AR30" s="322" t="str">
        <f t="shared" si="11"/>
        <v>N/D</v>
      </c>
      <c r="AS30" s="322">
        <f t="shared" si="12"/>
        <v>6.6557781958953344E-2</v>
      </c>
      <c r="AT30" s="322" t="str">
        <f t="shared" si="13"/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si="24"/>
        <v>N/D</v>
      </c>
      <c r="BF30" s="322" t="str">
        <f t="shared" si="25"/>
        <v>N/D</v>
      </c>
      <c r="BG30" s="322" t="str">
        <f t="shared" si="26"/>
        <v>N/D</v>
      </c>
      <c r="BH30" s="322" t="str">
        <f t="shared" si="27"/>
        <v>N/D</v>
      </c>
      <c r="BI30" s="322" t="str">
        <f t="shared" ref="BI30" si="30">IF(F30="Tapa",J30*K30/10000*I30,"N/D")</f>
        <v>N/D</v>
      </c>
      <c r="BJ30" s="322" t="str">
        <f t="shared" ref="BJ30:BJ48" si="31">IF(F30="Transf. Red - Cuad",(((S30*100+BC$56/10)*(J30+2*AX$55/10+2*AY$55/10+K30+PI()*T30/2))/10000*I30)*1.041,"N/D")</f>
        <v>N/D</v>
      </c>
      <c r="BK30" s="322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322" t="str">
        <f t="shared" si="28"/>
        <v>N/D</v>
      </c>
      <c r="BM30" s="32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2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2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56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50"/>
      <c r="C31" s="214"/>
      <c r="D31" s="251"/>
      <c r="E31" s="638"/>
      <c r="F31" s="651" t="s">
        <v>100</v>
      </c>
      <c r="G31" s="643"/>
      <c r="H31" s="642"/>
      <c r="I31" s="214">
        <v>4</v>
      </c>
      <c r="J31" s="214"/>
      <c r="K31" s="214"/>
      <c r="L31" s="214"/>
      <c r="M31" s="214"/>
      <c r="N31" s="641"/>
      <c r="O31" s="643"/>
      <c r="P31" s="642"/>
      <c r="Q31" s="214"/>
      <c r="R31" s="214"/>
      <c r="S31" s="214"/>
      <c r="T31" s="214">
        <v>30</v>
      </c>
      <c r="U31" s="214"/>
      <c r="V31" s="215"/>
      <c r="W31" s="216"/>
      <c r="X31" s="214"/>
      <c r="Y31" s="214"/>
      <c r="Z31" s="251"/>
      <c r="AA31" s="641" t="s">
        <v>134</v>
      </c>
      <c r="AB31" s="642"/>
      <c r="AC31" s="641" t="s">
        <v>140</v>
      </c>
      <c r="AD31" s="642"/>
      <c r="AE31" s="219"/>
      <c r="AF31" s="326">
        <f t="shared" si="2"/>
        <v>4</v>
      </c>
      <c r="AG31" s="327">
        <f t="shared" si="3"/>
        <v>0</v>
      </c>
      <c r="AH31" s="327">
        <f t="shared" si="4"/>
        <v>0</v>
      </c>
      <c r="AI31" s="328">
        <f t="shared" si="5"/>
        <v>0</v>
      </c>
      <c r="AJ31" s="329">
        <f t="shared" ref="AJ31:AJ46" si="36">IF(AE31=TRUE,0.5,AL31)</f>
        <v>0.5</v>
      </c>
      <c r="AK31" s="330"/>
      <c r="AL31" s="331">
        <f t="shared" si="6"/>
        <v>0.5</v>
      </c>
      <c r="AM31" s="332">
        <f t="shared" si="7"/>
        <v>8.8743709278604463E-2</v>
      </c>
      <c r="AN31" s="332">
        <f t="shared" ref="AN31:AN46" si="37">IF(ISERROR(AM31*(IF(AJ31=1,8,IF(AJ31=0.8,6.4,IF(AJ31=0.6,4.8,IF(AJ31=0.5,4)))))),"",AM31*(IF(AJ31=1,8,IF(AJ31=0.8,6.4,IF(AJ31=0.6,4.8,IF(AJ31=0.5,4))))))</f>
        <v>0.35497483711441785</v>
      </c>
      <c r="AO31" s="255">
        <v>4</v>
      </c>
      <c r="AP31" s="322" t="str">
        <f t="shared" si="9"/>
        <v>N/D</v>
      </c>
      <c r="AQ31" s="322" t="str">
        <f t="shared" si="10"/>
        <v>N/D</v>
      </c>
      <c r="AR31" s="322" t="str">
        <f t="shared" si="11"/>
        <v>N/D</v>
      </c>
      <c r="AS31" s="322" t="str">
        <f t="shared" si="12"/>
        <v>N/D</v>
      </c>
      <c r="AT31" s="322" t="str">
        <f t="shared" si="13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>
        <f t="shared" si="24"/>
        <v>8.8743709278604463E-2</v>
      </c>
      <c r="BF31" s="322" t="str">
        <f t="shared" si="25"/>
        <v>N/D</v>
      </c>
      <c r="BG31" s="322" t="str">
        <f t="shared" si="26"/>
        <v>N/D</v>
      </c>
      <c r="BH31" s="322" t="str">
        <f t="shared" si="27"/>
        <v>N/D</v>
      </c>
      <c r="BI31" s="322" t="str">
        <f t="shared" ref="BI31:BI48" si="38">IF(F31="Tapa",J31*K31/10000*I31,"N/D")</f>
        <v>N/D</v>
      </c>
      <c r="BJ31" s="322" t="str">
        <f t="shared" si="31"/>
        <v>N/D</v>
      </c>
      <c r="BK31" s="322" t="str">
        <f t="shared" si="32"/>
        <v>N/D</v>
      </c>
      <c r="BL31" s="322" t="str">
        <f t="shared" si="28"/>
        <v>N/D</v>
      </c>
      <c r="BM31" s="322" t="str">
        <f t="shared" si="33"/>
        <v>N/D</v>
      </c>
      <c r="BN31" s="322" t="str">
        <f t="shared" si="34"/>
        <v>N/D</v>
      </c>
      <c r="BO31" s="322" t="str">
        <f t="shared" si="35"/>
        <v>N/D</v>
      </c>
      <c r="BP31" s="256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251"/>
      <c r="E32" s="638"/>
      <c r="F32" s="651"/>
      <c r="G32" s="643"/>
      <c r="H32" s="642"/>
      <c r="I32" s="214"/>
      <c r="J32" s="214"/>
      <c r="K32" s="214"/>
      <c r="L32" s="214"/>
      <c r="M32" s="214"/>
      <c r="N32" s="641"/>
      <c r="O32" s="643"/>
      <c r="P32" s="642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1"/>
      <c r="AB32" s="642"/>
      <c r="AC32" s="641"/>
      <c r="AD32" s="642"/>
      <c r="AE32" s="219" t="b">
        <v>0</v>
      </c>
      <c r="AF32" s="326" t="str">
        <f t="shared" si="2"/>
        <v/>
      </c>
      <c r="AG32" s="327">
        <f t="shared" si="3"/>
        <v>0</v>
      </c>
      <c r="AH32" s="327">
        <f t="shared" si="4"/>
        <v>0</v>
      </c>
      <c r="AI32" s="328">
        <f t="shared" si="5"/>
        <v>0</v>
      </c>
      <c r="AJ32" s="329" t="str">
        <f t="shared" si="36"/>
        <v/>
      </c>
      <c r="AK32" s="330"/>
      <c r="AL32" s="331" t="str">
        <f t="shared" si="6"/>
        <v/>
      </c>
      <c r="AM32" s="332" t="str">
        <f t="shared" si="7"/>
        <v/>
      </c>
      <c r="AN32" s="332" t="str">
        <f t="shared" si="37"/>
        <v/>
      </c>
      <c r="AO32" s="255">
        <v>5</v>
      </c>
      <c r="AP32" s="322" t="str">
        <f t="shared" si="9"/>
        <v>N/D</v>
      </c>
      <c r="AQ32" s="322" t="str">
        <f t="shared" si="10"/>
        <v>N/D</v>
      </c>
      <c r="AR32" s="322" t="str">
        <f t="shared" si="11"/>
        <v>N/D</v>
      </c>
      <c r="AS32" s="322" t="str">
        <f t="shared" si="12"/>
        <v>N/D</v>
      </c>
      <c r="AT32" s="322" t="str">
        <f t="shared" si="13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 t="str">
        <f t="shared" si="23"/>
        <v>N/D</v>
      </c>
      <c r="BE32" s="322" t="str">
        <f t="shared" si="24"/>
        <v>N/D</v>
      </c>
      <c r="BF32" s="322" t="str">
        <f t="shared" si="25"/>
        <v>N/D</v>
      </c>
      <c r="BG32" s="322" t="str">
        <f t="shared" si="26"/>
        <v>N/D</v>
      </c>
      <c r="BH32" s="322" t="str">
        <f t="shared" si="27"/>
        <v>N/D</v>
      </c>
      <c r="BI32" s="322" t="str">
        <f t="shared" si="38"/>
        <v>N/D</v>
      </c>
      <c r="BJ32" s="322" t="str">
        <f t="shared" si="31"/>
        <v>N/D</v>
      </c>
      <c r="BK32" s="322" t="str">
        <f t="shared" si="32"/>
        <v>N/D</v>
      </c>
      <c r="BL32" s="322" t="str">
        <f t="shared" si="28"/>
        <v>N/D</v>
      </c>
      <c r="BM32" s="322" t="str">
        <f t="shared" si="33"/>
        <v>N/D</v>
      </c>
      <c r="BN32" s="322" t="str">
        <f t="shared" si="34"/>
        <v>N/D</v>
      </c>
      <c r="BO32" s="322" t="str">
        <f t="shared" si="35"/>
        <v>N/D</v>
      </c>
      <c r="BP32" s="256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251"/>
      <c r="E33" s="638"/>
      <c r="F33" s="651"/>
      <c r="G33" s="643"/>
      <c r="H33" s="642"/>
      <c r="I33" s="214"/>
      <c r="J33" s="214"/>
      <c r="K33" s="214"/>
      <c r="L33" s="214"/>
      <c r="M33" s="214"/>
      <c r="N33" s="641"/>
      <c r="O33" s="643"/>
      <c r="P33" s="642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1"/>
      <c r="AB33" s="642"/>
      <c r="AC33" s="641"/>
      <c r="AD33" s="642"/>
      <c r="AE33" s="219"/>
      <c r="AF33" s="326" t="str">
        <f t="shared" si="2"/>
        <v/>
      </c>
      <c r="AG33" s="327">
        <f t="shared" si="3"/>
        <v>0</v>
      </c>
      <c r="AH33" s="327">
        <f t="shared" si="4"/>
        <v>0</v>
      </c>
      <c r="AI33" s="328">
        <f t="shared" si="5"/>
        <v>0</v>
      </c>
      <c r="AJ33" s="329" t="str">
        <f t="shared" si="36"/>
        <v/>
      </c>
      <c r="AK33" s="330"/>
      <c r="AL33" s="331" t="str">
        <f t="shared" si="6"/>
        <v/>
      </c>
      <c r="AM33" s="332" t="str">
        <f t="shared" si="7"/>
        <v/>
      </c>
      <c r="AN33" s="332" t="str">
        <f t="shared" si="37"/>
        <v/>
      </c>
      <c r="AO33" s="255">
        <v>6</v>
      </c>
      <c r="AP33" s="322" t="str">
        <f t="shared" si="9"/>
        <v>N/D</v>
      </c>
      <c r="AQ33" s="322" t="str">
        <f t="shared" si="10"/>
        <v>N/D</v>
      </c>
      <c r="AR33" s="322" t="str">
        <f t="shared" si="11"/>
        <v>N/D</v>
      </c>
      <c r="AS33" s="322" t="str">
        <f t="shared" si="12"/>
        <v>N/D</v>
      </c>
      <c r="AT33" s="322" t="str">
        <f t="shared" si="13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24"/>
        <v>N/D</v>
      </c>
      <c r="BF33" s="322" t="str">
        <f t="shared" si="25"/>
        <v>N/D</v>
      </c>
      <c r="BG33" s="322" t="str">
        <f t="shared" si="26"/>
        <v>N/D</v>
      </c>
      <c r="BH33" s="322" t="str">
        <f t="shared" si="27"/>
        <v>N/D</v>
      </c>
      <c r="BI33" s="322" t="str">
        <f t="shared" si="38"/>
        <v>N/D</v>
      </c>
      <c r="BJ33" s="322" t="str">
        <f t="shared" si="31"/>
        <v>N/D</v>
      </c>
      <c r="BK33" s="322" t="str">
        <f t="shared" si="32"/>
        <v>N/D</v>
      </c>
      <c r="BL33" s="322" t="str">
        <f t="shared" si="28"/>
        <v>N/D</v>
      </c>
      <c r="BM33" s="322" t="str">
        <f t="shared" si="33"/>
        <v>N/D</v>
      </c>
      <c r="BN33" s="322" t="str">
        <f t="shared" si="34"/>
        <v>N/D</v>
      </c>
      <c r="BO33" s="322" t="str">
        <f t="shared" si="35"/>
        <v>N/D</v>
      </c>
      <c r="BP33" s="256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251"/>
      <c r="E34" s="638"/>
      <c r="F34" s="651"/>
      <c r="G34" s="643"/>
      <c r="H34" s="642"/>
      <c r="I34" s="214"/>
      <c r="J34" s="214"/>
      <c r="K34" s="214"/>
      <c r="L34" s="214"/>
      <c r="M34" s="214"/>
      <c r="N34" s="641"/>
      <c r="O34" s="643"/>
      <c r="P34" s="642"/>
      <c r="Q34" s="214"/>
      <c r="R34" s="214"/>
      <c r="S34" s="214"/>
      <c r="T34" s="214"/>
      <c r="U34" s="214"/>
      <c r="V34" s="215"/>
      <c r="W34" s="216"/>
      <c r="X34" s="214"/>
      <c r="Y34" s="214"/>
      <c r="Z34" s="217"/>
      <c r="AA34" s="641"/>
      <c r="AB34" s="642"/>
      <c r="AC34" s="641"/>
      <c r="AD34" s="642"/>
      <c r="AE34" s="219"/>
      <c r="AF34" s="326" t="str">
        <f t="shared" si="2"/>
        <v/>
      </c>
      <c r="AG34" s="327">
        <f t="shared" si="3"/>
        <v>0</v>
      </c>
      <c r="AH34" s="327">
        <f t="shared" si="4"/>
        <v>0</v>
      </c>
      <c r="AI34" s="328">
        <f t="shared" si="5"/>
        <v>0</v>
      </c>
      <c r="AJ34" s="329" t="str">
        <f t="shared" si="36"/>
        <v/>
      </c>
      <c r="AK34" s="330"/>
      <c r="AL34" s="331" t="str">
        <f t="shared" si="6"/>
        <v/>
      </c>
      <c r="AM34" s="332" t="str">
        <f t="shared" si="7"/>
        <v/>
      </c>
      <c r="AN34" s="332" t="str">
        <f t="shared" si="37"/>
        <v/>
      </c>
      <c r="AO34" s="255">
        <v>7</v>
      </c>
      <c r="AP34" s="322" t="str">
        <f t="shared" si="9"/>
        <v>N/D</v>
      </c>
      <c r="AQ34" s="322" t="str">
        <f t="shared" si="10"/>
        <v>N/D</v>
      </c>
      <c r="AR34" s="322" t="str">
        <f t="shared" si="11"/>
        <v>N/D</v>
      </c>
      <c r="AS34" s="322" t="str">
        <f t="shared" si="12"/>
        <v>N/D</v>
      </c>
      <c r="AT34" s="322" t="str">
        <f t="shared" si="13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24"/>
        <v>N/D</v>
      </c>
      <c r="BF34" s="322" t="str">
        <f t="shared" si="25"/>
        <v>N/D</v>
      </c>
      <c r="BG34" s="322" t="str">
        <f t="shared" si="26"/>
        <v>N/D</v>
      </c>
      <c r="BH34" s="322" t="str">
        <f t="shared" si="27"/>
        <v>N/D</v>
      </c>
      <c r="BI34" s="322" t="str">
        <f t="shared" si="38"/>
        <v>N/D</v>
      </c>
      <c r="BJ34" s="322" t="str">
        <f t="shared" si="31"/>
        <v>N/D</v>
      </c>
      <c r="BK34" s="322" t="str">
        <f t="shared" si="32"/>
        <v>N/D</v>
      </c>
      <c r="BL34" s="322" t="str">
        <f t="shared" si="28"/>
        <v>N/D</v>
      </c>
      <c r="BM34" s="322" t="str">
        <f t="shared" si="33"/>
        <v>N/D</v>
      </c>
      <c r="BN34" s="322" t="str">
        <f t="shared" si="34"/>
        <v>N/D</v>
      </c>
      <c r="BO34" s="322" t="str">
        <f t="shared" si="35"/>
        <v>N/D</v>
      </c>
      <c r="BP34" s="256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251"/>
      <c r="E35" s="638"/>
      <c r="F35" s="651"/>
      <c r="G35" s="643"/>
      <c r="H35" s="642"/>
      <c r="I35" s="214"/>
      <c r="J35" s="214"/>
      <c r="K35" s="214"/>
      <c r="L35" s="214"/>
      <c r="M35" s="214"/>
      <c r="N35" s="641"/>
      <c r="O35" s="643"/>
      <c r="P35" s="642"/>
      <c r="Q35" s="214"/>
      <c r="R35" s="214"/>
      <c r="S35" s="214"/>
      <c r="T35" s="214"/>
      <c r="U35" s="214"/>
      <c r="V35" s="215"/>
      <c r="W35" s="216"/>
      <c r="X35" s="214"/>
      <c r="Y35" s="214"/>
      <c r="Z35" s="217"/>
      <c r="AA35" s="641"/>
      <c r="AB35" s="642"/>
      <c r="AC35" s="641"/>
      <c r="AD35" s="642"/>
      <c r="AE35" s="219"/>
      <c r="AF35" s="326" t="str">
        <f t="shared" si="2"/>
        <v/>
      </c>
      <c r="AG35" s="327">
        <f t="shared" si="3"/>
        <v>0</v>
      </c>
      <c r="AH35" s="327">
        <f t="shared" si="4"/>
        <v>0</v>
      </c>
      <c r="AI35" s="328">
        <f t="shared" si="5"/>
        <v>0</v>
      </c>
      <c r="AJ35" s="329" t="str">
        <f t="shared" si="36"/>
        <v/>
      </c>
      <c r="AK35" s="330"/>
      <c r="AL35" s="331" t="str">
        <f t="shared" si="6"/>
        <v/>
      </c>
      <c r="AM35" s="332" t="str">
        <f t="shared" si="7"/>
        <v/>
      </c>
      <c r="AN35" s="332" t="str">
        <f t="shared" si="37"/>
        <v/>
      </c>
      <c r="AO35" s="255">
        <v>8</v>
      </c>
      <c r="AP35" s="322" t="str">
        <f t="shared" si="9"/>
        <v>N/D</v>
      </c>
      <c r="AQ35" s="322" t="str">
        <f t="shared" si="10"/>
        <v>N/D</v>
      </c>
      <c r="AR35" s="322" t="str">
        <f t="shared" si="11"/>
        <v>N/D</v>
      </c>
      <c r="AS35" s="322" t="str">
        <f t="shared" si="12"/>
        <v>N/D</v>
      </c>
      <c r="AT35" s="322" t="str">
        <f t="shared" si="13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 t="str">
        <f t="shared" si="23"/>
        <v>N/D</v>
      </c>
      <c r="BE35" s="322" t="str">
        <f t="shared" si="24"/>
        <v>N/D</v>
      </c>
      <c r="BF35" s="322" t="str">
        <f t="shared" si="25"/>
        <v>N/D</v>
      </c>
      <c r="BG35" s="322" t="str">
        <f t="shared" si="26"/>
        <v>N/D</v>
      </c>
      <c r="BH35" s="322" t="str">
        <f t="shared" si="27"/>
        <v>N/D</v>
      </c>
      <c r="BI35" s="322" t="str">
        <f t="shared" si="38"/>
        <v>N/D</v>
      </c>
      <c r="BJ35" s="322" t="str">
        <f t="shared" si="31"/>
        <v>N/D</v>
      </c>
      <c r="BK35" s="322" t="str">
        <f t="shared" si="32"/>
        <v>N/D</v>
      </c>
      <c r="BL35" s="322" t="str">
        <f t="shared" si="28"/>
        <v>N/D</v>
      </c>
      <c r="BM35" s="322" t="str">
        <f t="shared" si="33"/>
        <v>N/D</v>
      </c>
      <c r="BN35" s="322" t="str">
        <f t="shared" si="34"/>
        <v>N/D</v>
      </c>
      <c r="BO35" s="322" t="str">
        <f t="shared" si="35"/>
        <v>N/D</v>
      </c>
      <c r="BP35" s="256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251"/>
      <c r="E36" s="638"/>
      <c r="F36" s="651"/>
      <c r="G36" s="643"/>
      <c r="H36" s="642"/>
      <c r="I36" s="214"/>
      <c r="J36" s="214"/>
      <c r="K36" s="214"/>
      <c r="L36" s="214"/>
      <c r="M36" s="214"/>
      <c r="N36" s="641"/>
      <c r="O36" s="643"/>
      <c r="P36" s="642"/>
      <c r="Q36" s="214"/>
      <c r="R36" s="214"/>
      <c r="S36" s="214"/>
      <c r="T36" s="214"/>
      <c r="U36" s="214"/>
      <c r="V36" s="215"/>
      <c r="W36" s="216"/>
      <c r="X36" s="214"/>
      <c r="Y36" s="214"/>
      <c r="Z36" s="217"/>
      <c r="AA36" s="641"/>
      <c r="AB36" s="642"/>
      <c r="AC36" s="641"/>
      <c r="AD36" s="642"/>
      <c r="AE36" s="219" t="b">
        <v>0</v>
      </c>
      <c r="AF36" s="326" t="str">
        <f t="shared" si="2"/>
        <v/>
      </c>
      <c r="AG36" s="327">
        <f t="shared" si="3"/>
        <v>0</v>
      </c>
      <c r="AH36" s="327">
        <f t="shared" si="4"/>
        <v>0</v>
      </c>
      <c r="AI36" s="328">
        <f t="shared" si="5"/>
        <v>0</v>
      </c>
      <c r="AJ36" s="329" t="str">
        <f t="shared" si="36"/>
        <v/>
      </c>
      <c r="AK36" s="330"/>
      <c r="AL36" s="331" t="str">
        <f t="shared" si="6"/>
        <v/>
      </c>
      <c r="AM36" s="332" t="str">
        <f t="shared" si="7"/>
        <v/>
      </c>
      <c r="AN36" s="332" t="str">
        <f t="shared" si="37"/>
        <v/>
      </c>
      <c r="AO36" s="255">
        <v>9</v>
      </c>
      <c r="AP36" s="322" t="str">
        <f t="shared" si="9"/>
        <v>N/D</v>
      </c>
      <c r="AQ36" s="322" t="str">
        <f t="shared" si="10"/>
        <v>N/D</v>
      </c>
      <c r="AR36" s="322" t="str">
        <f t="shared" si="11"/>
        <v>N/D</v>
      </c>
      <c r="AS36" s="322" t="str">
        <f t="shared" si="12"/>
        <v>N/D</v>
      </c>
      <c r="AT36" s="322" t="str">
        <f t="shared" si="13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24"/>
        <v>N/D</v>
      </c>
      <c r="BF36" s="322" t="str">
        <f t="shared" si="25"/>
        <v>N/D</v>
      </c>
      <c r="BG36" s="322" t="str">
        <f t="shared" si="26"/>
        <v>N/D</v>
      </c>
      <c r="BH36" s="322" t="str">
        <f t="shared" si="27"/>
        <v>N/D</v>
      </c>
      <c r="BI36" s="322" t="str">
        <f t="shared" si="38"/>
        <v>N/D</v>
      </c>
      <c r="BJ36" s="322" t="str">
        <f t="shared" si="31"/>
        <v>N/D</v>
      </c>
      <c r="BK36" s="322" t="str">
        <f t="shared" si="32"/>
        <v>N/D</v>
      </c>
      <c r="BL36" s="322" t="str">
        <f t="shared" si="28"/>
        <v>N/D</v>
      </c>
      <c r="BM36" s="322" t="str">
        <f t="shared" si="33"/>
        <v>N/D</v>
      </c>
      <c r="BN36" s="322" t="str">
        <f t="shared" si="34"/>
        <v>N/D</v>
      </c>
      <c r="BO36" s="322" t="str">
        <f t="shared" si="35"/>
        <v>N/D</v>
      </c>
      <c r="BP36" s="256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251"/>
      <c r="E37" s="638"/>
      <c r="F37" s="651"/>
      <c r="G37" s="643"/>
      <c r="H37" s="642"/>
      <c r="I37" s="214"/>
      <c r="J37" s="214"/>
      <c r="K37" s="214"/>
      <c r="L37" s="214"/>
      <c r="M37" s="214"/>
      <c r="N37" s="641"/>
      <c r="O37" s="643"/>
      <c r="P37" s="642"/>
      <c r="Q37" s="214"/>
      <c r="R37" s="214"/>
      <c r="S37" s="214"/>
      <c r="T37" s="214"/>
      <c r="U37" s="214"/>
      <c r="V37" s="215"/>
      <c r="W37" s="216"/>
      <c r="X37" s="214"/>
      <c r="Y37" s="214"/>
      <c r="Z37" s="217"/>
      <c r="AA37" s="641"/>
      <c r="AB37" s="642"/>
      <c r="AC37" s="641"/>
      <c r="AD37" s="642"/>
      <c r="AE37" s="219"/>
      <c r="AF37" s="326" t="str">
        <f t="shared" si="2"/>
        <v/>
      </c>
      <c r="AG37" s="327">
        <f t="shared" si="3"/>
        <v>0</v>
      </c>
      <c r="AH37" s="327">
        <f t="shared" si="4"/>
        <v>0</v>
      </c>
      <c r="AI37" s="328">
        <f t="shared" si="5"/>
        <v>0</v>
      </c>
      <c r="AJ37" s="329" t="str">
        <f t="shared" si="36"/>
        <v/>
      </c>
      <c r="AK37" s="330"/>
      <c r="AL37" s="331" t="str">
        <f t="shared" si="6"/>
        <v/>
      </c>
      <c r="AM37" s="332" t="str">
        <f t="shared" si="7"/>
        <v/>
      </c>
      <c r="AN37" s="332" t="str">
        <f t="shared" si="37"/>
        <v/>
      </c>
      <c r="AO37" s="255">
        <v>10</v>
      </c>
      <c r="AP37" s="322" t="str">
        <f t="shared" si="9"/>
        <v>N/D</v>
      </c>
      <c r="AQ37" s="322" t="str">
        <f t="shared" si="10"/>
        <v>N/D</v>
      </c>
      <c r="AR37" s="322" t="str">
        <f t="shared" si="11"/>
        <v>N/D</v>
      </c>
      <c r="AS37" s="322" t="str">
        <f t="shared" si="12"/>
        <v>N/D</v>
      </c>
      <c r="AT37" s="322" t="str">
        <f t="shared" si="13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24"/>
        <v>N/D</v>
      </c>
      <c r="BF37" s="322" t="str">
        <f t="shared" si="25"/>
        <v>N/D</v>
      </c>
      <c r="BG37" s="322" t="str">
        <f t="shared" si="26"/>
        <v>N/D</v>
      </c>
      <c r="BH37" s="322" t="str">
        <f t="shared" si="27"/>
        <v>N/D</v>
      </c>
      <c r="BI37" s="322" t="str">
        <f t="shared" si="38"/>
        <v>N/D</v>
      </c>
      <c r="BJ37" s="322" t="str">
        <f t="shared" si="31"/>
        <v>N/D</v>
      </c>
      <c r="BK37" s="322" t="str">
        <f t="shared" si="32"/>
        <v>N/D</v>
      </c>
      <c r="BL37" s="322" t="str">
        <f t="shared" si="28"/>
        <v>N/D</v>
      </c>
      <c r="BM37" s="322" t="str">
        <f t="shared" si="33"/>
        <v>N/D</v>
      </c>
      <c r="BN37" s="322" t="str">
        <f t="shared" si="34"/>
        <v>N/D</v>
      </c>
      <c r="BO37" s="322" t="str">
        <f t="shared" si="35"/>
        <v>N/D</v>
      </c>
      <c r="BP37" s="256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251"/>
      <c r="E38" s="638"/>
      <c r="F38" s="651"/>
      <c r="G38" s="643"/>
      <c r="H38" s="642"/>
      <c r="I38" s="214"/>
      <c r="J38" s="214"/>
      <c r="K38" s="214"/>
      <c r="L38" s="214"/>
      <c r="M38" s="214"/>
      <c r="N38" s="641"/>
      <c r="O38" s="643"/>
      <c r="P38" s="642"/>
      <c r="Q38" s="214"/>
      <c r="R38" s="214"/>
      <c r="S38" s="214"/>
      <c r="T38" s="214"/>
      <c r="U38" s="214"/>
      <c r="V38" s="215"/>
      <c r="W38" s="216"/>
      <c r="X38" s="214"/>
      <c r="Y38" s="214"/>
      <c r="Z38" s="217"/>
      <c r="AA38" s="641"/>
      <c r="AB38" s="642"/>
      <c r="AC38" s="641"/>
      <c r="AD38" s="642"/>
      <c r="AE38" s="219"/>
      <c r="AF38" s="326" t="str">
        <f t="shared" si="2"/>
        <v/>
      </c>
      <c r="AG38" s="327">
        <f t="shared" si="3"/>
        <v>0</v>
      </c>
      <c r="AH38" s="327">
        <f t="shared" si="4"/>
        <v>0</v>
      </c>
      <c r="AI38" s="328">
        <f t="shared" si="5"/>
        <v>0</v>
      </c>
      <c r="AJ38" s="329" t="str">
        <f t="shared" si="36"/>
        <v/>
      </c>
      <c r="AK38" s="330"/>
      <c r="AL38" s="331" t="str">
        <f t="shared" si="6"/>
        <v/>
      </c>
      <c r="AM38" s="332" t="str">
        <f t="shared" si="7"/>
        <v/>
      </c>
      <c r="AN38" s="332" t="str">
        <f t="shared" si="37"/>
        <v/>
      </c>
      <c r="AO38" s="255">
        <v>11</v>
      </c>
      <c r="AP38" s="322" t="str">
        <f t="shared" si="9"/>
        <v>N/D</v>
      </c>
      <c r="AQ38" s="322" t="str">
        <f t="shared" si="10"/>
        <v>N/D</v>
      </c>
      <c r="AR38" s="322" t="str">
        <f t="shared" si="11"/>
        <v>N/D</v>
      </c>
      <c r="AS38" s="322" t="str">
        <f t="shared" si="12"/>
        <v>N/D</v>
      </c>
      <c r="AT38" s="322" t="str">
        <f t="shared" si="13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24"/>
        <v>N/D</v>
      </c>
      <c r="BF38" s="322" t="str">
        <f t="shared" si="25"/>
        <v>N/D</v>
      </c>
      <c r="BG38" s="322" t="str">
        <f t="shared" si="26"/>
        <v>N/D</v>
      </c>
      <c r="BH38" s="322" t="str">
        <f t="shared" si="27"/>
        <v>N/D</v>
      </c>
      <c r="BI38" s="322" t="str">
        <f t="shared" si="38"/>
        <v>N/D</v>
      </c>
      <c r="BJ38" s="322" t="str">
        <f t="shared" si="31"/>
        <v>N/D</v>
      </c>
      <c r="BK38" s="322" t="str">
        <f t="shared" si="32"/>
        <v>N/D</v>
      </c>
      <c r="BL38" s="322" t="str">
        <f t="shared" si="28"/>
        <v>N/D</v>
      </c>
      <c r="BM38" s="322" t="str">
        <f t="shared" si="33"/>
        <v>N/D</v>
      </c>
      <c r="BN38" s="322" t="str">
        <f t="shared" si="34"/>
        <v>N/D</v>
      </c>
      <c r="BO38" s="322" t="str">
        <f t="shared" si="35"/>
        <v>N/D</v>
      </c>
      <c r="BP38" s="256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251"/>
      <c r="E39" s="638"/>
      <c r="F39" s="651"/>
      <c r="G39" s="643"/>
      <c r="H39" s="642"/>
      <c r="I39" s="214"/>
      <c r="J39" s="214"/>
      <c r="K39" s="214"/>
      <c r="L39" s="214"/>
      <c r="M39" s="214"/>
      <c r="N39" s="641"/>
      <c r="O39" s="643"/>
      <c r="P39" s="642"/>
      <c r="Q39" s="214"/>
      <c r="R39" s="214"/>
      <c r="S39" s="214"/>
      <c r="T39" s="214"/>
      <c r="U39" s="214"/>
      <c r="V39" s="215"/>
      <c r="W39" s="216"/>
      <c r="X39" s="214"/>
      <c r="Y39" s="214"/>
      <c r="Z39" s="217"/>
      <c r="AA39" s="641"/>
      <c r="AB39" s="642"/>
      <c r="AC39" s="641"/>
      <c r="AD39" s="642"/>
      <c r="AE39" s="219"/>
      <c r="AF39" s="326" t="str">
        <f t="shared" si="2"/>
        <v/>
      </c>
      <c r="AG39" s="327">
        <f t="shared" si="3"/>
        <v>0</v>
      </c>
      <c r="AH39" s="327">
        <f t="shared" si="4"/>
        <v>0</v>
      </c>
      <c r="AI39" s="328">
        <f t="shared" si="5"/>
        <v>0</v>
      </c>
      <c r="AJ39" s="329" t="str">
        <f t="shared" si="36"/>
        <v/>
      </c>
      <c r="AK39" s="330"/>
      <c r="AL39" s="331" t="str">
        <f t="shared" si="6"/>
        <v/>
      </c>
      <c r="AM39" s="332" t="str">
        <f t="shared" si="7"/>
        <v/>
      </c>
      <c r="AN39" s="332" t="str">
        <f t="shared" si="37"/>
        <v/>
      </c>
      <c r="AO39" s="255">
        <v>12</v>
      </c>
      <c r="AP39" s="322" t="str">
        <f t="shared" si="9"/>
        <v>N/D</v>
      </c>
      <c r="AQ39" s="322" t="str">
        <f t="shared" si="10"/>
        <v>N/D</v>
      </c>
      <c r="AR39" s="322" t="str">
        <f t="shared" si="11"/>
        <v>N/D</v>
      </c>
      <c r="AS39" s="322" t="str">
        <f t="shared" si="12"/>
        <v>N/D</v>
      </c>
      <c r="AT39" s="322" t="str">
        <f t="shared" si="13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24"/>
        <v>N/D</v>
      </c>
      <c r="BF39" s="322" t="str">
        <f t="shared" si="25"/>
        <v>N/D</v>
      </c>
      <c r="BG39" s="322" t="str">
        <f t="shared" si="26"/>
        <v>N/D</v>
      </c>
      <c r="BH39" s="322" t="str">
        <f t="shared" si="27"/>
        <v>N/D</v>
      </c>
      <c r="BI39" s="322" t="str">
        <f t="shared" si="38"/>
        <v>N/D</v>
      </c>
      <c r="BJ39" s="322" t="str">
        <f t="shared" si="31"/>
        <v>N/D</v>
      </c>
      <c r="BK39" s="322" t="str">
        <f t="shared" si="32"/>
        <v>N/D</v>
      </c>
      <c r="BL39" s="322" t="str">
        <f t="shared" si="28"/>
        <v>N/D</v>
      </c>
      <c r="BM39" s="322" t="str">
        <f t="shared" si="33"/>
        <v>N/D</v>
      </c>
      <c r="BN39" s="322" t="str">
        <f t="shared" si="34"/>
        <v>N/D</v>
      </c>
      <c r="BO39" s="322" t="str">
        <f t="shared" si="35"/>
        <v>N/D</v>
      </c>
      <c r="BP39" s="256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251"/>
      <c r="E40" s="638"/>
      <c r="F40" s="651"/>
      <c r="G40" s="643"/>
      <c r="H40" s="642"/>
      <c r="I40" s="214"/>
      <c r="J40" s="214"/>
      <c r="K40" s="214"/>
      <c r="L40" s="214"/>
      <c r="M40" s="214"/>
      <c r="N40" s="641"/>
      <c r="O40" s="643"/>
      <c r="P40" s="642"/>
      <c r="Q40" s="214"/>
      <c r="R40" s="214"/>
      <c r="S40" s="214"/>
      <c r="T40" s="214"/>
      <c r="U40" s="214"/>
      <c r="V40" s="215"/>
      <c r="W40" s="216"/>
      <c r="X40" s="214"/>
      <c r="Y40" s="214"/>
      <c r="Z40" s="217"/>
      <c r="AA40" s="641"/>
      <c r="AB40" s="642"/>
      <c r="AC40" s="641"/>
      <c r="AD40" s="642"/>
      <c r="AE40" s="219"/>
      <c r="AF40" s="326" t="str">
        <f t="shared" si="2"/>
        <v/>
      </c>
      <c r="AG40" s="327">
        <f t="shared" si="3"/>
        <v>0</v>
      </c>
      <c r="AH40" s="327">
        <f t="shared" si="4"/>
        <v>0</v>
      </c>
      <c r="AI40" s="328">
        <f t="shared" si="5"/>
        <v>0</v>
      </c>
      <c r="AJ40" s="329" t="str">
        <f t="shared" si="36"/>
        <v/>
      </c>
      <c r="AK40" s="330"/>
      <c r="AL40" s="331" t="str">
        <f t="shared" si="6"/>
        <v/>
      </c>
      <c r="AM40" s="332" t="str">
        <f t="shared" si="7"/>
        <v/>
      </c>
      <c r="AN40" s="332" t="str">
        <f t="shared" si="37"/>
        <v/>
      </c>
      <c r="AO40" s="255">
        <v>13</v>
      </c>
      <c r="AP40" s="322" t="str">
        <f t="shared" si="9"/>
        <v>N/D</v>
      </c>
      <c r="AQ40" s="322" t="str">
        <f t="shared" si="10"/>
        <v>N/D</v>
      </c>
      <c r="AR40" s="322" t="str">
        <f t="shared" si="11"/>
        <v>N/D</v>
      </c>
      <c r="AS40" s="322" t="str">
        <f t="shared" si="12"/>
        <v>N/D</v>
      </c>
      <c r="AT40" s="322" t="str">
        <f t="shared" si="13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24"/>
        <v>N/D</v>
      </c>
      <c r="BF40" s="322" t="str">
        <f t="shared" si="25"/>
        <v>N/D</v>
      </c>
      <c r="BG40" s="322" t="str">
        <f t="shared" si="26"/>
        <v>N/D</v>
      </c>
      <c r="BH40" s="322" t="str">
        <f t="shared" si="27"/>
        <v>N/D</v>
      </c>
      <c r="BI40" s="322" t="str">
        <f t="shared" si="38"/>
        <v>N/D</v>
      </c>
      <c r="BJ40" s="322" t="str">
        <f t="shared" si="31"/>
        <v>N/D</v>
      </c>
      <c r="BK40" s="322" t="str">
        <f t="shared" si="32"/>
        <v>N/D</v>
      </c>
      <c r="BL40" s="322" t="str">
        <f t="shared" si="28"/>
        <v>N/D</v>
      </c>
      <c r="BM40" s="322" t="str">
        <f t="shared" si="33"/>
        <v>N/D</v>
      </c>
      <c r="BN40" s="322" t="str">
        <f t="shared" si="34"/>
        <v>N/D</v>
      </c>
      <c r="BO40" s="322" t="str">
        <f t="shared" si="35"/>
        <v>N/D</v>
      </c>
      <c r="BP40" s="256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251"/>
      <c r="E41" s="638"/>
      <c r="F41" s="651"/>
      <c r="G41" s="643"/>
      <c r="H41" s="642"/>
      <c r="I41" s="214"/>
      <c r="J41" s="214"/>
      <c r="K41" s="214"/>
      <c r="L41" s="214"/>
      <c r="M41" s="214"/>
      <c r="N41" s="641"/>
      <c r="O41" s="643"/>
      <c r="P41" s="642"/>
      <c r="Q41" s="214"/>
      <c r="R41" s="214"/>
      <c r="S41" s="214"/>
      <c r="T41" s="214"/>
      <c r="U41" s="214"/>
      <c r="V41" s="215"/>
      <c r="W41" s="216"/>
      <c r="X41" s="214"/>
      <c r="Y41" s="214"/>
      <c r="Z41" s="217"/>
      <c r="AA41" s="641"/>
      <c r="AB41" s="642"/>
      <c r="AC41" s="641"/>
      <c r="AD41" s="642"/>
      <c r="AE41" s="219"/>
      <c r="AF41" s="326" t="str">
        <f t="shared" si="2"/>
        <v/>
      </c>
      <c r="AG41" s="327">
        <f t="shared" si="3"/>
        <v>0</v>
      </c>
      <c r="AH41" s="327">
        <f t="shared" si="4"/>
        <v>0</v>
      </c>
      <c r="AI41" s="328">
        <f t="shared" si="5"/>
        <v>0</v>
      </c>
      <c r="AJ41" s="329" t="str">
        <f t="shared" si="36"/>
        <v/>
      </c>
      <c r="AK41" s="330"/>
      <c r="AL41" s="331" t="str">
        <f t="shared" si="6"/>
        <v/>
      </c>
      <c r="AM41" s="332" t="str">
        <f t="shared" si="7"/>
        <v/>
      </c>
      <c r="AN41" s="332" t="str">
        <f t="shared" si="37"/>
        <v/>
      </c>
      <c r="AO41" s="255">
        <v>14</v>
      </c>
      <c r="AP41" s="322" t="str">
        <f t="shared" si="9"/>
        <v>N/D</v>
      </c>
      <c r="AQ41" s="322" t="str">
        <f t="shared" si="10"/>
        <v>N/D</v>
      </c>
      <c r="AR41" s="322" t="str">
        <f t="shared" si="11"/>
        <v>N/D</v>
      </c>
      <c r="AS41" s="322" t="str">
        <f t="shared" si="12"/>
        <v>N/D</v>
      </c>
      <c r="AT41" s="322" t="str">
        <f t="shared" si="13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24"/>
        <v>N/D</v>
      </c>
      <c r="BF41" s="322" t="str">
        <f t="shared" si="25"/>
        <v>N/D</v>
      </c>
      <c r="BG41" s="322" t="str">
        <f t="shared" si="26"/>
        <v>N/D</v>
      </c>
      <c r="BH41" s="322" t="str">
        <f t="shared" si="27"/>
        <v>N/D</v>
      </c>
      <c r="BI41" s="322" t="str">
        <f t="shared" si="38"/>
        <v>N/D</v>
      </c>
      <c r="BJ41" s="322" t="str">
        <f t="shared" si="31"/>
        <v>N/D</v>
      </c>
      <c r="BK41" s="322" t="str">
        <f t="shared" si="32"/>
        <v>N/D</v>
      </c>
      <c r="BL41" s="322" t="str">
        <f t="shared" si="28"/>
        <v>N/D</v>
      </c>
      <c r="BM41" s="322" t="str">
        <f t="shared" si="33"/>
        <v>N/D</v>
      </c>
      <c r="BN41" s="322" t="str">
        <f t="shared" si="34"/>
        <v>N/D</v>
      </c>
      <c r="BO41" s="322" t="str">
        <f t="shared" si="35"/>
        <v>N/D</v>
      </c>
      <c r="BP41" s="256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251"/>
      <c r="E42" s="638"/>
      <c r="F42" s="651"/>
      <c r="G42" s="643"/>
      <c r="H42" s="642"/>
      <c r="I42" s="214"/>
      <c r="J42" s="214"/>
      <c r="K42" s="214"/>
      <c r="L42" s="214"/>
      <c r="M42" s="214"/>
      <c r="N42" s="641"/>
      <c r="O42" s="643"/>
      <c r="P42" s="642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1"/>
      <c r="AB42" s="642"/>
      <c r="AC42" s="641"/>
      <c r="AD42" s="642"/>
      <c r="AE42" s="219"/>
      <c r="AF42" s="326" t="str">
        <f t="shared" si="2"/>
        <v/>
      </c>
      <c r="AG42" s="327">
        <f t="shared" si="3"/>
        <v>0</v>
      </c>
      <c r="AH42" s="327">
        <f t="shared" si="4"/>
        <v>0</v>
      </c>
      <c r="AI42" s="328">
        <f t="shared" si="5"/>
        <v>0</v>
      </c>
      <c r="AJ42" s="329" t="str">
        <f t="shared" si="36"/>
        <v/>
      </c>
      <c r="AK42" s="330"/>
      <c r="AL42" s="331" t="str">
        <f t="shared" si="6"/>
        <v/>
      </c>
      <c r="AM42" s="332" t="str">
        <f t="shared" si="7"/>
        <v/>
      </c>
      <c r="AN42" s="332" t="str">
        <f t="shared" si="37"/>
        <v/>
      </c>
      <c r="AO42" s="255">
        <v>15</v>
      </c>
      <c r="AP42" s="322" t="str">
        <f t="shared" si="9"/>
        <v>N/D</v>
      </c>
      <c r="AQ42" s="322" t="str">
        <f t="shared" si="10"/>
        <v>N/D</v>
      </c>
      <c r="AR42" s="322" t="str">
        <f t="shared" si="11"/>
        <v>N/D</v>
      </c>
      <c r="AS42" s="322" t="str">
        <f t="shared" si="12"/>
        <v>N/D</v>
      </c>
      <c r="AT42" s="322" t="str">
        <f t="shared" si="13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24"/>
        <v>N/D</v>
      </c>
      <c r="BF42" s="322" t="str">
        <f t="shared" si="25"/>
        <v>N/D</v>
      </c>
      <c r="BG42" s="322" t="str">
        <f t="shared" si="26"/>
        <v>N/D</v>
      </c>
      <c r="BH42" s="322" t="str">
        <f t="shared" si="27"/>
        <v>N/D</v>
      </c>
      <c r="BI42" s="322" t="str">
        <f t="shared" si="38"/>
        <v>N/D</v>
      </c>
      <c r="BJ42" s="322" t="str">
        <f t="shared" si="31"/>
        <v>N/D</v>
      </c>
      <c r="BK42" s="322" t="str">
        <f t="shared" si="32"/>
        <v>N/D</v>
      </c>
      <c r="BL42" s="322" t="str">
        <f t="shared" si="28"/>
        <v>N/D</v>
      </c>
      <c r="BM42" s="322" t="str">
        <f t="shared" si="33"/>
        <v>N/D</v>
      </c>
      <c r="BN42" s="322" t="str">
        <f t="shared" si="34"/>
        <v>N/D</v>
      </c>
      <c r="BO42" s="322" t="str">
        <f t="shared" si="35"/>
        <v>N/D</v>
      </c>
      <c r="BP42" s="256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251"/>
      <c r="E43" s="638"/>
      <c r="F43" s="651"/>
      <c r="G43" s="643"/>
      <c r="H43" s="642"/>
      <c r="I43" s="214"/>
      <c r="J43" s="214"/>
      <c r="K43" s="214"/>
      <c r="L43" s="214"/>
      <c r="M43" s="214"/>
      <c r="N43" s="641"/>
      <c r="O43" s="643"/>
      <c r="P43" s="642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1"/>
      <c r="AB43" s="642"/>
      <c r="AC43" s="641"/>
      <c r="AD43" s="642"/>
      <c r="AE43" s="219"/>
      <c r="AF43" s="326" t="str">
        <f t="shared" si="2"/>
        <v/>
      </c>
      <c r="AG43" s="327">
        <f t="shared" si="3"/>
        <v>0</v>
      </c>
      <c r="AH43" s="327">
        <f t="shared" si="4"/>
        <v>0</v>
      </c>
      <c r="AI43" s="328">
        <f t="shared" si="5"/>
        <v>0</v>
      </c>
      <c r="AJ43" s="329" t="str">
        <f t="shared" si="36"/>
        <v/>
      </c>
      <c r="AK43" s="330"/>
      <c r="AL43" s="331" t="str">
        <f t="shared" si="6"/>
        <v/>
      </c>
      <c r="AM43" s="332" t="str">
        <f t="shared" si="7"/>
        <v/>
      </c>
      <c r="AN43" s="332" t="str">
        <f t="shared" si="37"/>
        <v/>
      </c>
      <c r="AO43" s="255">
        <v>16</v>
      </c>
      <c r="AP43" s="322" t="str">
        <f t="shared" si="9"/>
        <v>N/D</v>
      </c>
      <c r="AQ43" s="322" t="str">
        <f t="shared" si="10"/>
        <v>N/D</v>
      </c>
      <c r="AR43" s="322" t="str">
        <f t="shared" si="11"/>
        <v>N/D</v>
      </c>
      <c r="AS43" s="322" t="str">
        <f t="shared" si="12"/>
        <v>N/D</v>
      </c>
      <c r="AT43" s="322" t="str">
        <f t="shared" si="13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24"/>
        <v>N/D</v>
      </c>
      <c r="BF43" s="322" t="str">
        <f t="shared" si="25"/>
        <v>N/D</v>
      </c>
      <c r="BG43" s="322" t="str">
        <f t="shared" si="26"/>
        <v>N/D</v>
      </c>
      <c r="BH43" s="322" t="str">
        <f t="shared" si="27"/>
        <v>N/D</v>
      </c>
      <c r="BI43" s="322" t="str">
        <f t="shared" si="38"/>
        <v>N/D</v>
      </c>
      <c r="BJ43" s="322" t="str">
        <f t="shared" si="31"/>
        <v>N/D</v>
      </c>
      <c r="BK43" s="322" t="str">
        <f t="shared" si="32"/>
        <v>N/D</v>
      </c>
      <c r="BL43" s="322" t="str">
        <f t="shared" si="28"/>
        <v>N/D</v>
      </c>
      <c r="BM43" s="322" t="str">
        <f t="shared" si="33"/>
        <v>N/D</v>
      </c>
      <c r="BN43" s="322" t="str">
        <f t="shared" si="34"/>
        <v>N/D</v>
      </c>
      <c r="BO43" s="322" t="str">
        <f t="shared" si="35"/>
        <v>N/D</v>
      </c>
      <c r="BP43" s="256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251"/>
      <c r="E44" s="638"/>
      <c r="F44" s="651"/>
      <c r="G44" s="643"/>
      <c r="H44" s="642"/>
      <c r="I44" s="214"/>
      <c r="J44" s="214"/>
      <c r="K44" s="214"/>
      <c r="L44" s="214"/>
      <c r="M44" s="214"/>
      <c r="N44" s="641"/>
      <c r="O44" s="643"/>
      <c r="P44" s="642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1"/>
      <c r="AB44" s="642"/>
      <c r="AC44" s="641"/>
      <c r="AD44" s="642"/>
      <c r="AE44" s="219"/>
      <c r="AF44" s="326" t="str">
        <f t="shared" si="2"/>
        <v/>
      </c>
      <c r="AG44" s="327">
        <f t="shared" si="3"/>
        <v>0</v>
      </c>
      <c r="AH44" s="327">
        <f t="shared" si="4"/>
        <v>0</v>
      </c>
      <c r="AI44" s="328">
        <f t="shared" si="5"/>
        <v>0</v>
      </c>
      <c r="AJ44" s="329" t="str">
        <f t="shared" si="36"/>
        <v/>
      </c>
      <c r="AK44" s="330"/>
      <c r="AL44" s="331" t="str">
        <f t="shared" si="6"/>
        <v/>
      </c>
      <c r="AM44" s="332" t="str">
        <f t="shared" si="7"/>
        <v/>
      </c>
      <c r="AN44" s="332" t="str">
        <f t="shared" si="37"/>
        <v/>
      </c>
      <c r="AO44" s="255">
        <v>17</v>
      </c>
      <c r="AP44" s="322" t="str">
        <f t="shared" si="9"/>
        <v>N/D</v>
      </c>
      <c r="AQ44" s="322" t="str">
        <f t="shared" si="10"/>
        <v>N/D</v>
      </c>
      <c r="AR44" s="322" t="str">
        <f t="shared" si="11"/>
        <v>N/D</v>
      </c>
      <c r="AS44" s="322" t="str">
        <f t="shared" si="12"/>
        <v>N/D</v>
      </c>
      <c r="AT44" s="322" t="str">
        <f t="shared" si="13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24"/>
        <v>N/D</v>
      </c>
      <c r="BF44" s="322" t="str">
        <f t="shared" si="25"/>
        <v>N/D</v>
      </c>
      <c r="BG44" s="322" t="str">
        <f t="shared" si="26"/>
        <v>N/D</v>
      </c>
      <c r="BH44" s="322" t="str">
        <f t="shared" si="27"/>
        <v>N/D</v>
      </c>
      <c r="BI44" s="322" t="str">
        <f t="shared" si="38"/>
        <v>N/D</v>
      </c>
      <c r="BJ44" s="322" t="str">
        <f t="shared" si="31"/>
        <v>N/D</v>
      </c>
      <c r="BK44" s="322" t="str">
        <f t="shared" si="32"/>
        <v>N/D</v>
      </c>
      <c r="BL44" s="322" t="str">
        <f t="shared" si="28"/>
        <v>N/D</v>
      </c>
      <c r="BM44" s="322" t="str">
        <f t="shared" si="33"/>
        <v>N/D</v>
      </c>
      <c r="BN44" s="322" t="str">
        <f t="shared" si="34"/>
        <v>N/D</v>
      </c>
      <c r="BO44" s="322" t="str">
        <f t="shared" si="35"/>
        <v>N/D</v>
      </c>
      <c r="BP44" s="256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251"/>
      <c r="E45" s="638"/>
      <c r="F45" s="651"/>
      <c r="G45" s="643"/>
      <c r="H45" s="642"/>
      <c r="I45" s="214"/>
      <c r="J45" s="214"/>
      <c r="K45" s="214"/>
      <c r="L45" s="214"/>
      <c r="M45" s="214"/>
      <c r="N45" s="641"/>
      <c r="O45" s="643"/>
      <c r="P45" s="642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1"/>
      <c r="AB45" s="642"/>
      <c r="AC45" s="641"/>
      <c r="AD45" s="642"/>
      <c r="AE45" s="219"/>
      <c r="AF45" s="326" t="str">
        <f t="shared" si="2"/>
        <v/>
      </c>
      <c r="AG45" s="327">
        <f t="shared" si="3"/>
        <v>0</v>
      </c>
      <c r="AH45" s="327">
        <f t="shared" si="4"/>
        <v>0</v>
      </c>
      <c r="AI45" s="328">
        <f t="shared" si="5"/>
        <v>0</v>
      </c>
      <c r="AJ45" s="329" t="str">
        <f t="shared" si="36"/>
        <v/>
      </c>
      <c r="AK45" s="330"/>
      <c r="AL45" s="331" t="str">
        <f t="shared" si="6"/>
        <v/>
      </c>
      <c r="AM45" s="332" t="str">
        <f t="shared" si="7"/>
        <v/>
      </c>
      <c r="AN45" s="332" t="str">
        <f t="shared" si="37"/>
        <v/>
      </c>
      <c r="AO45" s="255">
        <v>18</v>
      </c>
      <c r="AP45" s="322" t="str">
        <f t="shared" si="9"/>
        <v>N/D</v>
      </c>
      <c r="AQ45" s="322" t="str">
        <f t="shared" si="10"/>
        <v>N/D</v>
      </c>
      <c r="AR45" s="322" t="str">
        <f t="shared" si="11"/>
        <v>N/D</v>
      </c>
      <c r="AS45" s="322" t="str">
        <f t="shared" si="12"/>
        <v>N/D</v>
      </c>
      <c r="AT45" s="322" t="str">
        <f t="shared" si="13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24"/>
        <v>N/D</v>
      </c>
      <c r="BF45" s="322" t="str">
        <f t="shared" si="25"/>
        <v>N/D</v>
      </c>
      <c r="BG45" s="322" t="str">
        <f t="shared" si="26"/>
        <v>N/D</v>
      </c>
      <c r="BH45" s="322" t="str">
        <f t="shared" si="27"/>
        <v>N/D</v>
      </c>
      <c r="BI45" s="322" t="str">
        <f t="shared" si="38"/>
        <v>N/D</v>
      </c>
      <c r="BJ45" s="322" t="str">
        <f t="shared" si="31"/>
        <v>N/D</v>
      </c>
      <c r="BK45" s="322" t="str">
        <f t="shared" si="32"/>
        <v>N/D</v>
      </c>
      <c r="BL45" s="322" t="str">
        <f t="shared" si="28"/>
        <v>N/D</v>
      </c>
      <c r="BM45" s="322" t="str">
        <f t="shared" si="33"/>
        <v>N/D</v>
      </c>
      <c r="BN45" s="322" t="str">
        <f t="shared" si="34"/>
        <v>N/D</v>
      </c>
      <c r="BO45" s="322" t="str">
        <f t="shared" si="35"/>
        <v>N/D</v>
      </c>
      <c r="BP45" s="256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251"/>
      <c r="E46" s="638"/>
      <c r="F46" s="651"/>
      <c r="G46" s="643"/>
      <c r="H46" s="642"/>
      <c r="I46" s="214"/>
      <c r="J46" s="214"/>
      <c r="K46" s="214"/>
      <c r="L46" s="214"/>
      <c r="M46" s="214"/>
      <c r="N46" s="641"/>
      <c r="O46" s="643"/>
      <c r="P46" s="642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1"/>
      <c r="AB46" s="642"/>
      <c r="AC46" s="641"/>
      <c r="AD46" s="642"/>
      <c r="AE46" s="219" t="b">
        <v>0</v>
      </c>
      <c r="AF46" s="326" t="str">
        <f t="shared" si="2"/>
        <v/>
      </c>
      <c r="AG46" s="327">
        <f t="shared" si="3"/>
        <v>0</v>
      </c>
      <c r="AH46" s="327">
        <f t="shared" si="4"/>
        <v>0</v>
      </c>
      <c r="AI46" s="328">
        <f t="shared" si="5"/>
        <v>0</v>
      </c>
      <c r="AJ46" s="329" t="str">
        <f t="shared" si="36"/>
        <v/>
      </c>
      <c r="AK46" s="330"/>
      <c r="AL46" s="331" t="str">
        <f t="shared" si="6"/>
        <v/>
      </c>
      <c r="AM46" s="332" t="str">
        <f t="shared" si="7"/>
        <v/>
      </c>
      <c r="AN46" s="332" t="str">
        <f t="shared" si="37"/>
        <v/>
      </c>
      <c r="AO46" s="255">
        <v>19</v>
      </c>
      <c r="AP46" s="322" t="str">
        <f t="shared" si="9"/>
        <v>N/D</v>
      </c>
      <c r="AQ46" s="322" t="str">
        <f t="shared" si="10"/>
        <v>N/D</v>
      </c>
      <c r="AR46" s="322" t="str">
        <f t="shared" si="11"/>
        <v>N/D</v>
      </c>
      <c r="AS46" s="322" t="str">
        <f t="shared" si="12"/>
        <v>N/D</v>
      </c>
      <c r="AT46" s="322" t="str">
        <f t="shared" si="13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24"/>
        <v>N/D</v>
      </c>
      <c r="BF46" s="322" t="str">
        <f t="shared" si="25"/>
        <v>N/D</v>
      </c>
      <c r="BG46" s="322" t="str">
        <f t="shared" si="26"/>
        <v>N/D</v>
      </c>
      <c r="BH46" s="322" t="str">
        <f t="shared" si="27"/>
        <v>N/D</v>
      </c>
      <c r="BI46" s="322" t="str">
        <f t="shared" si="38"/>
        <v>N/D</v>
      </c>
      <c r="BJ46" s="322" t="str">
        <f t="shared" si="31"/>
        <v>N/D</v>
      </c>
      <c r="BK46" s="322" t="str">
        <f t="shared" si="32"/>
        <v>N/D</v>
      </c>
      <c r="BL46" s="322" t="str">
        <f t="shared" si="28"/>
        <v>N/D</v>
      </c>
      <c r="BM46" s="322" t="str">
        <f t="shared" si="33"/>
        <v>N/D</v>
      </c>
      <c r="BN46" s="322" t="str">
        <f t="shared" si="34"/>
        <v>N/D</v>
      </c>
      <c r="BO46" s="322" t="str">
        <f t="shared" si="35"/>
        <v>N/D</v>
      </c>
      <c r="BP46" s="256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251"/>
      <c r="E47" s="638"/>
      <c r="F47" s="651"/>
      <c r="G47" s="643"/>
      <c r="H47" s="642"/>
      <c r="I47" s="214"/>
      <c r="J47" s="214"/>
      <c r="K47" s="214"/>
      <c r="L47" s="214"/>
      <c r="M47" s="214"/>
      <c r="N47" s="641"/>
      <c r="O47" s="643"/>
      <c r="P47" s="642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1"/>
      <c r="AB47" s="642"/>
      <c r="AC47" s="641"/>
      <c r="AD47" s="642"/>
      <c r="AE47" s="219"/>
      <c r="AF47" s="326" t="str">
        <f t="shared" si="2"/>
        <v/>
      </c>
      <c r="AG47" s="327">
        <f t="shared" si="3"/>
        <v>0</v>
      </c>
      <c r="AH47" s="327">
        <f t="shared" si="4"/>
        <v>0</v>
      </c>
      <c r="AI47" s="328">
        <f t="shared" si="5"/>
        <v>0</v>
      </c>
      <c r="AJ47" s="329" t="str">
        <f t="shared" si="29"/>
        <v/>
      </c>
      <c r="AK47" s="330"/>
      <c r="AL47" s="331" t="str">
        <f t="shared" si="6"/>
        <v/>
      </c>
      <c r="AM47" s="332" t="str">
        <f t="shared" si="7"/>
        <v/>
      </c>
      <c r="AN47" s="332" t="str">
        <f t="shared" si="8"/>
        <v/>
      </c>
      <c r="AO47" s="255">
        <v>20</v>
      </c>
      <c r="AP47" s="322" t="str">
        <f t="shared" si="9"/>
        <v>N/D</v>
      </c>
      <c r="AQ47" s="322" t="str">
        <f t="shared" si="10"/>
        <v>N/D</v>
      </c>
      <c r="AR47" s="322" t="str">
        <f t="shared" si="11"/>
        <v>N/D</v>
      </c>
      <c r="AS47" s="322" t="str">
        <f t="shared" si="12"/>
        <v>N/D</v>
      </c>
      <c r="AT47" s="322" t="str">
        <f t="shared" si="13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24"/>
        <v>N/D</v>
      </c>
      <c r="BF47" s="322" t="str">
        <f t="shared" si="25"/>
        <v>N/D</v>
      </c>
      <c r="BG47" s="322" t="str">
        <f t="shared" si="26"/>
        <v>N/D</v>
      </c>
      <c r="BH47" s="322" t="str">
        <f t="shared" si="27"/>
        <v>N/D</v>
      </c>
      <c r="BI47" s="322" t="str">
        <f t="shared" si="38"/>
        <v>N/D</v>
      </c>
      <c r="BJ47" s="322" t="str">
        <f t="shared" si="31"/>
        <v>N/D</v>
      </c>
      <c r="BK47" s="322" t="str">
        <f t="shared" si="32"/>
        <v>N/D</v>
      </c>
      <c r="BL47" s="322" t="str">
        <f t="shared" si="28"/>
        <v>N/D</v>
      </c>
      <c r="BM47" s="322" t="str">
        <f t="shared" si="33"/>
        <v>N/D</v>
      </c>
      <c r="BN47" s="322" t="str">
        <f t="shared" si="34"/>
        <v>N/D</v>
      </c>
      <c r="BO47" s="322" t="str">
        <f t="shared" si="35"/>
        <v>N/D</v>
      </c>
      <c r="BP47" s="256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251"/>
      <c r="E48" s="638"/>
      <c r="F48" s="651"/>
      <c r="G48" s="643"/>
      <c r="H48" s="642"/>
      <c r="I48" s="214"/>
      <c r="J48" s="214"/>
      <c r="K48" s="214"/>
      <c r="L48" s="214"/>
      <c r="M48" s="214"/>
      <c r="N48" s="641"/>
      <c r="O48" s="643"/>
      <c r="P48" s="642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1"/>
      <c r="AB48" s="642"/>
      <c r="AC48" s="641"/>
      <c r="AD48" s="642"/>
      <c r="AE48" s="219"/>
      <c r="AF48" s="326" t="str">
        <f t="shared" si="2"/>
        <v/>
      </c>
      <c r="AG48" s="327">
        <f t="shared" si="3"/>
        <v>0</v>
      </c>
      <c r="AH48" s="327">
        <f t="shared" si="4"/>
        <v>0</v>
      </c>
      <c r="AI48" s="328">
        <f t="shared" si="5"/>
        <v>0</v>
      </c>
      <c r="AJ48" s="333" t="str">
        <f t="shared" si="29"/>
        <v/>
      </c>
      <c r="AK48" s="334"/>
      <c r="AL48" s="331" t="str">
        <f t="shared" si="6"/>
        <v/>
      </c>
      <c r="AM48" s="332" t="str">
        <f t="shared" si="7"/>
        <v/>
      </c>
      <c r="AN48" s="332" t="str">
        <f t="shared" si="8"/>
        <v/>
      </c>
      <c r="AO48" s="255">
        <v>21</v>
      </c>
      <c r="AP48" s="322" t="str">
        <f t="shared" si="9"/>
        <v>N/D</v>
      </c>
      <c r="AQ48" s="322" t="str">
        <f t="shared" si="10"/>
        <v>N/D</v>
      </c>
      <c r="AR48" s="322" t="str">
        <f t="shared" si="11"/>
        <v>N/D</v>
      </c>
      <c r="AS48" s="322" t="str">
        <f t="shared" si="12"/>
        <v>N/D</v>
      </c>
      <c r="AT48" s="322" t="str">
        <f t="shared" si="13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24"/>
        <v>N/D</v>
      </c>
      <c r="BF48" s="322" t="str">
        <f t="shared" si="25"/>
        <v>N/D</v>
      </c>
      <c r="BG48" s="322" t="str">
        <f t="shared" si="26"/>
        <v>N/D</v>
      </c>
      <c r="BH48" s="322" t="str">
        <f t="shared" si="27"/>
        <v>N/D</v>
      </c>
      <c r="BI48" s="322" t="str">
        <f t="shared" si="38"/>
        <v>N/D</v>
      </c>
      <c r="BJ48" s="322" t="str">
        <f t="shared" si="31"/>
        <v>N/D</v>
      </c>
      <c r="BK48" s="322" t="str">
        <f t="shared" si="32"/>
        <v>N/D</v>
      </c>
      <c r="BL48" s="322" t="str">
        <f t="shared" si="28"/>
        <v>N/D</v>
      </c>
      <c r="BM48" s="322" t="str">
        <f t="shared" si="33"/>
        <v>N/D</v>
      </c>
      <c r="BN48" s="322" t="str">
        <f t="shared" si="34"/>
        <v>N/D</v>
      </c>
      <c r="BO48" s="322" t="str">
        <f t="shared" si="35"/>
        <v>N/D</v>
      </c>
      <c r="BP48" s="256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7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14"/>
      <c r="R49" s="221"/>
      <c r="S49" s="221"/>
      <c r="T49" s="221"/>
      <c r="U49" s="221"/>
      <c r="V49" s="159"/>
      <c r="W49" s="159"/>
      <c r="X49" s="222">
        <f>SUM(X29:X48)</f>
        <v>0</v>
      </c>
      <c r="Y49" s="222">
        <f>SUM(Y29:Y48)</f>
        <v>0</v>
      </c>
      <c r="Z49" s="222">
        <f>SUM(Z29:Z48)</f>
        <v>0</v>
      </c>
      <c r="AA49" s="159"/>
      <c r="AB49" s="159"/>
      <c r="AC49" s="159"/>
      <c r="AD49" s="223"/>
      <c r="AE49" s="223"/>
      <c r="AF49" s="224">
        <f>SUM(AF29:AF48)</f>
        <v>22</v>
      </c>
      <c r="AG49" s="225"/>
      <c r="AH49" s="226">
        <f>SUM(AH29:AH48)</f>
        <v>0</v>
      </c>
      <c r="AI49" s="226">
        <f>SUM(AI29:AI48)</f>
        <v>0</v>
      </c>
      <c r="AJ49" s="227"/>
      <c r="AK49" s="227"/>
      <c r="AL49" s="228"/>
      <c r="AM49" s="229">
        <f>SUM(AM29:AM48)</f>
        <v>14.622468432391628</v>
      </c>
      <c r="AN49" s="230">
        <f>SUM(AN29:AN48)</f>
        <v>0.62120596495023128</v>
      </c>
      <c r="AO49" s="255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x14ac:dyDescent="0.2">
      <c r="A50" s="648" t="s">
        <v>111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50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255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>
        <f>2.18*16</f>
        <v>34.880000000000003</v>
      </c>
      <c r="AO51" s="255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>
        <f>1.94*16</f>
        <v>31.04</v>
      </c>
      <c r="AO52" s="255"/>
      <c r="AP52" s="256"/>
      <c r="AQ52" s="244"/>
      <c r="AR52" s="244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44"/>
      <c r="AF53" s="244"/>
      <c r="AG53" s="244"/>
      <c r="AH53" s="244"/>
      <c r="AI53" s="244"/>
      <c r="AJ53" s="244"/>
      <c r="AK53" s="244"/>
      <c r="AL53" s="244"/>
      <c r="AM53" s="256"/>
      <c r="AN53" s="256"/>
      <c r="AO53" s="255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45"/>
      <c r="AF54" s="245"/>
      <c r="AG54" s="245"/>
      <c r="AH54" s="245"/>
      <c r="AI54" s="245"/>
      <c r="AJ54" s="245"/>
      <c r="AK54" s="245"/>
      <c r="AL54" s="245"/>
      <c r="AM54" s="256"/>
      <c r="AN54" s="260" t="s">
        <v>77</v>
      </c>
      <c r="AO54" s="259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44"/>
      <c r="AF55" s="244"/>
      <c r="AG55" s="244"/>
      <c r="AH55" s="244"/>
      <c r="AI55" s="244"/>
      <c r="AJ55" s="244"/>
      <c r="AK55" s="244"/>
      <c r="AL55" s="244"/>
      <c r="AM55" s="256"/>
      <c r="AN55" s="256" t="s">
        <v>128</v>
      </c>
      <c r="AO55" s="255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44"/>
      <c r="AF56" s="244"/>
      <c r="AG56" s="244"/>
      <c r="AH56" s="244"/>
      <c r="AI56" s="244"/>
      <c r="AJ56" s="244"/>
      <c r="AK56" s="244"/>
      <c r="AL56" s="244"/>
      <c r="AM56" s="256"/>
      <c r="AN56" s="256" t="s">
        <v>134</v>
      </c>
      <c r="AO56" s="255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44"/>
      <c r="AF57" s="244"/>
      <c r="AG57" s="244"/>
      <c r="AH57" s="244"/>
      <c r="AI57" s="244"/>
      <c r="AJ57" s="244"/>
      <c r="AK57" s="244"/>
      <c r="AL57" s="244"/>
      <c r="AM57" s="256"/>
      <c r="AN57" s="256" t="s">
        <v>140</v>
      </c>
      <c r="AO57" s="255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44"/>
      <c r="AF58" s="244"/>
      <c r="AG58" s="244"/>
      <c r="AH58" s="244"/>
      <c r="AI58" s="244"/>
      <c r="AJ58" s="244"/>
      <c r="AK58" s="244"/>
      <c r="AL58" s="244"/>
      <c r="AM58" s="256"/>
      <c r="AN58" s="256" t="s">
        <v>143</v>
      </c>
      <c r="AO58" s="255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44"/>
      <c r="AF59" s="244"/>
      <c r="AG59" s="244"/>
      <c r="AH59" s="244"/>
      <c r="AI59" s="244"/>
      <c r="AJ59" s="244"/>
      <c r="AK59" s="244"/>
      <c r="AL59" s="244"/>
      <c r="AM59" s="256"/>
      <c r="AN59" s="256" t="s">
        <v>146</v>
      </c>
      <c r="AO59" s="255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44"/>
      <c r="AF60" s="244"/>
      <c r="AG60" s="244"/>
      <c r="AH60" s="244"/>
      <c r="AI60" s="244"/>
      <c r="AJ60" s="244"/>
      <c r="AK60" s="244"/>
      <c r="AL60" s="244"/>
      <c r="AM60" s="256"/>
      <c r="AN60" s="256" t="s">
        <v>149</v>
      </c>
      <c r="AO60" s="255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44"/>
      <c r="AF61" s="244"/>
      <c r="AG61" s="244"/>
      <c r="AH61" s="244"/>
      <c r="AI61" s="244"/>
      <c r="AJ61" s="244"/>
      <c r="AK61" s="244"/>
      <c r="AL61" s="244"/>
      <c r="AM61" s="256"/>
      <c r="AN61" s="256" t="s">
        <v>138</v>
      </c>
      <c r="AO61" s="255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44"/>
      <c r="AF62" s="244"/>
      <c r="AG62" s="244"/>
      <c r="AH62" s="244"/>
      <c r="AI62" s="244"/>
      <c r="AJ62" s="244"/>
      <c r="AK62" s="244"/>
      <c r="AL62" s="244"/>
      <c r="AM62" s="256"/>
      <c r="AN62" s="256" t="s">
        <v>132</v>
      </c>
      <c r="AO62" s="255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44"/>
      <c r="AF63" s="244"/>
      <c r="AG63" s="244"/>
      <c r="AH63" s="244"/>
      <c r="AI63" s="244"/>
      <c r="AJ63" s="244"/>
      <c r="AK63" s="244"/>
      <c r="AL63" s="244"/>
      <c r="AM63" s="256"/>
      <c r="AN63" s="262" t="s">
        <v>129</v>
      </c>
      <c r="AO63" s="255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44"/>
      <c r="AF64" s="244"/>
      <c r="AG64" s="244"/>
      <c r="AH64" s="244"/>
      <c r="AI64" s="244"/>
      <c r="AJ64" s="244"/>
      <c r="AK64" s="244"/>
      <c r="AL64" s="244"/>
      <c r="AM64" s="256"/>
      <c r="AN64" s="256" t="s">
        <v>158</v>
      </c>
      <c r="AO64" s="255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44"/>
      <c r="AF65" s="244"/>
      <c r="AG65" s="244"/>
      <c r="AH65" s="244"/>
      <c r="AI65" s="244"/>
      <c r="AJ65" s="244"/>
      <c r="AK65" s="244"/>
      <c r="AL65" s="244"/>
      <c r="AM65" s="256"/>
      <c r="AN65" s="262" t="s">
        <v>135</v>
      </c>
      <c r="AO65" s="255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44"/>
      <c r="AF66" s="244"/>
      <c r="AG66" s="244"/>
      <c r="AH66" s="244"/>
      <c r="AI66" s="244"/>
      <c r="AJ66" s="244"/>
      <c r="AK66" s="244"/>
      <c r="AL66" s="244"/>
      <c r="AM66" s="256"/>
      <c r="AN66" s="256" t="s">
        <v>162</v>
      </c>
      <c r="AO66" s="255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44"/>
      <c r="AF67" s="244"/>
      <c r="AG67" s="244"/>
      <c r="AH67" s="244"/>
      <c r="AI67" s="244"/>
      <c r="AJ67" s="244"/>
      <c r="AK67" s="244"/>
      <c r="AL67" s="244"/>
      <c r="AM67" s="256"/>
      <c r="AN67" s="256" t="s">
        <v>164</v>
      </c>
      <c r="AO67" s="255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 t="s">
        <v>232</v>
      </c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44"/>
      <c r="AF68" s="244"/>
      <c r="AG68" s="244"/>
      <c r="AH68" s="244"/>
      <c r="AI68" s="244"/>
      <c r="AJ68" s="244"/>
      <c r="AK68" s="244"/>
      <c r="AL68" s="244"/>
      <c r="AM68" s="256"/>
      <c r="AN68" s="256" t="s">
        <v>137</v>
      </c>
      <c r="AO68" s="255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44"/>
      <c r="AF69" s="244"/>
      <c r="AG69" s="244"/>
      <c r="AH69" s="244"/>
      <c r="AI69" s="244"/>
      <c r="AJ69" s="244"/>
      <c r="AK69" s="244"/>
      <c r="AL69" s="244"/>
      <c r="AM69" s="256"/>
      <c r="AN69" s="256" t="s">
        <v>152</v>
      </c>
      <c r="AO69" s="255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44"/>
      <c r="AF70" s="244"/>
      <c r="AG70" s="244"/>
      <c r="AH70" s="244"/>
      <c r="AI70" s="244"/>
      <c r="AJ70" s="244"/>
      <c r="AK70" s="244"/>
      <c r="AL70" s="244"/>
      <c r="AM70" s="256"/>
      <c r="AN70" s="256" t="s">
        <v>155</v>
      </c>
      <c r="AO70" s="255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44"/>
      <c r="AF71" s="244"/>
      <c r="AG71" s="244"/>
      <c r="AH71" s="244"/>
      <c r="AI71" s="244"/>
      <c r="AJ71" s="244"/>
      <c r="AK71" s="244"/>
      <c r="AL71" s="244"/>
      <c r="AM71" s="256"/>
      <c r="AN71" s="256"/>
      <c r="AO71" s="255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44"/>
      <c r="AF72" s="244"/>
      <c r="AG72" s="244"/>
      <c r="AH72" s="244"/>
      <c r="AI72" s="244"/>
      <c r="AJ72" s="244"/>
      <c r="AK72" s="244"/>
      <c r="AL72" s="244"/>
      <c r="AM72" s="256"/>
      <c r="AN72" s="256"/>
      <c r="AO72" s="255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44"/>
      <c r="AF73" s="244"/>
      <c r="AG73" s="244"/>
      <c r="AH73" s="244"/>
      <c r="AI73" s="244"/>
      <c r="AJ73" s="244"/>
      <c r="AK73" s="244"/>
      <c r="AL73" s="244"/>
      <c r="AM73" s="256"/>
      <c r="AN73" s="256"/>
      <c r="AO73" s="255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44"/>
      <c r="AF74" s="244"/>
      <c r="AG74" s="244"/>
      <c r="AH74" s="244"/>
      <c r="AI74" s="244"/>
      <c r="AJ74" s="244"/>
      <c r="AK74" s="244"/>
      <c r="AL74" s="244"/>
      <c r="AM74" s="256"/>
      <c r="AN74" s="256"/>
      <c r="AO74" s="255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55"/>
      <c r="AP75" s="256"/>
      <c r="AQ75" s="244"/>
      <c r="AR75" s="244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39">AA75+1</f>
        <v>2</v>
      </c>
      <c r="AB76" s="256" t="s">
        <v>229</v>
      </c>
      <c r="AC76" s="256"/>
      <c r="AD76" s="256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55"/>
      <c r="AP76" s="256"/>
      <c r="AQ76" s="244"/>
      <c r="AR76" s="246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39"/>
        <v>3</v>
      </c>
      <c r="AB77" s="256" t="s">
        <v>230</v>
      </c>
      <c r="AC77" s="256"/>
      <c r="AD77" s="256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55"/>
      <c r="AP77" s="256"/>
      <c r="AQ77" s="244"/>
      <c r="AR77" s="244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39"/>
        <v>4</v>
      </c>
      <c r="AB78" s="256" t="s">
        <v>231</v>
      </c>
      <c r="AC78" s="256"/>
      <c r="AD78" s="256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55"/>
      <c r="AP78" s="256"/>
      <c r="AQ78" s="244"/>
      <c r="AR78" s="246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39"/>
        <v>5</v>
      </c>
      <c r="AB79" s="256" t="s">
        <v>235</v>
      </c>
      <c r="AC79" s="256"/>
      <c r="AD79" s="256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55"/>
      <c r="AP79" s="256"/>
      <c r="AQ79" s="244"/>
      <c r="AR79" s="246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39"/>
        <v>6</v>
      </c>
      <c r="AB80" s="256"/>
      <c r="AC80" s="256"/>
      <c r="AD80" s="256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55"/>
      <c r="AP80" s="256"/>
      <c r="AQ80" s="244"/>
      <c r="AR80" s="246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39"/>
        <v>7</v>
      </c>
      <c r="AB81" s="256"/>
      <c r="AC81" s="256"/>
      <c r="AD81" s="256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55"/>
      <c r="AP81" s="256"/>
      <c r="AQ81" s="244"/>
      <c r="AR81" s="244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39"/>
        <v>8</v>
      </c>
      <c r="AB82" s="256"/>
      <c r="AC82" s="256"/>
      <c r="AD82" s="256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55"/>
      <c r="AP82" s="256"/>
      <c r="AQ82" s="244"/>
      <c r="AR82" s="246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39"/>
        <v>9</v>
      </c>
      <c r="AB83" s="256"/>
      <c r="AC83" s="256"/>
      <c r="AD83" s="256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55"/>
      <c r="AP83" s="256"/>
      <c r="AQ83" s="247"/>
      <c r="AR83" s="244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39"/>
        <v>10</v>
      </c>
      <c r="AB84" s="256"/>
      <c r="AC84" s="256"/>
      <c r="AD84" s="256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55"/>
      <c r="AP84" s="256"/>
      <c r="AQ84" s="244"/>
      <c r="AR84" s="244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39"/>
        <v>11</v>
      </c>
      <c r="AB85" s="256"/>
      <c r="AC85" s="256"/>
      <c r="AD85" s="256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55"/>
      <c r="AP85" s="256"/>
      <c r="AQ85" s="247"/>
      <c r="AR85" s="244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39"/>
        <v>12</v>
      </c>
      <c r="AB86" s="256"/>
      <c r="AC86" s="256"/>
      <c r="AD86" s="256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55"/>
      <c r="AP86" s="256"/>
      <c r="AQ86" s="247"/>
      <c r="AR86" s="244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39"/>
        <v>13</v>
      </c>
      <c r="AB87" s="256"/>
      <c r="AC87" s="256"/>
      <c r="AD87" s="256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55"/>
      <c r="AP87" s="256"/>
      <c r="AQ87" s="247"/>
      <c r="AR87" s="244"/>
      <c r="AS87" s="256" t="s">
        <v>164</v>
      </c>
      <c r="AT87" s="261">
        <v>50</v>
      </c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256"/>
      <c r="BF87" s="256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39"/>
        <v>14</v>
      </c>
      <c r="AB88" s="256"/>
      <c r="AC88" s="256"/>
      <c r="AD88" s="256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55"/>
      <c r="AP88" s="256"/>
      <c r="AQ88" s="247"/>
      <c r="AR88" s="244"/>
      <c r="AS88" s="256" t="s">
        <v>137</v>
      </c>
      <c r="AT88" s="261">
        <v>50</v>
      </c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39"/>
        <v>15</v>
      </c>
      <c r="AB89" s="256"/>
      <c r="AC89" s="256"/>
      <c r="AD89" s="256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55"/>
      <c r="AP89" s="256"/>
      <c r="AQ89" s="247"/>
      <c r="AR89" s="244"/>
      <c r="AS89" s="256" t="s">
        <v>152</v>
      </c>
      <c r="AT89" s="263">
        <v>50</v>
      </c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39"/>
        <v>16</v>
      </c>
      <c r="AB90" s="256"/>
      <c r="AC90" s="256"/>
      <c r="AD90" s="256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55"/>
      <c r="AP90" s="256"/>
      <c r="AQ90" s="247"/>
      <c r="AR90" s="244"/>
      <c r="AS90" s="256" t="s">
        <v>155</v>
      </c>
      <c r="AT90" s="261">
        <v>60</v>
      </c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39"/>
        <v>17</v>
      </c>
      <c r="AB91" s="256"/>
      <c r="AC91" s="256"/>
      <c r="AD91" s="256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55"/>
      <c r="AP91" s="255"/>
      <c r="AQ91" s="233"/>
      <c r="AR91" s="231"/>
      <c r="AS91" s="255"/>
      <c r="AT91" s="255"/>
      <c r="AU91" s="255"/>
      <c r="AV91" s="255"/>
      <c r="AW91" s="255"/>
      <c r="AX91" s="255"/>
      <c r="AY91" s="255"/>
      <c r="AZ91" s="255"/>
      <c r="BA91" s="255"/>
      <c r="BB91" s="255"/>
      <c r="BC91" s="255"/>
      <c r="BD91" s="255"/>
      <c r="BE91" s="255"/>
      <c r="BF91" s="255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39"/>
        <v>18</v>
      </c>
      <c r="AB92" s="256"/>
      <c r="AC92" s="256"/>
      <c r="AD92" s="256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55"/>
      <c r="AP92" s="255"/>
      <c r="AQ92" s="233"/>
      <c r="AR92" s="231"/>
      <c r="AS92" s="255"/>
      <c r="AT92" s="255"/>
      <c r="AU92" s="255"/>
      <c r="AV92" s="255"/>
      <c r="AW92" s="255"/>
      <c r="AX92" s="255"/>
      <c r="AY92" s="255"/>
      <c r="AZ92" s="255"/>
      <c r="BA92" s="255"/>
      <c r="BB92" s="255"/>
      <c r="BC92" s="255"/>
      <c r="BD92" s="255"/>
      <c r="BE92" s="255"/>
      <c r="BF92" s="255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39"/>
        <v>19</v>
      </c>
      <c r="AB93" s="256"/>
      <c r="AC93" s="256"/>
      <c r="AD93" s="256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55"/>
      <c r="AP93" s="255"/>
      <c r="AQ93" s="233"/>
      <c r="AR93" s="231"/>
      <c r="AS93" s="255"/>
      <c r="AT93" s="255"/>
      <c r="AU93" s="255"/>
      <c r="AV93" s="255"/>
      <c r="AW93" s="255"/>
      <c r="AX93" s="255"/>
      <c r="AY93" s="255"/>
      <c r="AZ93" s="255"/>
      <c r="BA93" s="255"/>
      <c r="BB93" s="255"/>
      <c r="BC93" s="255"/>
      <c r="BD93" s="255"/>
      <c r="BE93" s="255"/>
      <c r="BF93" s="255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39"/>
        <v>20</v>
      </c>
      <c r="AB94" s="256"/>
      <c r="AC94" s="256"/>
      <c r="AD94" s="256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55"/>
      <c r="AP94" s="255"/>
      <c r="AQ94" s="233"/>
      <c r="AR94" s="231"/>
      <c r="AS94" s="255"/>
      <c r="AT94" s="255"/>
      <c r="AU94" s="255"/>
      <c r="AV94" s="255"/>
      <c r="AW94" s="255"/>
      <c r="AX94" s="255"/>
      <c r="AY94" s="255"/>
      <c r="AZ94" s="255"/>
      <c r="BA94" s="255"/>
      <c r="BB94" s="255"/>
      <c r="BC94" s="255"/>
      <c r="BD94" s="255"/>
      <c r="BE94" s="255"/>
      <c r="BF94" s="255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39"/>
        <v>21</v>
      </c>
      <c r="AB95" s="256"/>
      <c r="AC95" s="256"/>
      <c r="AD95" s="256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55"/>
      <c r="AP95" s="255"/>
      <c r="AQ95" s="233"/>
      <c r="AR95" s="231"/>
      <c r="AS95" s="255"/>
      <c r="AT95" s="255"/>
      <c r="AU95" s="255"/>
      <c r="AV95" s="255"/>
      <c r="AW95" s="255"/>
      <c r="AX95" s="255"/>
      <c r="AY95" s="255"/>
      <c r="AZ95" s="255"/>
      <c r="BA95" s="255"/>
      <c r="BB95" s="255"/>
      <c r="BC95" s="255"/>
      <c r="BD95" s="255"/>
      <c r="BE95" s="255"/>
      <c r="BF95" s="255"/>
      <c r="BG95" s="150"/>
      <c r="BH95" s="150"/>
      <c r="BI95" s="150"/>
      <c r="BJ95" s="150"/>
      <c r="BK95" s="150"/>
      <c r="BL95" s="150"/>
      <c r="BM95" s="150"/>
      <c r="BN95" s="150"/>
      <c r="BO95" s="150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55"/>
      <c r="AP96" s="255"/>
      <c r="AQ96" s="231"/>
      <c r="AR96" s="231"/>
      <c r="AS96" s="255"/>
      <c r="AT96" s="255"/>
      <c r="AU96" s="255"/>
      <c r="AV96" s="255"/>
      <c r="AW96" s="255"/>
      <c r="AX96" s="255"/>
      <c r="AY96" s="255"/>
      <c r="AZ96" s="255"/>
      <c r="BA96" s="255"/>
      <c r="BB96" s="255"/>
      <c r="BC96" s="255"/>
      <c r="BD96" s="255"/>
      <c r="BE96" s="255"/>
      <c r="BF96" s="255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55"/>
      <c r="AP97" s="255"/>
      <c r="AQ97" s="231"/>
      <c r="AR97" s="231"/>
      <c r="AS97" s="255"/>
      <c r="AT97" s="255"/>
      <c r="AU97" s="255"/>
      <c r="AV97" s="255"/>
      <c r="AW97" s="255"/>
      <c r="AX97" s="255"/>
      <c r="AY97" s="255"/>
      <c r="AZ97" s="255"/>
      <c r="BA97" s="255"/>
      <c r="BB97" s="255"/>
      <c r="BC97" s="255"/>
      <c r="BD97" s="255"/>
      <c r="BE97" s="255"/>
      <c r="BF97" s="255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55"/>
      <c r="AP98" s="255"/>
      <c r="AQ98" s="231"/>
      <c r="AR98" s="232"/>
      <c r="AS98" s="255"/>
      <c r="AT98" s="255"/>
      <c r="AU98" s="255"/>
      <c r="AV98" s="255"/>
      <c r="AW98" s="255"/>
      <c r="AX98" s="255"/>
      <c r="AY98" s="255"/>
      <c r="AZ98" s="255"/>
      <c r="BA98" s="255"/>
      <c r="BB98" s="255"/>
      <c r="BC98" s="255"/>
      <c r="BD98" s="255"/>
      <c r="BE98" s="255"/>
      <c r="BF98" s="255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55"/>
      <c r="AP99" s="255"/>
      <c r="AQ99" s="231"/>
      <c r="AR99" s="231"/>
      <c r="AS99" s="255"/>
      <c r="AT99" s="255"/>
      <c r="AU99" s="255"/>
      <c r="AV99" s="255"/>
      <c r="AW99" s="255"/>
      <c r="AX99" s="255"/>
      <c r="AY99" s="255"/>
      <c r="AZ99" s="255"/>
      <c r="BA99" s="255"/>
      <c r="BB99" s="255"/>
      <c r="BC99" s="255"/>
      <c r="BD99" s="255"/>
      <c r="BE99" s="255"/>
      <c r="BF99" s="255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55"/>
      <c r="AP100" s="255"/>
      <c r="AQ100" s="231"/>
      <c r="AR100" s="231"/>
      <c r="AS100" s="255"/>
      <c r="AT100" s="255"/>
      <c r="AU100" s="255"/>
      <c r="AV100" s="255"/>
      <c r="AW100" s="255"/>
      <c r="AX100" s="255"/>
      <c r="AY100" s="255"/>
      <c r="AZ100" s="255"/>
      <c r="BA100" s="255"/>
      <c r="BB100" s="255"/>
      <c r="BC100" s="255"/>
      <c r="BD100" s="255"/>
      <c r="BE100" s="255"/>
      <c r="BF100" s="255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55"/>
      <c r="AP101" s="255"/>
      <c r="AQ101" s="231"/>
      <c r="AR101" s="231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55"/>
      <c r="AP102" s="255"/>
      <c r="AQ102" s="231"/>
      <c r="AR102" s="231"/>
      <c r="AS102" s="255"/>
      <c r="AT102" s="255"/>
      <c r="AU102" s="255"/>
      <c r="AV102" s="255"/>
      <c r="AW102" s="255"/>
      <c r="AX102" s="255"/>
      <c r="AY102" s="255"/>
      <c r="AZ102" s="255"/>
      <c r="BA102" s="255"/>
      <c r="BB102" s="255"/>
      <c r="BC102" s="255"/>
      <c r="BD102" s="255"/>
      <c r="BE102" s="255"/>
      <c r="BF102" s="255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55"/>
      <c r="AT103" s="255"/>
      <c r="AU103" s="255"/>
      <c r="AV103" s="255"/>
      <c r="AW103" s="255"/>
      <c r="AX103" s="255"/>
      <c r="AY103" s="255"/>
      <c r="AZ103" s="255"/>
      <c r="BA103" s="255"/>
      <c r="BB103" s="255"/>
      <c r="BC103" s="255"/>
      <c r="BD103" s="255"/>
      <c r="BE103" s="255"/>
      <c r="BF103" s="255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55"/>
      <c r="AT104" s="255"/>
      <c r="AU104" s="255"/>
      <c r="AV104" s="255"/>
      <c r="AW104" s="255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55"/>
      <c r="AT105" s="255"/>
      <c r="AU105" s="255"/>
      <c r="AV105" s="255"/>
      <c r="AW105" s="255"/>
      <c r="AX105" s="255"/>
      <c r="AY105" s="255"/>
      <c r="AZ105" s="255"/>
      <c r="BA105" s="255"/>
      <c r="BB105" s="255"/>
      <c r="BC105" s="255"/>
      <c r="BD105" s="255"/>
      <c r="BE105" s="255"/>
      <c r="BF105" s="255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55"/>
      <c r="AT106" s="255"/>
      <c r="AU106" s="255"/>
      <c r="AV106" s="255"/>
      <c r="AW106" s="255"/>
      <c r="AX106" s="255"/>
      <c r="AY106" s="255"/>
      <c r="AZ106" s="255"/>
      <c r="BA106" s="255"/>
      <c r="BB106" s="255"/>
      <c r="BC106" s="255"/>
      <c r="BD106" s="255"/>
      <c r="BE106" s="255"/>
      <c r="BF106" s="255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55"/>
      <c r="AT107" s="255"/>
      <c r="AU107" s="255"/>
      <c r="AV107" s="255"/>
      <c r="AW107" s="255"/>
      <c r="AX107" s="255"/>
      <c r="AY107" s="255"/>
      <c r="AZ107" s="255"/>
      <c r="BA107" s="255"/>
      <c r="BB107" s="255"/>
      <c r="BC107" s="255"/>
      <c r="BD107" s="255"/>
      <c r="BE107" s="255"/>
      <c r="BF107" s="255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55"/>
      <c r="AT108" s="255"/>
      <c r="AU108" s="255"/>
      <c r="AV108" s="255"/>
      <c r="AW108" s="255"/>
      <c r="AX108" s="255"/>
      <c r="AY108" s="255"/>
      <c r="AZ108" s="255"/>
      <c r="BA108" s="255"/>
      <c r="BB108" s="255"/>
      <c r="BC108" s="255"/>
      <c r="BD108" s="255"/>
      <c r="BE108" s="255"/>
      <c r="BF108" s="255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5"/>
      <c r="BE109" s="255"/>
      <c r="BF109" s="255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55"/>
      <c r="AT110" s="255"/>
      <c r="AU110" s="255"/>
      <c r="AV110" s="255"/>
      <c r="AW110" s="255"/>
      <c r="AX110" s="255"/>
      <c r="AY110" s="255"/>
      <c r="AZ110" s="255"/>
      <c r="BA110" s="255"/>
      <c r="BB110" s="255"/>
      <c r="BC110" s="255"/>
      <c r="BD110" s="255"/>
      <c r="BE110" s="255"/>
      <c r="BF110" s="255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55"/>
      <c r="AT111" s="255"/>
      <c r="AU111" s="255"/>
      <c r="AV111" s="255"/>
      <c r="AW111" s="255"/>
      <c r="AX111" s="255"/>
      <c r="AY111" s="255"/>
      <c r="AZ111" s="255"/>
      <c r="BA111" s="255"/>
      <c r="BB111" s="255"/>
      <c r="BC111" s="255"/>
      <c r="BD111" s="255"/>
      <c r="BE111" s="255"/>
      <c r="BF111" s="255"/>
      <c r="BG111" s="150"/>
      <c r="BH111" s="150"/>
      <c r="BI111" s="150"/>
      <c r="BJ111" s="150"/>
      <c r="BK111" s="150"/>
      <c r="BL111" s="150"/>
      <c r="BM111" s="150"/>
      <c r="BN111" s="150"/>
      <c r="BO111" s="150"/>
      <c r="BP111" s="150"/>
      <c r="BQ111" s="150"/>
      <c r="BR111" s="150"/>
      <c r="BS111" s="150"/>
      <c r="BT111" s="150"/>
      <c r="BU111" s="150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</row>
    <row r="112" spans="1:87" ht="12.75" customHeight="1" x14ac:dyDescent="0.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55"/>
      <c r="AT112" s="255"/>
      <c r="AU112" s="255"/>
      <c r="AV112" s="255"/>
      <c r="AW112" s="255"/>
      <c r="AX112" s="255"/>
      <c r="AY112" s="255"/>
      <c r="AZ112" s="255"/>
      <c r="BA112" s="255"/>
      <c r="BB112" s="255"/>
      <c r="BC112" s="255"/>
      <c r="BD112" s="255"/>
      <c r="BE112" s="255"/>
      <c r="BF112" s="255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</row>
    <row r="113" spans="1:87" ht="12.75" customHeight="1" x14ac:dyDescent="0.2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55"/>
      <c r="AT113" s="255"/>
      <c r="AU113" s="255"/>
      <c r="AV113" s="255"/>
      <c r="AW113" s="255"/>
      <c r="AX113" s="255"/>
      <c r="AY113" s="255"/>
      <c r="AZ113" s="255"/>
      <c r="BA113" s="255"/>
      <c r="BB113" s="255"/>
      <c r="BC113" s="255"/>
      <c r="BD113" s="255"/>
      <c r="BE113" s="255"/>
      <c r="BF113" s="255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</row>
    <row r="114" spans="1:87" ht="12.75" customHeight="1" x14ac:dyDescent="0.2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55"/>
      <c r="AT114" s="255"/>
      <c r="AU114" s="255"/>
      <c r="AV114" s="255"/>
      <c r="AW114" s="255"/>
      <c r="AX114" s="255"/>
      <c r="AY114" s="255"/>
      <c r="AZ114" s="255"/>
      <c r="BA114" s="255"/>
      <c r="BB114" s="255"/>
      <c r="BC114" s="255"/>
      <c r="BD114" s="255"/>
      <c r="BE114" s="255"/>
      <c r="BF114" s="255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50"/>
      <c r="BS114" s="150"/>
      <c r="BT114" s="150"/>
      <c r="BU114" s="150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</row>
    <row r="115" spans="1:87" ht="12.75" customHeight="1" x14ac:dyDescent="0.2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55"/>
      <c r="AT115" s="255"/>
      <c r="AU115" s="255"/>
      <c r="AV115" s="255"/>
      <c r="AW115" s="255"/>
      <c r="AX115" s="255"/>
      <c r="AY115" s="255"/>
      <c r="AZ115" s="255"/>
      <c r="BA115" s="255"/>
      <c r="BB115" s="255"/>
      <c r="BC115" s="255"/>
      <c r="BD115" s="255"/>
      <c r="BE115" s="255"/>
      <c r="BF115" s="255"/>
      <c r="BG115" s="150"/>
      <c r="BH115" s="150"/>
      <c r="BI115" s="150"/>
      <c r="BJ115" s="150"/>
      <c r="BK115" s="150"/>
      <c r="BL115" s="150"/>
      <c r="BM115" s="150"/>
      <c r="BN115" s="150"/>
      <c r="BO115" s="150"/>
      <c r="BP115" s="150"/>
      <c r="BQ115" s="150"/>
      <c r="BR115" s="150"/>
      <c r="BS115" s="150"/>
      <c r="BT115" s="150"/>
      <c r="BU115" s="150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</row>
    <row r="116" spans="1:87" ht="12.75" customHeight="1" x14ac:dyDescent="0.2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55"/>
      <c r="AT116" s="255"/>
      <c r="AU116" s="255"/>
      <c r="AV116" s="255"/>
      <c r="AW116" s="255"/>
      <c r="AX116" s="255"/>
      <c r="AY116" s="255"/>
      <c r="AZ116" s="255"/>
      <c r="BA116" s="255"/>
      <c r="BB116" s="255"/>
      <c r="BC116" s="255"/>
      <c r="BD116" s="255"/>
      <c r="BE116" s="255"/>
      <c r="BF116" s="255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55"/>
      <c r="AT117" s="255"/>
      <c r="AU117" s="255"/>
      <c r="AV117" s="255"/>
      <c r="AW117" s="255"/>
      <c r="AX117" s="255"/>
      <c r="AY117" s="255"/>
      <c r="AZ117" s="255"/>
      <c r="BA117" s="255"/>
      <c r="BB117" s="255"/>
      <c r="BC117" s="255"/>
      <c r="BD117" s="255"/>
      <c r="BE117" s="255"/>
      <c r="BF117" s="255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55"/>
      <c r="AT118" s="255"/>
      <c r="AU118" s="255"/>
      <c r="AV118" s="255"/>
      <c r="AW118" s="255"/>
      <c r="AX118" s="255"/>
      <c r="AY118" s="255"/>
      <c r="AZ118" s="255"/>
      <c r="BA118" s="255"/>
      <c r="BB118" s="255"/>
      <c r="BC118" s="255"/>
      <c r="BD118" s="255"/>
      <c r="BE118" s="255"/>
      <c r="BF118" s="255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55"/>
      <c r="AT119" s="255"/>
      <c r="AU119" s="255"/>
      <c r="AV119" s="255"/>
      <c r="AW119" s="255"/>
      <c r="AX119" s="255"/>
      <c r="AY119" s="255"/>
      <c r="AZ119" s="255"/>
      <c r="BA119" s="255"/>
      <c r="BB119" s="255"/>
      <c r="BC119" s="255"/>
      <c r="BD119" s="255"/>
      <c r="BE119" s="255"/>
      <c r="BF119" s="255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55"/>
      <c r="AT120" s="255"/>
      <c r="AU120" s="255"/>
      <c r="AV120" s="255"/>
      <c r="AW120" s="255"/>
      <c r="AX120" s="255"/>
      <c r="AY120" s="255"/>
      <c r="AZ120" s="255"/>
      <c r="BA120" s="255"/>
      <c r="BB120" s="255"/>
      <c r="BC120" s="255"/>
      <c r="BD120" s="255"/>
      <c r="BE120" s="255"/>
      <c r="BF120" s="255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55"/>
      <c r="AT121" s="255"/>
      <c r="AU121" s="255"/>
      <c r="AV121" s="255"/>
      <c r="AW121" s="255"/>
      <c r="AX121" s="255"/>
      <c r="AY121" s="255"/>
      <c r="AZ121" s="255"/>
      <c r="BA121" s="255"/>
      <c r="BB121" s="255"/>
      <c r="BC121" s="255"/>
      <c r="BD121" s="255"/>
      <c r="BE121" s="255"/>
      <c r="BF121" s="255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55"/>
      <c r="AT122" s="255"/>
      <c r="AU122" s="255"/>
      <c r="AV122" s="255"/>
      <c r="AW122" s="255"/>
      <c r="AX122" s="255"/>
      <c r="AY122" s="255"/>
      <c r="AZ122" s="255"/>
      <c r="BA122" s="255"/>
      <c r="BB122" s="255"/>
      <c r="BC122" s="255"/>
      <c r="BD122" s="255"/>
      <c r="BE122" s="255"/>
      <c r="BF122" s="255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55"/>
      <c r="AT123" s="255"/>
      <c r="AU123" s="255"/>
      <c r="AV123" s="255"/>
      <c r="AW123" s="255"/>
      <c r="AX123" s="255"/>
      <c r="AY123" s="255"/>
      <c r="AZ123" s="255"/>
      <c r="BA123" s="255"/>
      <c r="BB123" s="255"/>
      <c r="BC123" s="255"/>
      <c r="BD123" s="255"/>
      <c r="BE123" s="255"/>
      <c r="BF123" s="255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55"/>
      <c r="AT124" s="255"/>
      <c r="AU124" s="255"/>
      <c r="AV124" s="255"/>
      <c r="AW124" s="255"/>
      <c r="AX124" s="255"/>
      <c r="AY124" s="255"/>
      <c r="AZ124" s="255"/>
      <c r="BA124" s="255"/>
      <c r="BB124" s="255"/>
      <c r="BC124" s="255"/>
      <c r="BD124" s="255"/>
      <c r="BE124" s="255"/>
      <c r="BF124" s="255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55"/>
      <c r="AT125" s="255"/>
      <c r="AU125" s="255"/>
      <c r="AV125" s="255"/>
      <c r="AW125" s="255"/>
      <c r="AX125" s="255"/>
      <c r="AY125" s="255"/>
      <c r="AZ125" s="255"/>
      <c r="BA125" s="255"/>
      <c r="BB125" s="255"/>
      <c r="BC125" s="255"/>
      <c r="BD125" s="255"/>
      <c r="BE125" s="255"/>
      <c r="BF125" s="255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55"/>
      <c r="AT126" s="255"/>
      <c r="AU126" s="255"/>
      <c r="AV126" s="255"/>
      <c r="AW126" s="255"/>
      <c r="AX126" s="255"/>
      <c r="AY126" s="255"/>
      <c r="AZ126" s="255"/>
      <c r="BA126" s="255"/>
      <c r="BB126" s="255"/>
      <c r="BC126" s="255"/>
      <c r="BD126" s="255"/>
      <c r="BE126" s="255"/>
      <c r="BF126" s="255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55"/>
      <c r="AT127" s="255"/>
      <c r="AU127" s="255"/>
      <c r="AV127" s="255"/>
      <c r="AW127" s="255"/>
      <c r="AX127" s="255"/>
      <c r="AY127" s="255"/>
      <c r="AZ127" s="255"/>
      <c r="BA127" s="255"/>
      <c r="BB127" s="255"/>
      <c r="BC127" s="255"/>
      <c r="BD127" s="255"/>
      <c r="BE127" s="255"/>
      <c r="BF127" s="255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55"/>
      <c r="AT128" s="255"/>
      <c r="AU128" s="255"/>
      <c r="AV128" s="255"/>
      <c r="AW128" s="255"/>
      <c r="AX128" s="255"/>
      <c r="AY128" s="255"/>
      <c r="AZ128" s="255"/>
      <c r="BA128" s="255"/>
      <c r="BB128" s="255"/>
      <c r="BC128" s="255"/>
      <c r="BD128" s="255"/>
      <c r="BE128" s="255"/>
      <c r="BF128" s="255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55"/>
      <c r="AT129" s="255"/>
      <c r="AU129" s="255"/>
      <c r="AV129" s="255"/>
      <c r="AW129" s="255"/>
      <c r="AX129" s="255"/>
      <c r="AY129" s="255"/>
      <c r="AZ129" s="255"/>
      <c r="BA129" s="255"/>
      <c r="BB129" s="255"/>
      <c r="BC129" s="255"/>
      <c r="BD129" s="255"/>
      <c r="BE129" s="255"/>
      <c r="BF129" s="255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55"/>
      <c r="AT130" s="255"/>
      <c r="AU130" s="255"/>
      <c r="AV130" s="255"/>
      <c r="AW130" s="255"/>
      <c r="AX130" s="255"/>
      <c r="AY130" s="255"/>
      <c r="AZ130" s="255"/>
      <c r="BA130" s="255"/>
      <c r="BB130" s="255"/>
      <c r="BC130" s="255"/>
      <c r="BD130" s="255"/>
      <c r="BE130" s="255"/>
      <c r="BF130" s="255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55"/>
      <c r="AT131" s="255"/>
      <c r="AU131" s="255"/>
      <c r="AV131" s="255"/>
      <c r="AW131" s="255"/>
      <c r="AX131" s="255"/>
      <c r="AY131" s="255"/>
      <c r="AZ131" s="255"/>
      <c r="BA131" s="255"/>
      <c r="BB131" s="255"/>
      <c r="BC131" s="255"/>
      <c r="BD131" s="255"/>
      <c r="BE131" s="255"/>
      <c r="BF131" s="255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55"/>
      <c r="AT132" s="255"/>
      <c r="AU132" s="255"/>
      <c r="AV132" s="255"/>
      <c r="AW132" s="255"/>
      <c r="AX132" s="255"/>
      <c r="AY132" s="255"/>
      <c r="AZ132" s="255"/>
      <c r="BA132" s="255"/>
      <c r="BB132" s="255"/>
      <c r="BC132" s="255"/>
      <c r="BD132" s="255"/>
      <c r="BE132" s="255"/>
      <c r="BF132" s="255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55"/>
      <c r="AT133" s="255"/>
      <c r="AU133" s="255"/>
      <c r="AV133" s="255"/>
      <c r="AW133" s="255"/>
      <c r="AX133" s="255"/>
      <c r="AY133" s="255"/>
      <c r="AZ133" s="255"/>
      <c r="BA133" s="255"/>
      <c r="BB133" s="255"/>
      <c r="BC133" s="255"/>
      <c r="BD133" s="255"/>
      <c r="BE133" s="255"/>
      <c r="BF133" s="255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55"/>
      <c r="AT134" s="255"/>
      <c r="AU134" s="255"/>
      <c r="AV134" s="255"/>
      <c r="AW134" s="255"/>
      <c r="AX134" s="255"/>
      <c r="AY134" s="255"/>
      <c r="AZ134" s="255"/>
      <c r="BA134" s="255"/>
      <c r="BB134" s="255"/>
      <c r="BC134" s="255"/>
      <c r="BD134" s="255"/>
      <c r="BE134" s="255"/>
      <c r="BF134" s="255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55"/>
      <c r="AT135" s="255"/>
      <c r="AU135" s="255"/>
      <c r="AV135" s="255"/>
      <c r="AW135" s="255"/>
      <c r="AX135" s="255"/>
      <c r="AY135" s="255"/>
      <c r="AZ135" s="255"/>
      <c r="BA135" s="255"/>
      <c r="BB135" s="255"/>
      <c r="BC135" s="255"/>
      <c r="BD135" s="255"/>
      <c r="BE135" s="255"/>
      <c r="BF135" s="255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55"/>
      <c r="AT136" s="255"/>
      <c r="AU136" s="255"/>
      <c r="AV136" s="255"/>
      <c r="AW136" s="255"/>
      <c r="AX136" s="255"/>
      <c r="AY136" s="255"/>
      <c r="AZ136" s="255"/>
      <c r="BA136" s="255"/>
      <c r="BB136" s="255"/>
      <c r="BC136" s="255"/>
      <c r="BD136" s="255"/>
      <c r="BE136" s="255"/>
      <c r="BF136" s="255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55"/>
      <c r="AT137" s="255"/>
      <c r="AU137" s="255"/>
      <c r="AV137" s="255"/>
      <c r="AW137" s="255"/>
      <c r="AX137" s="255"/>
      <c r="AY137" s="255"/>
      <c r="AZ137" s="255"/>
      <c r="BA137" s="255"/>
      <c r="BB137" s="255"/>
      <c r="BC137" s="255"/>
      <c r="BD137" s="255"/>
      <c r="BE137" s="255"/>
      <c r="BF137" s="255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55"/>
      <c r="AT138" s="255"/>
      <c r="AU138" s="255"/>
      <c r="AV138" s="255"/>
      <c r="AW138" s="255"/>
      <c r="AX138" s="255"/>
      <c r="AY138" s="255"/>
      <c r="AZ138" s="255"/>
      <c r="BA138" s="255"/>
      <c r="BB138" s="255"/>
      <c r="BC138" s="255"/>
      <c r="BD138" s="255"/>
      <c r="BE138" s="255"/>
      <c r="BF138" s="255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55"/>
      <c r="AT139" s="255"/>
      <c r="AU139" s="255"/>
      <c r="AV139" s="255"/>
      <c r="AW139" s="255"/>
      <c r="AX139" s="255"/>
      <c r="AY139" s="255"/>
      <c r="AZ139" s="255"/>
      <c r="BA139" s="255"/>
      <c r="BB139" s="255"/>
      <c r="BC139" s="255"/>
      <c r="BD139" s="255"/>
      <c r="BE139" s="255"/>
      <c r="BF139" s="255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55"/>
      <c r="AT140" s="255"/>
      <c r="AU140" s="255"/>
      <c r="AV140" s="255"/>
      <c r="AW140" s="255"/>
      <c r="AX140" s="255"/>
      <c r="AY140" s="255"/>
      <c r="AZ140" s="255"/>
      <c r="BA140" s="255"/>
      <c r="BB140" s="255"/>
      <c r="BC140" s="255"/>
      <c r="BD140" s="255"/>
      <c r="BE140" s="255"/>
      <c r="BF140" s="255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55"/>
      <c r="AT141" s="255"/>
      <c r="AU141" s="255"/>
      <c r="AV141" s="255"/>
      <c r="AW141" s="255"/>
      <c r="AX141" s="255"/>
      <c r="AY141" s="255"/>
      <c r="AZ141" s="255"/>
      <c r="BA141" s="255"/>
      <c r="BB141" s="255"/>
      <c r="BC141" s="255"/>
      <c r="BD141" s="255"/>
      <c r="BE141" s="255"/>
      <c r="BF141" s="255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55"/>
      <c r="AT142" s="255"/>
      <c r="AU142" s="255"/>
      <c r="AV142" s="255"/>
      <c r="AW142" s="255"/>
      <c r="AX142" s="255"/>
      <c r="AY142" s="255"/>
      <c r="AZ142" s="255"/>
      <c r="BA142" s="255"/>
      <c r="BB142" s="255"/>
      <c r="BC142" s="255"/>
      <c r="BD142" s="255"/>
      <c r="BE142" s="255"/>
      <c r="BF142" s="255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55"/>
      <c r="AT143" s="255"/>
      <c r="AU143" s="255"/>
      <c r="AV143" s="255"/>
      <c r="AW143" s="255"/>
      <c r="AX143" s="255"/>
      <c r="AY143" s="255"/>
      <c r="AZ143" s="255"/>
      <c r="BA143" s="255"/>
      <c r="BB143" s="255"/>
      <c r="BC143" s="255"/>
      <c r="BD143" s="255"/>
      <c r="BE143" s="255"/>
      <c r="BF143" s="255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55"/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55"/>
      <c r="AT145" s="255"/>
      <c r="AU145" s="255"/>
      <c r="AV145" s="255"/>
      <c r="AW145" s="255"/>
      <c r="AX145" s="255"/>
      <c r="AY145" s="255"/>
      <c r="AZ145" s="255"/>
      <c r="BA145" s="255"/>
      <c r="BB145" s="255"/>
      <c r="BC145" s="255"/>
      <c r="BD145" s="255"/>
      <c r="BE145" s="255"/>
      <c r="BF145" s="255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55"/>
      <c r="AT146" s="255"/>
      <c r="AU146" s="255"/>
      <c r="AV146" s="255"/>
      <c r="AW146" s="255"/>
      <c r="AX146" s="255"/>
      <c r="AY146" s="255"/>
      <c r="AZ146" s="255"/>
      <c r="BA146" s="255"/>
      <c r="BB146" s="255"/>
      <c r="BC146" s="255"/>
      <c r="BD146" s="255"/>
      <c r="BE146" s="255"/>
      <c r="BF146" s="255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55"/>
      <c r="AT147" s="255"/>
      <c r="AU147" s="255"/>
      <c r="AV147" s="255"/>
      <c r="AW147" s="255"/>
      <c r="AX147" s="255"/>
      <c r="AY147" s="255"/>
      <c r="AZ147" s="255"/>
      <c r="BA147" s="255"/>
      <c r="BB147" s="255"/>
      <c r="BC147" s="255"/>
      <c r="BD147" s="255"/>
      <c r="BE147" s="255"/>
      <c r="BF147" s="255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55"/>
      <c r="AT148" s="255"/>
      <c r="AU148" s="255"/>
      <c r="AV148" s="255"/>
      <c r="AW148" s="255"/>
      <c r="AX148" s="255"/>
      <c r="AY148" s="255"/>
      <c r="AZ148" s="255"/>
      <c r="BA148" s="255"/>
      <c r="BB148" s="255"/>
      <c r="BC148" s="255"/>
      <c r="BD148" s="255"/>
      <c r="BE148" s="255"/>
      <c r="BF148" s="255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55"/>
      <c r="AT149" s="255"/>
      <c r="AU149" s="255"/>
      <c r="AV149" s="255"/>
      <c r="AW149" s="255"/>
      <c r="AX149" s="255"/>
      <c r="AY149" s="255"/>
      <c r="AZ149" s="255"/>
      <c r="BA149" s="255"/>
      <c r="BB149" s="255"/>
      <c r="BC149" s="255"/>
      <c r="BD149" s="255"/>
      <c r="BE149" s="255"/>
      <c r="BF149" s="255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55"/>
      <c r="AT150" s="255"/>
      <c r="AU150" s="255"/>
      <c r="AV150" s="255"/>
      <c r="AW150" s="255"/>
      <c r="AX150" s="255"/>
      <c r="AY150" s="255"/>
      <c r="AZ150" s="255"/>
      <c r="BA150" s="255"/>
      <c r="BB150" s="255"/>
      <c r="BC150" s="255"/>
      <c r="BD150" s="255"/>
      <c r="BE150" s="255"/>
      <c r="BF150" s="255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55"/>
      <c r="AT151" s="255"/>
      <c r="AU151" s="255"/>
      <c r="AV151" s="255"/>
      <c r="AW151" s="255"/>
      <c r="AX151" s="255"/>
      <c r="AY151" s="255"/>
      <c r="AZ151" s="255"/>
      <c r="BA151" s="255"/>
      <c r="BB151" s="255"/>
      <c r="BC151" s="255"/>
      <c r="BD151" s="255"/>
      <c r="BE151" s="255"/>
      <c r="BF151" s="255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55"/>
      <c r="AT152" s="255"/>
      <c r="AU152" s="255"/>
      <c r="AV152" s="255"/>
      <c r="AW152" s="255"/>
      <c r="AX152" s="255"/>
      <c r="AY152" s="255"/>
      <c r="AZ152" s="255"/>
      <c r="BA152" s="255"/>
      <c r="BB152" s="255"/>
      <c r="BC152" s="255"/>
      <c r="BD152" s="255"/>
      <c r="BE152" s="255"/>
      <c r="BF152" s="255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55"/>
      <c r="AT153" s="255"/>
      <c r="AU153" s="255"/>
      <c r="AV153" s="255"/>
      <c r="AW153" s="255"/>
      <c r="AX153" s="255"/>
      <c r="AY153" s="255"/>
      <c r="AZ153" s="255"/>
      <c r="BA153" s="255"/>
      <c r="BB153" s="255"/>
      <c r="BC153" s="255"/>
      <c r="BD153" s="255"/>
      <c r="BE153" s="255"/>
      <c r="BF153" s="255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55"/>
      <c r="AT154" s="255"/>
      <c r="AU154" s="255"/>
      <c r="AV154" s="255"/>
      <c r="AW154" s="255"/>
      <c r="AX154" s="255"/>
      <c r="AY154" s="255"/>
      <c r="AZ154" s="255"/>
      <c r="BA154" s="255"/>
      <c r="BB154" s="255"/>
      <c r="BC154" s="255"/>
      <c r="BD154" s="255"/>
      <c r="BE154" s="255"/>
      <c r="BF154" s="255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55"/>
      <c r="AT155" s="255"/>
      <c r="AU155" s="255"/>
      <c r="AV155" s="255"/>
      <c r="AW155" s="255"/>
      <c r="AX155" s="255"/>
      <c r="AY155" s="255"/>
      <c r="AZ155" s="255"/>
      <c r="BA155" s="255"/>
      <c r="BB155" s="255"/>
      <c r="BC155" s="255"/>
      <c r="BD155" s="255"/>
      <c r="BE155" s="255"/>
      <c r="BF155" s="255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55"/>
      <c r="AT156" s="255"/>
      <c r="AU156" s="255"/>
      <c r="AV156" s="255"/>
      <c r="AW156" s="255"/>
      <c r="AX156" s="255"/>
      <c r="AY156" s="255"/>
      <c r="AZ156" s="255"/>
      <c r="BA156" s="255"/>
      <c r="BB156" s="255"/>
      <c r="BC156" s="255"/>
      <c r="BD156" s="255"/>
      <c r="BE156" s="255"/>
      <c r="BF156" s="255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55"/>
      <c r="AT157" s="255"/>
      <c r="AU157" s="255"/>
      <c r="AV157" s="255"/>
      <c r="AW157" s="255"/>
      <c r="AX157" s="255"/>
      <c r="AY157" s="255"/>
      <c r="AZ157" s="255"/>
      <c r="BA157" s="255"/>
      <c r="BB157" s="255"/>
      <c r="BC157" s="255"/>
      <c r="BD157" s="255"/>
      <c r="BE157" s="255"/>
      <c r="BF157" s="255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55"/>
      <c r="AT158" s="255"/>
      <c r="AU158" s="255"/>
      <c r="AV158" s="255"/>
      <c r="AW158" s="255"/>
      <c r="AX158" s="255"/>
      <c r="AY158" s="255"/>
      <c r="AZ158" s="255"/>
      <c r="BA158" s="255"/>
      <c r="BB158" s="255"/>
      <c r="BC158" s="255"/>
      <c r="BD158" s="255"/>
      <c r="BE158" s="255"/>
      <c r="BF158" s="255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55"/>
      <c r="AT159" s="255"/>
      <c r="AU159" s="255"/>
      <c r="AV159" s="255"/>
      <c r="AW159" s="255"/>
      <c r="AX159" s="255"/>
      <c r="AY159" s="255"/>
      <c r="AZ159" s="255"/>
      <c r="BA159" s="255"/>
      <c r="BB159" s="255"/>
      <c r="BC159" s="255"/>
      <c r="BD159" s="255"/>
      <c r="BE159" s="255"/>
      <c r="BF159" s="255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55"/>
      <c r="AT160" s="255"/>
      <c r="AU160" s="255"/>
      <c r="AV160" s="255"/>
      <c r="AW160" s="255"/>
      <c r="AX160" s="255"/>
      <c r="AY160" s="255"/>
      <c r="AZ160" s="255"/>
      <c r="BA160" s="255"/>
      <c r="BB160" s="255"/>
      <c r="BC160" s="255"/>
      <c r="BD160" s="255"/>
      <c r="BE160" s="255"/>
      <c r="BF160" s="255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55"/>
      <c r="AT161" s="255"/>
      <c r="AU161" s="255"/>
      <c r="AV161" s="255"/>
      <c r="AW161" s="255"/>
      <c r="AX161" s="255"/>
      <c r="AY161" s="255"/>
      <c r="AZ161" s="255"/>
      <c r="BA161" s="255"/>
      <c r="BB161" s="255"/>
      <c r="BC161" s="255"/>
      <c r="BD161" s="255"/>
      <c r="BE161" s="255"/>
      <c r="BF161" s="255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55"/>
      <c r="AT162" s="255"/>
      <c r="AU162" s="255"/>
      <c r="AV162" s="255"/>
      <c r="AW162" s="255"/>
      <c r="AX162" s="255"/>
      <c r="AY162" s="255"/>
      <c r="AZ162" s="255"/>
      <c r="BA162" s="255"/>
      <c r="BB162" s="255"/>
      <c r="BC162" s="255"/>
      <c r="BD162" s="255"/>
      <c r="BE162" s="255"/>
      <c r="BF162" s="255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55"/>
      <c r="AT163" s="255"/>
      <c r="AU163" s="255"/>
      <c r="AV163" s="255"/>
      <c r="AW163" s="255"/>
      <c r="AX163" s="255"/>
      <c r="AY163" s="255"/>
      <c r="AZ163" s="255"/>
      <c r="BA163" s="255"/>
      <c r="BB163" s="255"/>
      <c r="BC163" s="255"/>
      <c r="BD163" s="255"/>
      <c r="BE163" s="255"/>
      <c r="BF163" s="255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55"/>
      <c r="AT164" s="255"/>
      <c r="AU164" s="255"/>
      <c r="AV164" s="255"/>
      <c r="AW164" s="255"/>
      <c r="AX164" s="255"/>
      <c r="AY164" s="255"/>
      <c r="AZ164" s="255"/>
      <c r="BA164" s="255"/>
      <c r="BB164" s="255"/>
      <c r="BC164" s="255"/>
      <c r="BD164" s="255"/>
      <c r="BE164" s="255"/>
      <c r="BF164" s="255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55"/>
      <c r="AT165" s="255"/>
      <c r="AU165" s="255"/>
      <c r="AV165" s="255"/>
      <c r="AW165" s="255"/>
      <c r="AX165" s="255"/>
      <c r="AY165" s="255"/>
      <c r="AZ165" s="255"/>
      <c r="BA165" s="255"/>
      <c r="BB165" s="255"/>
      <c r="BC165" s="255"/>
      <c r="BD165" s="255"/>
      <c r="BE165" s="255"/>
      <c r="BF165" s="255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55"/>
      <c r="AT166" s="255"/>
      <c r="AU166" s="255"/>
      <c r="AV166" s="255"/>
      <c r="AW166" s="255"/>
      <c r="AX166" s="255"/>
      <c r="AY166" s="255"/>
      <c r="AZ166" s="255"/>
      <c r="BA166" s="255"/>
      <c r="BB166" s="255"/>
      <c r="BC166" s="255"/>
      <c r="BD166" s="255"/>
      <c r="BE166" s="255"/>
      <c r="BF166" s="255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55"/>
      <c r="AT167" s="255"/>
      <c r="AU167" s="255"/>
      <c r="AV167" s="255"/>
      <c r="AW167" s="255"/>
      <c r="AX167" s="255"/>
      <c r="AY167" s="255"/>
      <c r="AZ167" s="255"/>
      <c r="BA167" s="255"/>
      <c r="BB167" s="255"/>
      <c r="BC167" s="255"/>
      <c r="BD167" s="255"/>
      <c r="BE167" s="255"/>
      <c r="BF167" s="255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55"/>
      <c r="AT168" s="255"/>
      <c r="AU168" s="255"/>
      <c r="AV168" s="255"/>
      <c r="AW168" s="255"/>
      <c r="AX168" s="255"/>
      <c r="AY168" s="255"/>
      <c r="AZ168" s="255"/>
      <c r="BA168" s="255"/>
      <c r="BB168" s="255"/>
      <c r="BC168" s="255"/>
      <c r="BD168" s="255"/>
      <c r="BE168" s="255"/>
      <c r="BF168" s="255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55"/>
      <c r="AT169" s="255"/>
      <c r="AU169" s="255"/>
      <c r="AV169" s="255"/>
      <c r="AW169" s="255"/>
      <c r="AX169" s="255"/>
      <c r="AY169" s="255"/>
      <c r="AZ169" s="255"/>
      <c r="BA169" s="255"/>
      <c r="BB169" s="255"/>
      <c r="BC169" s="255"/>
      <c r="BD169" s="255"/>
      <c r="BE169" s="255"/>
      <c r="BF169" s="255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55"/>
      <c r="AT170" s="255"/>
      <c r="AU170" s="255"/>
      <c r="AV170" s="255"/>
      <c r="AW170" s="255"/>
      <c r="AX170" s="255"/>
      <c r="AY170" s="255"/>
      <c r="AZ170" s="255"/>
      <c r="BA170" s="255"/>
      <c r="BB170" s="255"/>
      <c r="BC170" s="255"/>
      <c r="BD170" s="255"/>
      <c r="BE170" s="255"/>
      <c r="BF170" s="255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55"/>
      <c r="AT171" s="255"/>
      <c r="AU171" s="255"/>
      <c r="AV171" s="255"/>
      <c r="AW171" s="255"/>
      <c r="AX171" s="255"/>
      <c r="AY171" s="255"/>
      <c r="AZ171" s="255"/>
      <c r="BA171" s="255"/>
      <c r="BB171" s="255"/>
      <c r="BC171" s="255"/>
      <c r="BD171" s="255"/>
      <c r="BE171" s="255"/>
      <c r="BF171" s="255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55"/>
      <c r="AT172" s="255"/>
      <c r="AU172" s="255"/>
      <c r="AV172" s="255"/>
      <c r="AW172" s="255"/>
      <c r="AX172" s="255"/>
      <c r="AY172" s="255"/>
      <c r="AZ172" s="255"/>
      <c r="BA172" s="255"/>
      <c r="BB172" s="255"/>
      <c r="BC172" s="255"/>
      <c r="BD172" s="255"/>
      <c r="BE172" s="255"/>
      <c r="BF172" s="255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55"/>
      <c r="AT173" s="255"/>
      <c r="AU173" s="255"/>
      <c r="AV173" s="255"/>
      <c r="AW173" s="255"/>
      <c r="AX173" s="255"/>
      <c r="AY173" s="255"/>
      <c r="AZ173" s="255"/>
      <c r="BA173" s="255"/>
      <c r="BB173" s="255"/>
      <c r="BC173" s="255"/>
      <c r="BD173" s="255"/>
      <c r="BE173" s="255"/>
      <c r="BF173" s="255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55"/>
      <c r="AT175" s="255"/>
      <c r="AU175" s="255"/>
      <c r="AV175" s="255"/>
      <c r="AW175" s="255"/>
      <c r="AX175" s="255"/>
      <c r="AY175" s="255"/>
      <c r="AZ175" s="255"/>
      <c r="BA175" s="255"/>
      <c r="BB175" s="255"/>
      <c r="BC175" s="255"/>
      <c r="BD175" s="255"/>
      <c r="BE175" s="255"/>
      <c r="BF175" s="255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55"/>
      <c r="AT176" s="255"/>
      <c r="AU176" s="255"/>
      <c r="AV176" s="255"/>
      <c r="AW176" s="255"/>
      <c r="AX176" s="255"/>
      <c r="AY176" s="255"/>
      <c r="AZ176" s="255"/>
      <c r="BA176" s="255"/>
      <c r="BB176" s="255"/>
      <c r="BC176" s="255"/>
      <c r="BD176" s="255"/>
      <c r="BE176" s="255"/>
      <c r="BF176" s="255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55"/>
      <c r="AT177" s="255"/>
      <c r="AU177" s="255"/>
      <c r="AV177" s="255"/>
      <c r="AW177" s="255"/>
      <c r="AX177" s="255"/>
      <c r="AY177" s="255"/>
      <c r="AZ177" s="255"/>
      <c r="BA177" s="255"/>
      <c r="BB177" s="255"/>
      <c r="BC177" s="255"/>
      <c r="BD177" s="255"/>
      <c r="BE177" s="255"/>
      <c r="BF177" s="255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55"/>
      <c r="AT178" s="255"/>
      <c r="AU178" s="255"/>
      <c r="AV178" s="255"/>
      <c r="AW178" s="255"/>
      <c r="AX178" s="255"/>
      <c r="AY178" s="255"/>
      <c r="AZ178" s="255"/>
      <c r="BA178" s="255"/>
      <c r="BB178" s="255"/>
      <c r="BC178" s="255"/>
      <c r="BD178" s="255"/>
      <c r="BE178" s="255"/>
      <c r="BF178" s="255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55"/>
      <c r="AT179" s="255"/>
      <c r="AU179" s="255"/>
      <c r="AV179" s="255"/>
      <c r="AW179" s="255"/>
      <c r="AX179" s="255"/>
      <c r="AY179" s="255"/>
      <c r="AZ179" s="255"/>
      <c r="BA179" s="255"/>
      <c r="BB179" s="255"/>
      <c r="BC179" s="255"/>
      <c r="BD179" s="255"/>
      <c r="BE179" s="255"/>
      <c r="BF179" s="255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55"/>
      <c r="AT180" s="255"/>
      <c r="AU180" s="255"/>
      <c r="AV180" s="255"/>
      <c r="AW180" s="255"/>
      <c r="AX180" s="255"/>
      <c r="AY180" s="255"/>
      <c r="AZ180" s="255"/>
      <c r="BA180" s="255"/>
      <c r="BB180" s="255"/>
      <c r="BC180" s="255"/>
      <c r="BD180" s="255"/>
      <c r="BE180" s="255"/>
      <c r="BF180" s="255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55"/>
      <c r="AT181" s="255"/>
      <c r="AU181" s="255"/>
      <c r="AV181" s="255"/>
      <c r="AW181" s="255"/>
      <c r="AX181" s="255"/>
      <c r="AY181" s="255"/>
      <c r="AZ181" s="255"/>
      <c r="BA181" s="255"/>
      <c r="BB181" s="255"/>
      <c r="BC181" s="255"/>
      <c r="BD181" s="255"/>
      <c r="BE181" s="255"/>
      <c r="BF181" s="255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55"/>
      <c r="AT182" s="255"/>
      <c r="AU182" s="255"/>
      <c r="AV182" s="255"/>
      <c r="AW182" s="255"/>
      <c r="AX182" s="255"/>
      <c r="AY182" s="255"/>
      <c r="AZ182" s="255"/>
      <c r="BA182" s="255"/>
      <c r="BB182" s="255"/>
      <c r="BC182" s="255"/>
      <c r="BD182" s="255"/>
      <c r="BE182" s="255"/>
      <c r="BF182" s="255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55"/>
      <c r="AT183" s="255"/>
      <c r="AU183" s="255"/>
      <c r="AV183" s="255"/>
      <c r="AW183" s="255"/>
      <c r="AX183" s="255"/>
      <c r="AY183" s="255"/>
      <c r="AZ183" s="255"/>
      <c r="BA183" s="255"/>
      <c r="BB183" s="255"/>
      <c r="BC183" s="255"/>
      <c r="BD183" s="255"/>
      <c r="BE183" s="255"/>
      <c r="BF183" s="255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55"/>
      <c r="AT184" s="255"/>
      <c r="AU184" s="255"/>
      <c r="AV184" s="255"/>
      <c r="AW184" s="255"/>
      <c r="AX184" s="255"/>
      <c r="AY184" s="255"/>
      <c r="AZ184" s="255"/>
      <c r="BA184" s="255"/>
      <c r="BB184" s="255"/>
      <c r="BC184" s="255"/>
      <c r="BD184" s="255"/>
      <c r="BE184" s="255"/>
      <c r="BF184" s="255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55"/>
      <c r="AT185" s="255"/>
      <c r="AU185" s="255"/>
      <c r="AV185" s="255"/>
      <c r="AW185" s="255"/>
      <c r="AX185" s="255"/>
      <c r="AY185" s="255"/>
      <c r="AZ185" s="255"/>
      <c r="BA185" s="255"/>
      <c r="BB185" s="255"/>
      <c r="BC185" s="255"/>
      <c r="BD185" s="255"/>
      <c r="BE185" s="255"/>
      <c r="BF185" s="255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55"/>
      <c r="AT186" s="255"/>
      <c r="AU186" s="255"/>
      <c r="AV186" s="255"/>
      <c r="AW186" s="255"/>
      <c r="AX186" s="255"/>
      <c r="AY186" s="255"/>
      <c r="AZ186" s="255"/>
      <c r="BA186" s="255"/>
      <c r="BB186" s="255"/>
      <c r="BC186" s="255"/>
      <c r="BD186" s="255"/>
      <c r="BE186" s="255"/>
      <c r="BF186" s="255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55"/>
      <c r="AT187" s="255"/>
      <c r="AU187" s="255"/>
      <c r="AV187" s="255"/>
      <c r="AW187" s="255"/>
      <c r="AX187" s="255"/>
      <c r="AY187" s="255"/>
      <c r="AZ187" s="255"/>
      <c r="BA187" s="255"/>
      <c r="BB187" s="255"/>
      <c r="BC187" s="255"/>
      <c r="BD187" s="255"/>
      <c r="BE187" s="255"/>
      <c r="BF187" s="255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55"/>
      <c r="AT188" s="255"/>
      <c r="AU188" s="255"/>
      <c r="AV188" s="255"/>
      <c r="AW188" s="255"/>
      <c r="AX188" s="255"/>
      <c r="AY188" s="255"/>
      <c r="AZ188" s="255"/>
      <c r="BA188" s="255"/>
      <c r="BB188" s="255"/>
      <c r="BC188" s="255"/>
      <c r="BD188" s="255"/>
      <c r="BE188" s="255"/>
      <c r="BF188" s="255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55"/>
      <c r="AT189" s="255"/>
      <c r="AU189" s="255"/>
      <c r="AV189" s="255"/>
      <c r="AW189" s="255"/>
      <c r="AX189" s="255"/>
      <c r="AY189" s="255"/>
      <c r="AZ189" s="255"/>
      <c r="BA189" s="255"/>
      <c r="BB189" s="255"/>
      <c r="BC189" s="255"/>
      <c r="BD189" s="255"/>
      <c r="BE189" s="255"/>
      <c r="BF189" s="255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55"/>
      <c r="AT190" s="255"/>
      <c r="AU190" s="255"/>
      <c r="AV190" s="255"/>
      <c r="AW190" s="255"/>
      <c r="AX190" s="255"/>
      <c r="AY190" s="255"/>
      <c r="AZ190" s="255"/>
      <c r="BA190" s="255"/>
      <c r="BB190" s="255"/>
      <c r="BC190" s="255"/>
      <c r="BD190" s="255"/>
      <c r="BE190" s="255"/>
      <c r="BF190" s="255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55"/>
      <c r="AT191" s="255"/>
      <c r="AU191" s="255"/>
      <c r="AV191" s="255"/>
      <c r="AW191" s="255"/>
      <c r="AX191" s="255"/>
      <c r="AY191" s="255"/>
      <c r="AZ191" s="255"/>
      <c r="BA191" s="255"/>
      <c r="BB191" s="255"/>
      <c r="BC191" s="255"/>
      <c r="BD191" s="255"/>
      <c r="BE191" s="255"/>
      <c r="BF191" s="255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55"/>
      <c r="AT192" s="255"/>
      <c r="AU192" s="255"/>
      <c r="AV192" s="255"/>
      <c r="AW192" s="255"/>
      <c r="AX192" s="255"/>
      <c r="AY192" s="255"/>
      <c r="AZ192" s="255"/>
      <c r="BA192" s="255"/>
      <c r="BB192" s="255"/>
      <c r="BC192" s="255"/>
      <c r="BD192" s="255"/>
      <c r="BE192" s="255"/>
      <c r="BF192" s="255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55"/>
      <c r="AT193" s="255"/>
      <c r="AU193" s="255"/>
      <c r="AV193" s="255"/>
      <c r="AW193" s="255"/>
      <c r="AX193" s="255"/>
      <c r="AY193" s="255"/>
      <c r="AZ193" s="255"/>
      <c r="BA193" s="255"/>
      <c r="BB193" s="255"/>
      <c r="BC193" s="255"/>
      <c r="BD193" s="255"/>
      <c r="BE193" s="255"/>
      <c r="BF193" s="255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55"/>
      <c r="AT194" s="255"/>
      <c r="AU194" s="255"/>
      <c r="AV194" s="255"/>
      <c r="AW194" s="255"/>
      <c r="AX194" s="255"/>
      <c r="AY194" s="255"/>
      <c r="AZ194" s="255"/>
      <c r="BA194" s="255"/>
      <c r="BB194" s="255"/>
      <c r="BC194" s="255"/>
      <c r="BD194" s="255"/>
      <c r="BE194" s="255"/>
      <c r="BF194" s="255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55"/>
      <c r="AT195" s="255"/>
      <c r="AU195" s="255"/>
      <c r="AV195" s="255"/>
      <c r="AW195" s="255"/>
      <c r="AX195" s="255"/>
      <c r="AY195" s="255"/>
      <c r="AZ195" s="255"/>
      <c r="BA195" s="255"/>
      <c r="BB195" s="255"/>
      <c r="BC195" s="255"/>
      <c r="BD195" s="255"/>
      <c r="BE195" s="255"/>
      <c r="BF195" s="255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55"/>
      <c r="AT196" s="255"/>
      <c r="AU196" s="255"/>
      <c r="AV196" s="255"/>
      <c r="AW196" s="255"/>
      <c r="AX196" s="255"/>
      <c r="AY196" s="255"/>
      <c r="AZ196" s="255"/>
      <c r="BA196" s="255"/>
      <c r="BB196" s="255"/>
      <c r="BC196" s="255"/>
      <c r="BD196" s="255"/>
      <c r="BE196" s="255"/>
      <c r="BF196" s="255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55"/>
      <c r="AT197" s="255"/>
      <c r="AU197" s="255"/>
      <c r="AV197" s="255"/>
      <c r="AW197" s="255"/>
      <c r="AX197" s="255"/>
      <c r="AY197" s="255"/>
      <c r="AZ197" s="255"/>
      <c r="BA197" s="255"/>
      <c r="BB197" s="255"/>
      <c r="BC197" s="255"/>
      <c r="BD197" s="255"/>
      <c r="BE197" s="255"/>
      <c r="BF197" s="255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55"/>
      <c r="AT198" s="255"/>
      <c r="AU198" s="255"/>
      <c r="AV198" s="255"/>
      <c r="AW198" s="255"/>
      <c r="AX198" s="255"/>
      <c r="AY198" s="255"/>
      <c r="AZ198" s="255"/>
      <c r="BA198" s="255"/>
      <c r="BB198" s="255"/>
      <c r="BC198" s="255"/>
      <c r="BD198" s="255"/>
      <c r="BE198" s="255"/>
      <c r="BF198" s="255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55"/>
      <c r="AT199" s="255"/>
      <c r="AU199" s="255"/>
      <c r="AV199" s="255"/>
      <c r="AW199" s="255"/>
      <c r="AX199" s="255"/>
      <c r="AY199" s="255"/>
      <c r="AZ199" s="255"/>
      <c r="BA199" s="255"/>
      <c r="BB199" s="255"/>
      <c r="BC199" s="255"/>
      <c r="BD199" s="255"/>
      <c r="BE199" s="255"/>
      <c r="BF199" s="255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55"/>
      <c r="AT200" s="255"/>
      <c r="AU200" s="255"/>
      <c r="AV200" s="255"/>
      <c r="AW200" s="255"/>
      <c r="AX200" s="255"/>
      <c r="AY200" s="255"/>
      <c r="AZ200" s="255"/>
      <c r="BA200" s="255"/>
      <c r="BB200" s="255"/>
      <c r="BC200" s="255"/>
      <c r="BD200" s="255"/>
      <c r="BE200" s="255"/>
      <c r="BF200" s="255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55"/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55"/>
      <c r="AT202" s="255"/>
      <c r="AU202" s="255"/>
      <c r="AV202" s="255"/>
      <c r="AW202" s="255"/>
      <c r="AX202" s="255"/>
      <c r="AY202" s="255"/>
      <c r="AZ202" s="255"/>
      <c r="BA202" s="255"/>
      <c r="BB202" s="255"/>
      <c r="BC202" s="255"/>
      <c r="BD202" s="255"/>
      <c r="BE202" s="255"/>
      <c r="BF202" s="255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55"/>
      <c r="AT203" s="255"/>
      <c r="AU203" s="255"/>
      <c r="AV203" s="255"/>
      <c r="AW203" s="255"/>
      <c r="AX203" s="255"/>
      <c r="AY203" s="255"/>
      <c r="AZ203" s="255"/>
      <c r="BA203" s="255"/>
      <c r="BB203" s="255"/>
      <c r="BC203" s="255"/>
      <c r="BD203" s="255"/>
      <c r="BE203" s="255"/>
      <c r="BF203" s="255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55"/>
      <c r="AT204" s="255"/>
      <c r="AU204" s="255"/>
      <c r="AV204" s="255"/>
      <c r="AW204" s="255"/>
      <c r="AX204" s="255"/>
      <c r="AY204" s="255"/>
      <c r="AZ204" s="255"/>
      <c r="BA204" s="255"/>
      <c r="BB204" s="255"/>
      <c r="BC204" s="255"/>
      <c r="BD204" s="255"/>
      <c r="BE204" s="255"/>
      <c r="BF204" s="255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55"/>
      <c r="AT205" s="255"/>
      <c r="AU205" s="255"/>
      <c r="AV205" s="255"/>
      <c r="AW205" s="255"/>
      <c r="AX205" s="255"/>
      <c r="AY205" s="255"/>
      <c r="AZ205" s="255"/>
      <c r="BA205" s="255"/>
      <c r="BB205" s="255"/>
      <c r="BC205" s="255"/>
      <c r="BD205" s="255"/>
      <c r="BE205" s="255"/>
      <c r="BF205" s="255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55"/>
      <c r="AT206" s="255"/>
      <c r="AU206" s="255"/>
      <c r="AV206" s="255"/>
      <c r="AW206" s="255"/>
      <c r="AX206" s="255"/>
      <c r="AY206" s="255"/>
      <c r="AZ206" s="255"/>
      <c r="BA206" s="255"/>
      <c r="BB206" s="255"/>
      <c r="BC206" s="255"/>
      <c r="BD206" s="255"/>
      <c r="BE206" s="255"/>
      <c r="BF206" s="255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55"/>
      <c r="AT207" s="255"/>
      <c r="AU207" s="255"/>
      <c r="AV207" s="255"/>
      <c r="AW207" s="255"/>
      <c r="AX207" s="255"/>
      <c r="AY207" s="255"/>
      <c r="AZ207" s="255"/>
      <c r="BA207" s="255"/>
      <c r="BB207" s="255"/>
      <c r="BC207" s="255"/>
      <c r="BD207" s="255"/>
      <c r="BE207" s="255"/>
      <c r="BF207" s="255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55"/>
      <c r="AT208" s="255"/>
      <c r="AU208" s="255"/>
      <c r="AV208" s="255"/>
      <c r="AW208" s="255"/>
      <c r="AX208" s="255"/>
      <c r="AY208" s="255"/>
      <c r="AZ208" s="255"/>
      <c r="BA208" s="255"/>
      <c r="BB208" s="255"/>
      <c r="BC208" s="255"/>
      <c r="BD208" s="255"/>
      <c r="BE208" s="255"/>
      <c r="BF208" s="255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55"/>
      <c r="AT209" s="255"/>
      <c r="AU209" s="255"/>
      <c r="AV209" s="255"/>
      <c r="AW209" s="255"/>
      <c r="AX209" s="255"/>
      <c r="AY209" s="255"/>
      <c r="AZ209" s="255"/>
      <c r="BA209" s="255"/>
      <c r="BB209" s="255"/>
      <c r="BC209" s="255"/>
      <c r="BD209" s="255"/>
      <c r="BE209" s="255"/>
      <c r="BF209" s="255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55"/>
      <c r="AT210" s="255"/>
      <c r="AU210" s="255"/>
      <c r="AV210" s="255"/>
      <c r="AW210" s="255"/>
      <c r="AX210" s="255"/>
      <c r="AY210" s="255"/>
      <c r="AZ210" s="255"/>
      <c r="BA210" s="255"/>
      <c r="BB210" s="255"/>
      <c r="BC210" s="255"/>
      <c r="BD210" s="255"/>
      <c r="BE210" s="255"/>
      <c r="BF210" s="255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55"/>
      <c r="AT211" s="255"/>
      <c r="AU211" s="255"/>
      <c r="AV211" s="255"/>
      <c r="AW211" s="255"/>
      <c r="AX211" s="255"/>
      <c r="AY211" s="255"/>
      <c r="AZ211" s="255"/>
      <c r="BA211" s="255"/>
      <c r="BB211" s="255"/>
      <c r="BC211" s="255"/>
      <c r="BD211" s="255"/>
      <c r="BE211" s="255"/>
      <c r="BF211" s="255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55"/>
      <c r="AT212" s="255"/>
      <c r="AU212" s="255"/>
      <c r="AV212" s="255"/>
      <c r="AW212" s="255"/>
      <c r="AX212" s="255"/>
      <c r="AY212" s="255"/>
      <c r="AZ212" s="255"/>
      <c r="BA212" s="255"/>
      <c r="BB212" s="255"/>
      <c r="BC212" s="255"/>
      <c r="BD212" s="255"/>
      <c r="BE212" s="255"/>
      <c r="BF212" s="255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55"/>
      <c r="AT213" s="255"/>
      <c r="AU213" s="255"/>
      <c r="AV213" s="255"/>
      <c r="AW213" s="255"/>
      <c r="AX213" s="255"/>
      <c r="AY213" s="255"/>
      <c r="AZ213" s="255"/>
      <c r="BA213" s="255"/>
      <c r="BB213" s="255"/>
      <c r="BC213" s="255"/>
      <c r="BD213" s="255"/>
      <c r="BE213" s="255"/>
      <c r="BF213" s="255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55"/>
      <c r="AT214" s="255"/>
      <c r="AU214" s="255"/>
      <c r="AV214" s="255"/>
      <c r="AW214" s="255"/>
      <c r="AX214" s="255"/>
      <c r="AY214" s="255"/>
      <c r="AZ214" s="255"/>
      <c r="BA214" s="255"/>
      <c r="BB214" s="255"/>
      <c r="BC214" s="255"/>
      <c r="BD214" s="255"/>
      <c r="BE214" s="255"/>
      <c r="BF214" s="255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55"/>
      <c r="AT215" s="255"/>
      <c r="AU215" s="255"/>
      <c r="AV215" s="255"/>
      <c r="AW215" s="255"/>
      <c r="AX215" s="255"/>
      <c r="AY215" s="255"/>
      <c r="AZ215" s="255"/>
      <c r="BA215" s="255"/>
      <c r="BB215" s="255"/>
      <c r="BC215" s="255"/>
      <c r="BD215" s="255"/>
      <c r="BE215" s="255"/>
      <c r="BF215" s="255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55"/>
      <c r="AT216" s="255"/>
      <c r="AU216" s="255"/>
      <c r="AV216" s="255"/>
      <c r="AW216" s="255"/>
      <c r="AX216" s="255"/>
      <c r="AY216" s="255"/>
      <c r="AZ216" s="255"/>
      <c r="BA216" s="255"/>
      <c r="BB216" s="255"/>
      <c r="BC216" s="255"/>
      <c r="BD216" s="255"/>
      <c r="BE216" s="255"/>
      <c r="BF216" s="255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55"/>
      <c r="AT217" s="255"/>
      <c r="AU217" s="255"/>
      <c r="AV217" s="255"/>
      <c r="AW217" s="255"/>
      <c r="AX217" s="255"/>
      <c r="AY217" s="255"/>
      <c r="AZ217" s="255"/>
      <c r="BA217" s="255"/>
      <c r="BB217" s="255"/>
      <c r="BC217" s="255"/>
      <c r="BD217" s="255"/>
      <c r="BE217" s="255"/>
      <c r="BF217" s="255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55"/>
      <c r="AT218" s="255"/>
      <c r="AU218" s="255"/>
      <c r="AV218" s="255"/>
      <c r="AW218" s="255"/>
      <c r="AX218" s="255"/>
      <c r="AY218" s="255"/>
      <c r="AZ218" s="255"/>
      <c r="BA218" s="255"/>
      <c r="BB218" s="255"/>
      <c r="BC218" s="255"/>
      <c r="BD218" s="255"/>
      <c r="BE218" s="255"/>
      <c r="BF218" s="255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55"/>
      <c r="AT219" s="255"/>
      <c r="AU219" s="255"/>
      <c r="AV219" s="255"/>
      <c r="AW219" s="255"/>
      <c r="AX219" s="255"/>
      <c r="AY219" s="255"/>
      <c r="AZ219" s="255"/>
      <c r="BA219" s="255"/>
      <c r="BB219" s="255"/>
      <c r="BC219" s="255"/>
      <c r="BD219" s="255"/>
      <c r="BE219" s="255"/>
      <c r="BF219" s="255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231"/>
      <c r="AQ220" s="231"/>
      <c r="AR220" s="231"/>
      <c r="AS220" s="255"/>
      <c r="AT220" s="255"/>
      <c r="AU220" s="255"/>
      <c r="AV220" s="255"/>
      <c r="AW220" s="255"/>
      <c r="AX220" s="255"/>
      <c r="AY220" s="255"/>
      <c r="AZ220" s="255"/>
      <c r="BA220" s="255"/>
      <c r="BB220" s="255"/>
      <c r="BC220" s="255"/>
      <c r="BD220" s="255"/>
      <c r="BE220" s="255"/>
      <c r="BF220" s="255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55"/>
      <c r="AT221" s="255"/>
      <c r="AU221" s="255"/>
      <c r="AV221" s="255"/>
      <c r="AW221" s="255"/>
      <c r="AX221" s="255"/>
      <c r="AY221" s="255"/>
      <c r="AZ221" s="255"/>
      <c r="BA221" s="255"/>
      <c r="BB221" s="255"/>
      <c r="BC221" s="255"/>
      <c r="BD221" s="255"/>
      <c r="BE221" s="255"/>
      <c r="BF221" s="255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55"/>
      <c r="AT222" s="255"/>
      <c r="AU222" s="255"/>
      <c r="AV222" s="255"/>
      <c r="AW222" s="255"/>
      <c r="AX222" s="255"/>
      <c r="AY222" s="255"/>
      <c r="AZ222" s="255"/>
      <c r="BA222" s="255"/>
      <c r="BB222" s="255"/>
      <c r="BC222" s="255"/>
      <c r="BD222" s="255"/>
      <c r="BE222" s="255"/>
      <c r="BF222" s="255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55"/>
      <c r="AT223" s="255"/>
      <c r="AU223" s="255"/>
      <c r="AV223" s="255"/>
      <c r="AW223" s="255"/>
      <c r="AX223" s="255"/>
      <c r="AY223" s="255"/>
      <c r="AZ223" s="255"/>
      <c r="BA223" s="255"/>
      <c r="BB223" s="255"/>
      <c r="BC223" s="255"/>
      <c r="BD223" s="255"/>
      <c r="BE223" s="255"/>
      <c r="BF223" s="255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55"/>
      <c r="AT224" s="255"/>
      <c r="AU224" s="255"/>
      <c r="AV224" s="255"/>
      <c r="AW224" s="255"/>
      <c r="AX224" s="255"/>
      <c r="AY224" s="255"/>
      <c r="AZ224" s="255"/>
      <c r="BA224" s="255"/>
      <c r="BB224" s="255"/>
      <c r="BC224" s="255"/>
      <c r="BD224" s="255"/>
      <c r="BE224" s="255"/>
      <c r="BF224" s="255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55"/>
      <c r="AT225" s="255"/>
      <c r="AU225" s="255"/>
      <c r="AV225" s="255"/>
      <c r="AW225" s="255"/>
      <c r="AX225" s="255"/>
      <c r="AY225" s="255"/>
      <c r="AZ225" s="255"/>
      <c r="BA225" s="255"/>
      <c r="BB225" s="255"/>
      <c r="BC225" s="255"/>
      <c r="BD225" s="255"/>
      <c r="BE225" s="255"/>
      <c r="BF225" s="255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231"/>
      <c r="AQ226" s="231"/>
      <c r="AR226" s="231"/>
      <c r="AS226" s="255"/>
      <c r="AT226" s="255"/>
      <c r="AU226" s="255"/>
      <c r="AV226" s="255"/>
      <c r="AW226" s="255"/>
      <c r="AX226" s="255"/>
      <c r="AY226" s="255"/>
      <c r="AZ226" s="255"/>
      <c r="BA226" s="255"/>
      <c r="BB226" s="255"/>
      <c r="BC226" s="255"/>
      <c r="BD226" s="255"/>
      <c r="BE226" s="255"/>
      <c r="BF226" s="255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231"/>
      <c r="AQ227" s="231"/>
      <c r="AR227" s="231"/>
      <c r="AS227" s="255"/>
      <c r="AT227" s="255"/>
      <c r="AU227" s="255"/>
      <c r="AV227" s="255"/>
      <c r="AW227" s="255"/>
      <c r="AX227" s="255"/>
      <c r="AY227" s="255"/>
      <c r="AZ227" s="255"/>
      <c r="BA227" s="255"/>
      <c r="BB227" s="255"/>
      <c r="BC227" s="255"/>
      <c r="BD227" s="255"/>
      <c r="BE227" s="255"/>
      <c r="BF227" s="255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55"/>
      <c r="AT228" s="255"/>
      <c r="AU228" s="255"/>
      <c r="AV228" s="255"/>
      <c r="AW228" s="255"/>
      <c r="AX228" s="255"/>
      <c r="AY228" s="255"/>
      <c r="AZ228" s="255"/>
      <c r="BA228" s="255"/>
      <c r="BB228" s="255"/>
      <c r="BC228" s="255"/>
      <c r="BD228" s="255"/>
      <c r="BE228" s="255"/>
      <c r="BF228" s="255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55"/>
      <c r="AT229" s="255"/>
      <c r="AU229" s="255"/>
      <c r="AV229" s="255"/>
      <c r="AW229" s="255"/>
      <c r="AX229" s="255"/>
      <c r="AY229" s="255"/>
      <c r="AZ229" s="255"/>
      <c r="BA229" s="255"/>
      <c r="BB229" s="255"/>
      <c r="BC229" s="255"/>
      <c r="BD229" s="255"/>
      <c r="BE229" s="255"/>
      <c r="BF229" s="255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55"/>
      <c r="AT230" s="255"/>
      <c r="AU230" s="255"/>
      <c r="AV230" s="255"/>
      <c r="AW230" s="255"/>
      <c r="AX230" s="255"/>
      <c r="AY230" s="255"/>
      <c r="AZ230" s="255"/>
      <c r="BA230" s="255"/>
      <c r="BB230" s="255"/>
      <c r="BC230" s="255"/>
      <c r="BD230" s="255"/>
      <c r="BE230" s="255"/>
      <c r="BF230" s="255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1"/>
      <c r="AL231" s="231"/>
      <c r="AM231" s="231"/>
      <c r="AN231" s="231"/>
      <c r="AO231" s="231"/>
      <c r="AP231" s="231"/>
      <c r="AQ231" s="231"/>
      <c r="AR231" s="231"/>
      <c r="AS231" s="255"/>
      <c r="AT231" s="255"/>
      <c r="AU231" s="255"/>
      <c r="AV231" s="255"/>
      <c r="AW231" s="255"/>
      <c r="AX231" s="255"/>
      <c r="AY231" s="255"/>
      <c r="AZ231" s="255"/>
      <c r="BA231" s="255"/>
      <c r="BB231" s="255"/>
      <c r="BC231" s="255"/>
      <c r="BD231" s="255"/>
      <c r="BE231" s="255"/>
      <c r="BF231" s="255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55"/>
      <c r="AT232" s="255"/>
      <c r="AU232" s="255"/>
      <c r="AV232" s="255"/>
      <c r="AW232" s="255"/>
      <c r="AX232" s="255"/>
      <c r="AY232" s="255"/>
      <c r="AZ232" s="255"/>
      <c r="BA232" s="255"/>
      <c r="BB232" s="255"/>
      <c r="BC232" s="255"/>
      <c r="BD232" s="255"/>
      <c r="BE232" s="255"/>
      <c r="BF232" s="255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1"/>
      <c r="AL233" s="231"/>
      <c r="AM233" s="231"/>
      <c r="AN233" s="231"/>
      <c r="AO233" s="231"/>
      <c r="AP233" s="231"/>
      <c r="AQ233" s="231"/>
      <c r="AR233" s="231"/>
      <c r="AS233" s="255"/>
      <c r="AT233" s="255"/>
      <c r="AU233" s="255"/>
      <c r="AV233" s="255"/>
      <c r="AW233" s="255"/>
      <c r="AX233" s="255"/>
      <c r="AY233" s="255"/>
      <c r="AZ233" s="255"/>
      <c r="BA233" s="255"/>
      <c r="BB233" s="255"/>
      <c r="BC233" s="255"/>
      <c r="BD233" s="255"/>
      <c r="BE233" s="255"/>
      <c r="BF233" s="255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55"/>
      <c r="AT234" s="255"/>
      <c r="AU234" s="255"/>
      <c r="AV234" s="255"/>
      <c r="AW234" s="255"/>
      <c r="AX234" s="255"/>
      <c r="AY234" s="255"/>
      <c r="AZ234" s="255"/>
      <c r="BA234" s="255"/>
      <c r="BB234" s="255"/>
      <c r="BC234" s="255"/>
      <c r="BD234" s="255"/>
      <c r="BE234" s="255"/>
      <c r="BF234" s="255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1"/>
      <c r="AL235" s="231"/>
      <c r="AM235" s="231"/>
      <c r="AN235" s="231"/>
      <c r="AO235" s="231"/>
      <c r="AP235" s="231"/>
      <c r="AQ235" s="231"/>
      <c r="AR235" s="231"/>
      <c r="AS235" s="255"/>
      <c r="AT235" s="255"/>
      <c r="AU235" s="255"/>
      <c r="AV235" s="255"/>
      <c r="AW235" s="255"/>
      <c r="AX235" s="255"/>
      <c r="AY235" s="255"/>
      <c r="AZ235" s="255"/>
      <c r="BA235" s="255"/>
      <c r="BB235" s="255"/>
      <c r="BC235" s="255"/>
      <c r="BD235" s="255"/>
      <c r="BE235" s="255"/>
      <c r="BF235" s="255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55"/>
      <c r="AT236" s="255"/>
      <c r="AU236" s="255"/>
      <c r="AV236" s="255"/>
      <c r="AW236" s="255"/>
      <c r="AX236" s="255"/>
      <c r="AY236" s="255"/>
      <c r="AZ236" s="255"/>
      <c r="BA236" s="255"/>
      <c r="BB236" s="255"/>
      <c r="BC236" s="255"/>
      <c r="BD236" s="255"/>
      <c r="BE236" s="255"/>
      <c r="BF236" s="255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  <c r="AQ237" s="231"/>
      <c r="AR237" s="231"/>
      <c r="AS237" s="255"/>
      <c r="AT237" s="255"/>
      <c r="AU237" s="255"/>
      <c r="AV237" s="255"/>
      <c r="AW237" s="255"/>
      <c r="AX237" s="255"/>
      <c r="AY237" s="255"/>
      <c r="AZ237" s="255"/>
      <c r="BA237" s="255"/>
      <c r="BB237" s="255"/>
      <c r="BC237" s="255"/>
      <c r="BD237" s="255"/>
      <c r="BE237" s="255"/>
      <c r="BF237" s="255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55"/>
      <c r="AT238" s="255"/>
      <c r="AU238" s="255"/>
      <c r="AV238" s="255"/>
      <c r="AW238" s="255"/>
      <c r="AX238" s="255"/>
      <c r="AY238" s="255"/>
      <c r="AZ238" s="255"/>
      <c r="BA238" s="255"/>
      <c r="BB238" s="255"/>
      <c r="BC238" s="255"/>
      <c r="BD238" s="255"/>
      <c r="BE238" s="255"/>
      <c r="BF238" s="255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1"/>
      <c r="AL239" s="231"/>
      <c r="AM239" s="231"/>
      <c r="AN239" s="231"/>
      <c r="AO239" s="231"/>
      <c r="AP239" s="231"/>
      <c r="AQ239" s="231"/>
      <c r="AR239" s="231"/>
      <c r="AS239" s="255"/>
      <c r="AT239" s="255"/>
      <c r="AU239" s="255"/>
      <c r="AV239" s="255"/>
      <c r="AW239" s="255"/>
      <c r="AX239" s="255"/>
      <c r="AY239" s="255"/>
      <c r="AZ239" s="255"/>
      <c r="BA239" s="255"/>
      <c r="BB239" s="255"/>
      <c r="BC239" s="255"/>
      <c r="BD239" s="255"/>
      <c r="BE239" s="255"/>
      <c r="BF239" s="255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/>
      <c r="AL240" s="231"/>
      <c r="AM240" s="231"/>
      <c r="AN240" s="231"/>
      <c r="AO240" s="231"/>
      <c r="AP240" s="231"/>
      <c r="AQ240" s="231"/>
      <c r="AR240" s="231"/>
      <c r="AS240" s="255"/>
      <c r="AT240" s="255"/>
      <c r="AU240" s="255"/>
      <c r="AV240" s="255"/>
      <c r="AW240" s="255"/>
      <c r="AX240" s="255"/>
      <c r="AY240" s="255"/>
      <c r="AZ240" s="255"/>
      <c r="BA240" s="255"/>
      <c r="BB240" s="255"/>
      <c r="BC240" s="255"/>
      <c r="BD240" s="255"/>
      <c r="BE240" s="255"/>
      <c r="BF240" s="255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55"/>
      <c r="AT241" s="255"/>
      <c r="AU241" s="255"/>
      <c r="AV241" s="255"/>
      <c r="AW241" s="255"/>
      <c r="AX241" s="255"/>
      <c r="AY241" s="255"/>
      <c r="AZ241" s="255"/>
      <c r="BA241" s="255"/>
      <c r="BB241" s="255"/>
      <c r="BC241" s="255"/>
      <c r="BD241" s="255"/>
      <c r="BE241" s="255"/>
      <c r="BF241" s="255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  <c r="AG242" s="231"/>
      <c r="AH242" s="231"/>
      <c r="AI242" s="231"/>
      <c r="AJ242" s="231"/>
      <c r="AK242" s="231"/>
      <c r="AL242" s="231"/>
      <c r="AM242" s="231"/>
      <c r="AN242" s="231"/>
      <c r="AO242" s="231"/>
      <c r="AP242" s="231"/>
      <c r="AQ242" s="231"/>
      <c r="AR242" s="231"/>
      <c r="AS242" s="255"/>
      <c r="AT242" s="255"/>
      <c r="AU242" s="255"/>
      <c r="AV242" s="255"/>
      <c r="AW242" s="255"/>
      <c r="AX242" s="255"/>
      <c r="AY242" s="255"/>
      <c r="AZ242" s="255"/>
      <c r="BA242" s="255"/>
      <c r="BB242" s="255"/>
      <c r="BC242" s="255"/>
      <c r="BD242" s="255"/>
      <c r="BE242" s="255"/>
      <c r="BF242" s="255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55"/>
      <c r="AT243" s="255"/>
      <c r="AU243" s="255"/>
      <c r="AV243" s="255"/>
      <c r="AW243" s="255"/>
      <c r="AX243" s="255"/>
      <c r="AY243" s="255"/>
      <c r="AZ243" s="255"/>
      <c r="BA243" s="255"/>
      <c r="BB243" s="255"/>
      <c r="BC243" s="255"/>
      <c r="BD243" s="255"/>
      <c r="BE243" s="255"/>
      <c r="BF243" s="255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  <c r="AG244" s="231"/>
      <c r="AH244" s="231"/>
      <c r="AI244" s="231"/>
      <c r="AJ244" s="231"/>
      <c r="AK244" s="231"/>
      <c r="AL244" s="231"/>
      <c r="AM244" s="231"/>
      <c r="AN244" s="231"/>
      <c r="AO244" s="231"/>
      <c r="AP244" s="231"/>
      <c r="AQ244" s="231"/>
      <c r="AR244" s="231"/>
      <c r="AS244" s="255"/>
      <c r="AT244" s="255"/>
      <c r="AU244" s="255"/>
      <c r="AV244" s="255"/>
      <c r="AW244" s="255"/>
      <c r="AX244" s="255"/>
      <c r="AY244" s="255"/>
      <c r="AZ244" s="255"/>
      <c r="BA244" s="255"/>
      <c r="BB244" s="255"/>
      <c r="BC244" s="255"/>
      <c r="BD244" s="255"/>
      <c r="BE244" s="255"/>
      <c r="BF244" s="255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  <c r="AG245" s="231"/>
      <c r="AH245" s="231"/>
      <c r="AI245" s="231"/>
      <c r="AJ245" s="231"/>
      <c r="AK245" s="231"/>
      <c r="AL245" s="231"/>
      <c r="AM245" s="231"/>
      <c r="AN245" s="231"/>
      <c r="AO245" s="231"/>
      <c r="AP245" s="231"/>
      <c r="AQ245" s="231"/>
      <c r="AR245" s="231"/>
      <c r="AS245" s="255"/>
      <c r="AT245" s="255"/>
      <c r="AU245" s="255"/>
      <c r="AV245" s="255"/>
      <c r="AW245" s="255"/>
      <c r="AX245" s="255"/>
      <c r="AY245" s="255"/>
      <c r="AZ245" s="255"/>
      <c r="BA245" s="255"/>
      <c r="BB245" s="255"/>
      <c r="BC245" s="255"/>
      <c r="BD245" s="255"/>
      <c r="BE245" s="255"/>
      <c r="BF245" s="255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/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55"/>
      <c r="AT246" s="255"/>
      <c r="AU246" s="255"/>
      <c r="AV246" s="255"/>
      <c r="AW246" s="255"/>
      <c r="AX246" s="255"/>
      <c r="AY246" s="255"/>
      <c r="AZ246" s="255"/>
      <c r="BA246" s="255"/>
      <c r="BB246" s="255"/>
      <c r="BC246" s="255"/>
      <c r="BD246" s="255"/>
      <c r="BE246" s="255"/>
      <c r="BF246" s="255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  <c r="AG247" s="231"/>
      <c r="AH247" s="231"/>
      <c r="AI247" s="231"/>
      <c r="AJ247" s="231"/>
      <c r="AK247" s="231"/>
      <c r="AL247" s="231"/>
      <c r="AM247" s="231"/>
      <c r="AN247" s="231"/>
      <c r="AO247" s="231"/>
      <c r="AP247" s="231"/>
      <c r="AQ247" s="231"/>
      <c r="AR247" s="231"/>
      <c r="AS247" s="255"/>
      <c r="AT247" s="255"/>
      <c r="AU247" s="255"/>
      <c r="AV247" s="255"/>
      <c r="AW247" s="255"/>
      <c r="AX247" s="255"/>
      <c r="AY247" s="255"/>
      <c r="AZ247" s="255"/>
      <c r="BA247" s="255"/>
      <c r="BB247" s="255"/>
      <c r="BC247" s="255"/>
      <c r="BD247" s="255"/>
      <c r="BE247" s="255"/>
      <c r="BF247" s="255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  <c r="AJ248" s="231"/>
      <c r="AK248" s="231"/>
      <c r="AL248" s="231"/>
      <c r="AM248" s="231"/>
      <c r="AN248" s="231"/>
      <c r="AO248" s="231"/>
      <c r="AP248" s="231"/>
      <c r="AQ248" s="231"/>
      <c r="AR248" s="231"/>
      <c r="AS248" s="255"/>
      <c r="AT248" s="255"/>
      <c r="AU248" s="255"/>
      <c r="AV248" s="255"/>
      <c r="AW248" s="255"/>
      <c r="AX248" s="255"/>
      <c r="AY248" s="255"/>
      <c r="AZ248" s="255"/>
      <c r="BA248" s="255"/>
      <c r="BB248" s="255"/>
      <c r="BC248" s="255"/>
      <c r="BD248" s="255"/>
      <c r="BE248" s="255"/>
      <c r="BF248" s="255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  <c r="AQ249" s="231"/>
      <c r="AR249" s="231"/>
      <c r="AS249" s="255"/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  <c r="AJ250" s="231"/>
      <c r="AK250" s="231"/>
      <c r="AL250" s="231"/>
      <c r="AM250" s="231"/>
      <c r="AN250" s="231"/>
      <c r="AO250" s="231"/>
      <c r="AP250" s="231"/>
      <c r="AQ250" s="231"/>
      <c r="AR250" s="231"/>
      <c r="AS250" s="255"/>
      <c r="AT250" s="255"/>
      <c r="AU250" s="255"/>
      <c r="AV250" s="255"/>
      <c r="AW250" s="255"/>
      <c r="AX250" s="255"/>
      <c r="AY250" s="255"/>
      <c r="AZ250" s="255"/>
      <c r="BA250" s="255"/>
      <c r="BB250" s="255"/>
      <c r="BC250" s="255"/>
      <c r="BD250" s="255"/>
      <c r="BE250" s="255"/>
      <c r="BF250" s="255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231"/>
      <c r="AM251" s="231"/>
      <c r="AN251" s="231"/>
      <c r="AO251" s="231"/>
      <c r="AP251" s="231"/>
      <c r="AQ251" s="231"/>
      <c r="AR251" s="231"/>
      <c r="AS251" s="255"/>
      <c r="AT251" s="255"/>
      <c r="AU251" s="255"/>
      <c r="AV251" s="255"/>
      <c r="AW251" s="255"/>
      <c r="AX251" s="255"/>
      <c r="AY251" s="255"/>
      <c r="AZ251" s="255"/>
      <c r="BA251" s="255"/>
      <c r="BB251" s="255"/>
      <c r="BC251" s="255"/>
      <c r="BD251" s="255"/>
      <c r="BE251" s="255"/>
      <c r="BF251" s="255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31"/>
      <c r="AL252" s="231"/>
      <c r="AM252" s="231"/>
      <c r="AN252" s="231"/>
      <c r="AO252" s="231"/>
      <c r="AP252" s="231"/>
      <c r="AQ252" s="231"/>
      <c r="AR252" s="231"/>
      <c r="AS252" s="255"/>
      <c r="AT252" s="255"/>
      <c r="AU252" s="255"/>
      <c r="AV252" s="255"/>
      <c r="AW252" s="255"/>
      <c r="AX252" s="255"/>
      <c r="AY252" s="255"/>
      <c r="AZ252" s="255"/>
      <c r="BA252" s="255"/>
      <c r="BB252" s="255"/>
      <c r="BC252" s="255"/>
      <c r="BD252" s="255"/>
      <c r="BE252" s="255"/>
      <c r="BF252" s="255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31"/>
      <c r="AL253" s="231"/>
      <c r="AM253" s="231"/>
      <c r="AN253" s="231"/>
      <c r="AO253" s="231"/>
      <c r="AP253" s="231"/>
      <c r="AQ253" s="231"/>
      <c r="AR253" s="231"/>
      <c r="AS253" s="255"/>
      <c r="AT253" s="255"/>
      <c r="AU253" s="255"/>
      <c r="AV253" s="255"/>
      <c r="AW253" s="255"/>
      <c r="AX253" s="255"/>
      <c r="AY253" s="255"/>
      <c r="AZ253" s="255"/>
      <c r="BA253" s="255"/>
      <c r="BB253" s="255"/>
      <c r="BC253" s="255"/>
      <c r="BD253" s="255"/>
      <c r="BE253" s="255"/>
      <c r="BF253" s="255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31"/>
      <c r="AL254" s="231"/>
      <c r="AM254" s="231"/>
      <c r="AN254" s="231"/>
      <c r="AO254" s="231"/>
      <c r="AP254" s="231"/>
      <c r="AQ254" s="231"/>
      <c r="AR254" s="231"/>
      <c r="AS254" s="255"/>
      <c r="AT254" s="255"/>
      <c r="AU254" s="255"/>
      <c r="AV254" s="255"/>
      <c r="AW254" s="255"/>
      <c r="AX254" s="255"/>
      <c r="AY254" s="255"/>
      <c r="AZ254" s="255"/>
      <c r="BA254" s="255"/>
      <c r="BB254" s="255"/>
      <c r="BC254" s="255"/>
      <c r="BD254" s="255"/>
      <c r="BE254" s="255"/>
      <c r="BF254" s="255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31"/>
      <c r="AL255" s="231"/>
      <c r="AM255" s="231"/>
      <c r="AN255" s="231"/>
      <c r="AO255" s="231"/>
      <c r="AP255" s="231"/>
      <c r="AQ255" s="231"/>
      <c r="AR255" s="231"/>
      <c r="AS255" s="255"/>
      <c r="AT255" s="255"/>
      <c r="AU255" s="255"/>
      <c r="AV255" s="255"/>
      <c r="AW255" s="255"/>
      <c r="AX255" s="255"/>
      <c r="AY255" s="255"/>
      <c r="AZ255" s="255"/>
      <c r="BA255" s="255"/>
      <c r="BB255" s="255"/>
      <c r="BC255" s="255"/>
      <c r="BD255" s="255"/>
      <c r="BE255" s="255"/>
      <c r="BF255" s="255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31"/>
      <c r="AL256" s="231"/>
      <c r="AM256" s="231"/>
      <c r="AN256" s="231"/>
      <c r="AO256" s="231"/>
      <c r="AP256" s="231"/>
      <c r="AQ256" s="231"/>
      <c r="AR256" s="231"/>
      <c r="AS256" s="255"/>
      <c r="AT256" s="255"/>
      <c r="AU256" s="255"/>
      <c r="AV256" s="255"/>
      <c r="AW256" s="255"/>
      <c r="AX256" s="255"/>
      <c r="AY256" s="255"/>
      <c r="AZ256" s="255"/>
      <c r="BA256" s="255"/>
      <c r="BB256" s="255"/>
      <c r="BC256" s="255"/>
      <c r="BD256" s="255"/>
      <c r="BE256" s="255"/>
      <c r="BF256" s="255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31"/>
      <c r="AL257" s="231"/>
      <c r="AM257" s="231"/>
      <c r="AN257" s="231"/>
      <c r="AO257" s="231"/>
      <c r="AP257" s="231"/>
      <c r="AQ257" s="231"/>
      <c r="AR257" s="231"/>
      <c r="AS257" s="255"/>
      <c r="AT257" s="255"/>
      <c r="AU257" s="255"/>
      <c r="AV257" s="255"/>
      <c r="AW257" s="255"/>
      <c r="AX257" s="255"/>
      <c r="AY257" s="255"/>
      <c r="AZ257" s="255"/>
      <c r="BA257" s="255"/>
      <c r="BB257" s="255"/>
      <c r="BC257" s="255"/>
      <c r="BD257" s="255"/>
      <c r="BE257" s="255"/>
      <c r="BF257" s="255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55"/>
      <c r="AT258" s="255"/>
      <c r="AU258" s="255"/>
      <c r="AV258" s="255"/>
      <c r="AW258" s="255"/>
      <c r="AX258" s="255"/>
      <c r="AY258" s="255"/>
      <c r="AZ258" s="255"/>
      <c r="BA258" s="255"/>
      <c r="BB258" s="255"/>
      <c r="BC258" s="255"/>
      <c r="BD258" s="255"/>
      <c r="BE258" s="255"/>
      <c r="BF258" s="255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  <c r="AJ259" s="231"/>
      <c r="AK259" s="231"/>
      <c r="AL259" s="231"/>
      <c r="AM259" s="231"/>
      <c r="AN259" s="231"/>
      <c r="AO259" s="231"/>
      <c r="AP259" s="231"/>
      <c r="AQ259" s="231"/>
      <c r="AR259" s="231"/>
      <c r="AS259" s="255"/>
      <c r="AT259" s="255"/>
      <c r="AU259" s="255"/>
      <c r="AV259" s="255"/>
      <c r="AW259" s="255"/>
      <c r="AX259" s="255"/>
      <c r="AY259" s="255"/>
      <c r="AZ259" s="255"/>
      <c r="BA259" s="255"/>
      <c r="BB259" s="255"/>
      <c r="BC259" s="255"/>
      <c r="BD259" s="255"/>
      <c r="BE259" s="255"/>
      <c r="BF259" s="255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31"/>
      <c r="AL260" s="231"/>
      <c r="AM260" s="231"/>
      <c r="AN260" s="231"/>
      <c r="AO260" s="231"/>
      <c r="AP260" s="231"/>
      <c r="AQ260" s="231"/>
      <c r="AR260" s="231"/>
      <c r="AS260" s="255"/>
      <c r="AT260" s="255"/>
      <c r="AU260" s="255"/>
      <c r="AV260" s="255"/>
      <c r="AW260" s="255"/>
      <c r="AX260" s="255"/>
      <c r="AY260" s="255"/>
      <c r="AZ260" s="255"/>
      <c r="BA260" s="255"/>
      <c r="BB260" s="255"/>
      <c r="BC260" s="255"/>
      <c r="BD260" s="255"/>
      <c r="BE260" s="255"/>
      <c r="BF260" s="255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31"/>
      <c r="AL261" s="231"/>
      <c r="AM261" s="231"/>
      <c r="AN261" s="231"/>
      <c r="AO261" s="231"/>
      <c r="AP261" s="231"/>
      <c r="AQ261" s="231"/>
      <c r="AR261" s="231"/>
      <c r="AS261" s="255"/>
      <c r="AT261" s="255"/>
      <c r="AU261" s="255"/>
      <c r="AV261" s="255"/>
      <c r="AW261" s="255"/>
      <c r="AX261" s="255"/>
      <c r="AY261" s="255"/>
      <c r="AZ261" s="255"/>
      <c r="BA261" s="255"/>
      <c r="BB261" s="255"/>
      <c r="BC261" s="255"/>
      <c r="BD261" s="255"/>
      <c r="BE261" s="255"/>
      <c r="BF261" s="255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31"/>
      <c r="AL262" s="231"/>
      <c r="AM262" s="231"/>
      <c r="AN262" s="231"/>
      <c r="AO262" s="231"/>
      <c r="AP262" s="231"/>
      <c r="AQ262" s="231"/>
      <c r="AR262" s="231"/>
      <c r="AS262" s="255"/>
      <c r="AT262" s="255"/>
      <c r="AU262" s="255"/>
      <c r="AV262" s="255"/>
      <c r="AW262" s="255"/>
      <c r="AX262" s="255"/>
      <c r="AY262" s="255"/>
      <c r="AZ262" s="255"/>
      <c r="BA262" s="255"/>
      <c r="BB262" s="255"/>
      <c r="BC262" s="255"/>
      <c r="BD262" s="255"/>
      <c r="BE262" s="255"/>
      <c r="BF262" s="255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31"/>
      <c r="AL263" s="231"/>
      <c r="AM263" s="231"/>
      <c r="AN263" s="231"/>
      <c r="AO263" s="231"/>
      <c r="AP263" s="231"/>
      <c r="AQ263" s="231"/>
      <c r="AR263" s="231"/>
      <c r="AS263" s="255"/>
      <c r="AT263" s="255"/>
      <c r="AU263" s="255"/>
      <c r="AV263" s="255"/>
      <c r="AW263" s="255"/>
      <c r="AX263" s="255"/>
      <c r="AY263" s="255"/>
      <c r="AZ263" s="255"/>
      <c r="BA263" s="255"/>
      <c r="BB263" s="255"/>
      <c r="BC263" s="255"/>
      <c r="BD263" s="255"/>
      <c r="BE263" s="255"/>
      <c r="BF263" s="255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31"/>
      <c r="AL264" s="231"/>
      <c r="AM264" s="231"/>
      <c r="AN264" s="231"/>
      <c r="AO264" s="231"/>
      <c r="AP264" s="231"/>
      <c r="AQ264" s="231"/>
      <c r="AR264" s="231"/>
      <c r="AS264" s="255"/>
      <c r="AT264" s="255"/>
      <c r="AU264" s="255"/>
      <c r="AV264" s="255"/>
      <c r="AW264" s="255"/>
      <c r="AX264" s="255"/>
      <c r="AY264" s="255"/>
      <c r="AZ264" s="255"/>
      <c r="BA264" s="255"/>
      <c r="BB264" s="255"/>
      <c r="BC264" s="255"/>
      <c r="BD264" s="255"/>
      <c r="BE264" s="255"/>
      <c r="BF264" s="255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  <c r="AQ265" s="231"/>
      <c r="AR265" s="231"/>
      <c r="AS265" s="255"/>
      <c r="AT265" s="255"/>
      <c r="AU265" s="255"/>
      <c r="AV265" s="255"/>
      <c r="AW265" s="255"/>
      <c r="AX265" s="255"/>
      <c r="AY265" s="255"/>
      <c r="AZ265" s="255"/>
      <c r="BA265" s="255"/>
      <c r="BB265" s="255"/>
      <c r="BC265" s="255"/>
      <c r="BD265" s="255"/>
      <c r="BE265" s="255"/>
      <c r="BF265" s="255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  <c r="AQ266" s="231"/>
      <c r="AR266" s="231"/>
      <c r="AS266" s="255"/>
      <c r="AT266" s="255"/>
      <c r="AU266" s="255"/>
      <c r="AV266" s="255"/>
      <c r="AW266" s="255"/>
      <c r="AX266" s="255"/>
      <c r="AY266" s="255"/>
      <c r="AZ266" s="255"/>
      <c r="BA266" s="255"/>
      <c r="BB266" s="255"/>
      <c r="BC266" s="255"/>
      <c r="BD266" s="255"/>
      <c r="BE266" s="255"/>
      <c r="BF266" s="255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255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  <c r="AJ267" s="231"/>
      <c r="AK267" s="231"/>
      <c r="AL267" s="231"/>
      <c r="AM267" s="231"/>
      <c r="AN267" s="231"/>
      <c r="AO267" s="231"/>
      <c r="AP267" s="231"/>
      <c r="AQ267" s="231"/>
      <c r="AR267" s="231"/>
      <c r="AS267" s="255"/>
      <c r="AT267" s="255"/>
      <c r="AU267" s="255"/>
      <c r="AV267" s="255"/>
      <c r="AW267" s="255"/>
      <c r="AX267" s="255"/>
      <c r="AY267" s="255"/>
      <c r="AZ267" s="255"/>
      <c r="BA267" s="255"/>
      <c r="BB267" s="255"/>
      <c r="BC267" s="255"/>
      <c r="BD267" s="255"/>
      <c r="BE267" s="255"/>
      <c r="BF267" s="255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255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31"/>
      <c r="AL268" s="231"/>
      <c r="AM268" s="231"/>
      <c r="AN268" s="231"/>
      <c r="AO268" s="231"/>
      <c r="AP268" s="231"/>
      <c r="AQ268" s="231"/>
      <c r="AR268" s="231"/>
      <c r="AS268" s="255"/>
      <c r="AT268" s="255"/>
      <c r="AU268" s="255"/>
      <c r="AV268" s="255"/>
      <c r="AW268" s="255"/>
      <c r="AX268" s="255"/>
      <c r="AY268" s="255"/>
      <c r="AZ268" s="255"/>
      <c r="BA268" s="255"/>
      <c r="BB268" s="255"/>
      <c r="BC268" s="255"/>
      <c r="BD268" s="255"/>
      <c r="BE268" s="255"/>
      <c r="BF268" s="255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255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31"/>
      <c r="AL269" s="231"/>
      <c r="AM269" s="231"/>
      <c r="AN269" s="231"/>
      <c r="AO269" s="231"/>
      <c r="AP269" s="231"/>
      <c r="AQ269" s="231"/>
      <c r="AR269" s="231"/>
      <c r="AS269" s="255"/>
      <c r="AT269" s="255"/>
      <c r="AU269" s="255"/>
      <c r="AV269" s="255"/>
      <c r="AW269" s="255"/>
      <c r="AX269" s="255"/>
      <c r="AY269" s="255"/>
      <c r="AZ269" s="255"/>
      <c r="BA269" s="255"/>
      <c r="BB269" s="255"/>
      <c r="BC269" s="255"/>
      <c r="BD269" s="255"/>
      <c r="BE269" s="255"/>
      <c r="BF269" s="255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255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31"/>
      <c r="AL270" s="231"/>
      <c r="AM270" s="231"/>
      <c r="AN270" s="231"/>
      <c r="AO270" s="231"/>
      <c r="AP270" s="231"/>
      <c r="AQ270" s="231"/>
      <c r="AR270" s="231"/>
      <c r="AS270" s="255"/>
      <c r="AT270" s="255"/>
      <c r="AU270" s="255"/>
      <c r="AV270" s="255"/>
      <c r="AW270" s="255"/>
      <c r="AX270" s="255"/>
      <c r="AY270" s="255"/>
      <c r="AZ270" s="255"/>
      <c r="BA270" s="255"/>
      <c r="BB270" s="255"/>
      <c r="BC270" s="255"/>
      <c r="BD270" s="255"/>
      <c r="BE270" s="255"/>
      <c r="BF270" s="255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255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31"/>
      <c r="AL271" s="231"/>
      <c r="AM271" s="231"/>
      <c r="AN271" s="231"/>
      <c r="AO271" s="231"/>
      <c r="AP271" s="231"/>
      <c r="AQ271" s="231"/>
      <c r="AR271" s="231"/>
      <c r="AS271" s="255"/>
      <c r="AT271" s="255"/>
      <c r="AU271" s="255"/>
      <c r="AV271" s="255"/>
      <c r="AW271" s="255"/>
      <c r="AX271" s="255"/>
      <c r="AY271" s="255"/>
      <c r="AZ271" s="255"/>
      <c r="BA271" s="255"/>
      <c r="BB271" s="255"/>
      <c r="BC271" s="255"/>
      <c r="BD271" s="255"/>
      <c r="BE271" s="255"/>
      <c r="BF271" s="255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255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31"/>
      <c r="AL272" s="231"/>
      <c r="AM272" s="231"/>
      <c r="AN272" s="231"/>
      <c r="AO272" s="231"/>
      <c r="AP272" s="231"/>
      <c r="AQ272" s="231"/>
      <c r="AR272" s="231"/>
      <c r="AS272" s="255"/>
      <c r="AT272" s="255"/>
      <c r="AU272" s="255"/>
      <c r="AV272" s="255"/>
      <c r="AW272" s="255"/>
      <c r="AX272" s="255"/>
      <c r="AY272" s="255"/>
      <c r="AZ272" s="255"/>
      <c r="BA272" s="255"/>
      <c r="BB272" s="255"/>
      <c r="BC272" s="255"/>
      <c r="BD272" s="255"/>
      <c r="BE272" s="255"/>
      <c r="BF272" s="255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31"/>
      <c r="AL273" s="231"/>
      <c r="AM273" s="231"/>
      <c r="AN273" s="231"/>
      <c r="AO273" s="231"/>
      <c r="AP273" s="231"/>
      <c r="AQ273" s="231"/>
      <c r="AR273" s="231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  <c r="AJ274" s="231"/>
      <c r="AK274" s="231"/>
      <c r="AL274" s="231"/>
      <c r="AM274" s="231"/>
      <c r="AN274" s="231"/>
      <c r="AO274" s="231"/>
      <c r="AP274" s="231"/>
      <c r="AQ274" s="231"/>
      <c r="AR274" s="231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31"/>
      <c r="AL276" s="231"/>
      <c r="AM276" s="231"/>
      <c r="AN276" s="231"/>
      <c r="AO276" s="231"/>
      <c r="AP276" s="231"/>
      <c r="AQ276" s="231"/>
      <c r="AR276" s="231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31"/>
      <c r="AL277" s="231"/>
      <c r="AM277" s="231"/>
      <c r="AN277" s="231"/>
      <c r="AO277" s="231"/>
      <c r="AP277" s="231"/>
      <c r="AQ277" s="231"/>
      <c r="AR277" s="231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31"/>
      <c r="AL278" s="231"/>
      <c r="AM278" s="231"/>
      <c r="AN278" s="231"/>
      <c r="AO278" s="231"/>
      <c r="AP278" s="231"/>
      <c r="AQ278" s="231"/>
      <c r="AR278" s="231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31"/>
      <c r="AL280" s="231"/>
      <c r="AM280" s="231"/>
      <c r="AN280" s="231"/>
      <c r="AO280" s="231"/>
      <c r="AP280" s="231"/>
      <c r="AQ280" s="231"/>
      <c r="AR280" s="231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31"/>
      <c r="AL282" s="231"/>
      <c r="AM282" s="231"/>
      <c r="AN282" s="231"/>
      <c r="AO282" s="231"/>
      <c r="AP282" s="231"/>
      <c r="AQ282" s="231"/>
      <c r="AR282" s="231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31"/>
      <c r="AL283" s="231"/>
      <c r="AM283" s="231"/>
      <c r="AN283" s="231"/>
      <c r="AO283" s="231"/>
      <c r="AP283" s="231"/>
      <c r="AQ283" s="231"/>
      <c r="AR283" s="231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31"/>
      <c r="AL284" s="231"/>
      <c r="AM284" s="231"/>
      <c r="AN284" s="231"/>
      <c r="AO284" s="231"/>
      <c r="AP284" s="231"/>
      <c r="AQ284" s="231"/>
      <c r="AR284" s="231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31"/>
      <c r="AL285" s="231"/>
      <c r="AM285" s="231"/>
      <c r="AN285" s="231"/>
      <c r="AO285" s="231"/>
      <c r="AP285" s="231"/>
      <c r="AQ285" s="231"/>
      <c r="AR285" s="231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31"/>
      <c r="AL286" s="231"/>
      <c r="AM286" s="231"/>
      <c r="AN286" s="231"/>
      <c r="AO286" s="231"/>
      <c r="AP286" s="231"/>
      <c r="AQ286" s="231"/>
      <c r="AR286" s="231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31"/>
      <c r="AL287" s="231"/>
      <c r="AM287" s="231"/>
      <c r="AN287" s="231"/>
      <c r="AO287" s="231"/>
      <c r="AP287" s="231"/>
      <c r="AQ287" s="231"/>
      <c r="AR287" s="231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31"/>
      <c r="AL289" s="231"/>
      <c r="AM289" s="231"/>
      <c r="AN289" s="231"/>
      <c r="AO289" s="231"/>
      <c r="AP289" s="231"/>
      <c r="AQ289" s="231"/>
      <c r="AR289" s="231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31"/>
      <c r="AL290" s="231"/>
      <c r="AM290" s="231"/>
      <c r="AN290" s="231"/>
      <c r="AO290" s="231"/>
      <c r="AP290" s="231"/>
      <c r="AQ290" s="231"/>
      <c r="AR290" s="231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31"/>
      <c r="AL291" s="231"/>
      <c r="AM291" s="231"/>
      <c r="AN291" s="231"/>
      <c r="AO291" s="231"/>
      <c r="AP291" s="231"/>
      <c r="AQ291" s="231"/>
      <c r="AR291" s="231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  <c r="AG292" s="231"/>
      <c r="AH292" s="231"/>
      <c r="AI292" s="231"/>
      <c r="AJ292" s="231"/>
      <c r="AK292" s="231"/>
      <c r="AL292" s="231"/>
      <c r="AM292" s="231"/>
      <c r="AN292" s="231"/>
      <c r="AO292" s="231"/>
      <c r="AP292" s="231"/>
      <c r="AQ292" s="231"/>
      <c r="AR292" s="231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31"/>
      <c r="AL293" s="231"/>
      <c r="AM293" s="231"/>
      <c r="AN293" s="231"/>
      <c r="AO293" s="231"/>
      <c r="AP293" s="231"/>
      <c r="AQ293" s="231"/>
      <c r="AR293" s="231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31"/>
      <c r="AL294" s="231"/>
      <c r="AM294" s="231"/>
      <c r="AN294" s="231"/>
      <c r="AO294" s="231"/>
      <c r="AP294" s="231"/>
      <c r="AQ294" s="231"/>
      <c r="AR294" s="231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31"/>
      <c r="AL296" s="231"/>
      <c r="AM296" s="231"/>
      <c r="AN296" s="231"/>
      <c r="AO296" s="231"/>
      <c r="AP296" s="231"/>
      <c r="AQ296" s="231"/>
      <c r="AR296" s="231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31"/>
      <c r="AL297" s="231"/>
      <c r="AM297" s="231"/>
      <c r="AN297" s="231"/>
      <c r="AO297" s="231"/>
      <c r="AP297" s="231"/>
      <c r="AQ297" s="231"/>
      <c r="AR297" s="231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31"/>
      <c r="AL298" s="231"/>
      <c r="AM298" s="231"/>
      <c r="AN298" s="231"/>
      <c r="AO298" s="231"/>
      <c r="AP298" s="231"/>
      <c r="AQ298" s="231"/>
      <c r="AR298" s="231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31"/>
      <c r="AL299" s="231"/>
      <c r="AM299" s="231"/>
      <c r="AN299" s="231"/>
      <c r="AO299" s="231"/>
      <c r="AP299" s="231"/>
      <c r="AQ299" s="231"/>
      <c r="AR299" s="231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  <c r="AG300" s="231"/>
      <c r="AH300" s="231"/>
      <c r="AI300" s="231"/>
      <c r="AJ300" s="231"/>
      <c r="AK300" s="231"/>
      <c r="AL300" s="231"/>
      <c r="AM300" s="231"/>
      <c r="AN300" s="231"/>
      <c r="AO300" s="231"/>
      <c r="AP300" s="231"/>
      <c r="AQ300" s="231"/>
      <c r="AR300" s="231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/CZLCA28VaFXHBHLWjsJTdgU63UeLzym6xRxBXqpx/2K5wwRQOI46uTenb/OU08/Fn7XrbqcbzbiglR11ZUnZw==" saltValue="h6pO+N22N53Z2K7b6kV0UQ==" spinCount="100000" sheet="1" objects="1" scenarios="1"/>
  <mergeCells count="130"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</mergeCells>
  <phoneticPr fontId="35" type="noConversion"/>
  <dataValidations xWindow="936" yWindow="445" count="15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list" allowBlank="1" showInputMessage="1" prompt=" - " sqref="AA29:AA48 AC29:AC47" xr:uid="{00000000-0002-0000-0000-000002000000}">
      <formula1>$AA$55:$AA$70</formula1>
    </dataValidation>
    <dataValidation type="list" allowBlank="1" showInputMessage="1" prompt=" - " sqref="AC48" xr:uid="{00000000-0002-0000-0000-000003000000}">
      <formula1>$AN$55:$AN$70</formula1>
    </dataValidation>
    <dataValidation type="decimal" allowBlank="1" showInputMessage="1" prompt=" - " sqref="T29:U48" xr:uid="{00000000-0002-0000-0000-000004000000}">
      <formula1>1</formula1>
      <formula2>200</formula2>
    </dataValidation>
    <dataValidation type="decimal" operator="greaterThan" allowBlank="1" showInputMessage="1" prompt=" - " sqref="D7" xr:uid="{00000000-0002-0000-0000-000005000000}">
      <formula1>0</formula1>
    </dataValidation>
    <dataValidation type="decimal" allowBlank="1" showInputMessage="1" prompt=" - " sqref="V29:W48" xr:uid="{00000000-0002-0000-0000-000006000000}">
      <formula1>0</formula1>
      <formula2>180</formula2>
    </dataValidation>
    <dataValidation type="list" allowBlank="1" showInputMessage="1" prompt=" - " sqref="F29:F48" xr:uid="{00000000-0002-0000-0000-000007000000}">
      <formula1>$C$56:$C$89</formula1>
    </dataValidation>
    <dataValidation type="list" allowBlank="1" showInputMessage="1" prompt=" - " sqref="N29:N35 N37:N48" xr:uid="{00000000-0002-0000-0000-000008000000}">
      <formula1>$R$55:$R$67</formula1>
    </dataValidation>
    <dataValidation type="list" allowBlank="1" showInputMessage="1" prompt=" - " sqref="R5" xr:uid="{00000000-0002-0000-0000-000009000000}">
      <formula1>$F$93:$F$96</formula1>
    </dataValidation>
    <dataValidation type="decimal" allowBlank="1" showInputMessage="1" prompt=" - " sqref="I29:I48" xr:uid="{00000000-0002-0000-0000-00000A000000}">
      <formula1>1</formula1>
      <formula2>100</formula2>
    </dataValidation>
    <dataValidation type="date" operator="greaterThanOrEqual" allowBlank="1" showInputMessage="1" prompt=" - " sqref="K6" xr:uid="{00000000-0002-0000-0000-00000B000000}">
      <formula1>K5</formula1>
    </dataValidation>
    <dataValidation type="decimal" allowBlank="1" showInputMessage="1" prompt=" - " sqref="R29:S48 Q29:Q49" xr:uid="{00000000-0002-0000-0000-00000C000000}">
      <formula1>0</formula1>
      <formula2>215</formula2>
    </dataValidation>
    <dataValidation type="list" allowBlank="1" showInputMessage="1" showErrorMessage="1" prompt=" - " sqref="K7" xr:uid="{00000000-0002-0000-0000-00000D000000}">
      <formula1>$AB$74:$AB$94</formula1>
    </dataValidation>
    <dataValidation type="list" allowBlank="1" showInputMessage="1" prompt=" - " sqref="N36:P36" xr:uid="{00000000-0002-0000-0000-00000E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5703125" customWidth="1"/>
    <col min="12" max="12" width="5.5703125" customWidth="1"/>
    <col min="13" max="13" width="6.42578125" customWidth="1"/>
    <col min="14" max="14" width="6.5703125" customWidth="1"/>
    <col min="15" max="15" width="6.42578125" customWidth="1"/>
    <col min="16" max="16" width="5.85546875" customWidth="1"/>
    <col min="17" max="17" width="11.5703125" customWidth="1"/>
    <col min="18" max="18" width="5.5703125" customWidth="1"/>
    <col min="19" max="19" width="9.42578125" customWidth="1"/>
    <col min="20" max="20" width="10.5703125" bestFit="1" customWidth="1"/>
    <col min="21" max="23" width="5.570312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x14ac:dyDescent="0.2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36" t="s">
        <v>213</v>
      </c>
      <c r="AI2" s="736"/>
      <c r="AJ2" s="5"/>
      <c r="AK2" s="5"/>
      <c r="AL2" s="5"/>
      <c r="AM2" s="5"/>
      <c r="AN2" s="5"/>
    </row>
    <row r="3" spans="3:40" ht="12.75" customHeight="1" x14ac:dyDescent="0.2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36" t="s">
        <v>190</v>
      </c>
      <c r="AF3" s="736"/>
      <c r="AG3" s="736"/>
      <c r="AH3" s="736"/>
      <c r="AI3" s="736"/>
      <c r="AJ3" s="5"/>
      <c r="AK3" s="5"/>
      <c r="AL3" s="5"/>
      <c r="AM3" s="5"/>
      <c r="AN3" s="5"/>
    </row>
    <row r="4" spans="3:40" ht="12.75" customHeight="1" thickBot="1" x14ac:dyDescent="0.25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">
      <c r="C5" s="706" t="s">
        <v>4</v>
      </c>
      <c r="D5" s="707"/>
      <c r="E5" s="707"/>
      <c r="F5" s="708"/>
      <c r="G5" s="129" t="str">
        <f>+'Diseño 1"'!D5</f>
        <v xml:space="preserve">ACHS PISO C </v>
      </c>
      <c r="H5" s="130"/>
      <c r="I5" s="130"/>
      <c r="J5" s="130"/>
      <c r="K5" s="130"/>
      <c r="L5" s="130"/>
      <c r="M5" s="130"/>
      <c r="N5" s="130"/>
      <c r="O5" s="130"/>
      <c r="P5" s="131"/>
      <c r="Q5" s="709" t="s">
        <v>5</v>
      </c>
      <c r="R5" s="709"/>
      <c r="S5" s="710"/>
      <c r="T5" s="719">
        <f>+'Diseño 1"'!K5</f>
        <v>46192</v>
      </c>
      <c r="U5" s="720"/>
      <c r="V5" s="720"/>
      <c r="W5" s="721"/>
      <c r="X5" s="711" t="s">
        <v>6</v>
      </c>
      <c r="Y5" s="712"/>
      <c r="Z5" s="709"/>
      <c r="AA5" s="709"/>
      <c r="AB5" s="709"/>
      <c r="AC5" s="709"/>
      <c r="AD5" s="709"/>
      <c r="AE5" s="709"/>
      <c r="AF5" s="709"/>
      <c r="AG5" s="709"/>
      <c r="AH5" s="709"/>
      <c r="AI5" s="713"/>
      <c r="AJ5" s="5"/>
      <c r="AK5" s="5"/>
      <c r="AL5" s="5"/>
      <c r="AM5" s="5"/>
      <c r="AN5" s="5"/>
    </row>
    <row r="6" spans="3:40" ht="15" customHeight="1" x14ac:dyDescent="0.2">
      <c r="C6" s="688" t="s">
        <v>7</v>
      </c>
      <c r="D6" s="689"/>
      <c r="E6" s="689"/>
      <c r="F6" s="690"/>
      <c r="G6" s="132">
        <f>+'Diseño 1"'!D6</f>
        <v>13784</v>
      </c>
      <c r="H6" s="133"/>
      <c r="I6" s="133"/>
      <c r="J6" s="133"/>
      <c r="K6" s="133"/>
      <c r="L6" s="133"/>
      <c r="M6" s="133"/>
      <c r="N6" s="133"/>
      <c r="O6" s="133"/>
      <c r="P6" s="134"/>
      <c r="Q6" s="691" t="s">
        <v>221</v>
      </c>
      <c r="R6" s="691"/>
      <c r="S6" s="691"/>
      <c r="T6" s="714"/>
      <c r="U6" s="714"/>
      <c r="V6" s="714"/>
      <c r="W6" s="714"/>
      <c r="X6" s="715" t="s">
        <v>191</v>
      </c>
      <c r="Y6" s="716"/>
      <c r="Z6" s="716"/>
      <c r="AA6" s="716"/>
      <c r="AB6" s="716"/>
      <c r="AC6" s="716"/>
      <c r="AD6" s="716"/>
      <c r="AE6" s="716"/>
      <c r="AF6" s="716"/>
      <c r="AG6" s="716"/>
      <c r="AH6" s="716"/>
      <c r="AI6" s="717"/>
      <c r="AJ6" s="5"/>
      <c r="AK6" s="5"/>
      <c r="AL6" s="5"/>
      <c r="AM6" s="5"/>
      <c r="AN6" s="5"/>
    </row>
    <row r="7" spans="3:40" ht="15" customHeight="1" x14ac:dyDescent="0.2">
      <c r="C7" s="688" t="s">
        <v>9</v>
      </c>
      <c r="D7" s="689"/>
      <c r="E7" s="689"/>
      <c r="F7" s="690"/>
      <c r="G7" s="135">
        <f>+'Diseño 1"'!D7</f>
        <v>2</v>
      </c>
      <c r="H7" s="136"/>
      <c r="I7" s="136"/>
      <c r="J7" s="136"/>
      <c r="K7" s="136"/>
      <c r="L7" s="136"/>
      <c r="M7" s="136"/>
      <c r="N7" s="136"/>
      <c r="O7" s="136"/>
      <c r="P7" s="137"/>
      <c r="Q7" s="691" t="s">
        <v>222</v>
      </c>
      <c r="R7" s="691"/>
      <c r="S7" s="691"/>
      <c r="T7" s="718"/>
      <c r="U7" s="718"/>
      <c r="V7" s="718"/>
      <c r="W7" s="718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">
      <c r="C8" s="688" t="s">
        <v>193</v>
      </c>
      <c r="D8" s="689"/>
      <c r="E8" s="689"/>
      <c r="F8" s="690"/>
      <c r="G8" s="138" t="str">
        <f>+'Diseño 1"'!K7</f>
        <v>Miguel Alviña</v>
      </c>
      <c r="H8" s="139"/>
      <c r="I8" s="139"/>
      <c r="J8" s="139"/>
      <c r="K8" s="139"/>
      <c r="L8" s="139"/>
      <c r="M8" s="139"/>
      <c r="N8" s="139"/>
      <c r="O8" s="139"/>
      <c r="P8" s="140"/>
      <c r="Q8" s="691" t="s">
        <v>223</v>
      </c>
      <c r="R8" s="691"/>
      <c r="S8" s="691"/>
      <c r="T8" s="692">
        <f>+'Diseño 1"'!K6</f>
        <v>46198</v>
      </c>
      <c r="U8" s="692"/>
      <c r="V8" s="692"/>
      <c r="W8" s="692"/>
      <c r="X8" s="67">
        <f>SUMIFS('Diseño 1"'!AN29:AN48,'Diseño 1"'!AJ29:AJ48,0.5)</f>
        <v>0.62120596495023128</v>
      </c>
      <c r="Y8" s="123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0.62120596495023128</v>
      </c>
      <c r="AJ8" s="5"/>
      <c r="AK8" s="5"/>
      <c r="AL8" s="5"/>
      <c r="AM8" s="5"/>
      <c r="AN8" s="5"/>
    </row>
    <row r="9" spans="3:40" ht="15" customHeight="1" thickBot="1" x14ac:dyDescent="0.25">
      <c r="C9" s="693" t="s">
        <v>224</v>
      </c>
      <c r="D9" s="694"/>
      <c r="E9" s="694"/>
      <c r="F9" s="695"/>
      <c r="G9" s="141"/>
      <c r="H9" s="142"/>
      <c r="I9" s="142"/>
      <c r="J9" s="142"/>
      <c r="K9" s="142"/>
      <c r="L9" s="142"/>
      <c r="M9" s="142"/>
      <c r="N9" s="142"/>
      <c r="O9" s="142"/>
      <c r="P9" s="143"/>
      <c r="Q9" s="696" t="s">
        <v>218</v>
      </c>
      <c r="R9" s="696"/>
      <c r="S9" s="696"/>
      <c r="T9" s="697"/>
      <c r="U9" s="697"/>
      <c r="V9" s="697"/>
      <c r="W9" s="697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25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734" t="s">
        <v>214</v>
      </c>
      <c r="AI10" s="735"/>
      <c r="AJ10" s="5"/>
      <c r="AK10" s="5"/>
      <c r="AL10" s="5"/>
      <c r="AM10" s="5"/>
      <c r="AN10" s="5"/>
    </row>
    <row r="11" spans="3:40" ht="33.75" customHeight="1" thickBot="1" x14ac:dyDescent="0.25">
      <c r="C11" s="285" t="s">
        <v>195</v>
      </c>
      <c r="D11" s="698" t="s">
        <v>61</v>
      </c>
      <c r="E11" s="699"/>
      <c r="F11" s="285" t="s">
        <v>60</v>
      </c>
      <c r="G11" s="698" t="s">
        <v>62</v>
      </c>
      <c r="H11" s="699"/>
      <c r="I11" s="698" t="s">
        <v>63</v>
      </c>
      <c r="J11" s="699"/>
      <c r="K11" s="285" t="s">
        <v>21</v>
      </c>
      <c r="L11" s="702" t="s">
        <v>196</v>
      </c>
      <c r="M11" s="703"/>
      <c r="N11" s="285" t="s">
        <v>66</v>
      </c>
      <c r="O11" s="285" t="s">
        <v>67</v>
      </c>
      <c r="P11" s="698" t="s">
        <v>68</v>
      </c>
      <c r="Q11" s="699"/>
      <c r="R11" s="698" t="s">
        <v>197</v>
      </c>
      <c r="S11" s="699"/>
      <c r="T11" s="285" t="s">
        <v>69</v>
      </c>
      <c r="U11" s="286" t="s">
        <v>70</v>
      </c>
      <c r="V11" s="286" t="s">
        <v>70</v>
      </c>
      <c r="W11" s="286" t="s">
        <v>71</v>
      </c>
      <c r="X11" s="285" t="s">
        <v>72</v>
      </c>
      <c r="Y11" s="698" t="s">
        <v>76</v>
      </c>
      <c r="Z11" s="699"/>
      <c r="AA11" s="698" t="s">
        <v>77</v>
      </c>
      <c r="AB11" s="699"/>
      <c r="AC11" s="284" t="s">
        <v>198</v>
      </c>
      <c r="AD11" s="287" t="s">
        <v>79</v>
      </c>
      <c r="AE11" s="698" t="s">
        <v>199</v>
      </c>
      <c r="AF11" s="699"/>
      <c r="AG11" s="285" t="s">
        <v>191</v>
      </c>
      <c r="AH11" s="288" t="s">
        <v>216</v>
      </c>
      <c r="AI11" s="288" t="s">
        <v>215</v>
      </c>
      <c r="AJ11" s="5"/>
      <c r="AK11" s="5"/>
      <c r="AL11" s="3"/>
      <c r="AM11" s="3"/>
      <c r="AN11" s="3"/>
    </row>
    <row r="12" spans="3:40" ht="15" customHeight="1" x14ac:dyDescent="0.2">
      <c r="C12" s="272">
        <v>1</v>
      </c>
      <c r="D12" s="704" t="str">
        <f>IF('Diseño 1"'!B29="","",'Diseño 1"'!B29)</f>
        <v/>
      </c>
      <c r="E12" s="705"/>
      <c r="F12" s="273" t="str">
        <f>IF('Diseño 1"'!C29=0,"",'Diseño 1"'!C29)</f>
        <v/>
      </c>
      <c r="G12" s="704" t="str">
        <f>IF('Diseño 1"'!D29="","",'Diseño 1"'!D29)</f>
        <v/>
      </c>
      <c r="H12" s="705"/>
      <c r="I12" s="704" t="str">
        <f>IF('Diseño 1"'!F29="","",'Diseño 1"'!F29)</f>
        <v>Ducto Cilindrico</v>
      </c>
      <c r="J12" s="705"/>
      <c r="K12" s="274">
        <f>IF(I12="","",'Diseño 1"'!I29)</f>
        <v>15</v>
      </c>
      <c r="L12" s="266" t="str">
        <f>IF('Diseño 1"'!J29="","",'Diseño 1"'!J29)</f>
        <v/>
      </c>
      <c r="M12" s="266" t="str">
        <f>IF('Diseño 1"'!K29="","",'Diseño 1"'!K29)</f>
        <v/>
      </c>
      <c r="N12" s="266">
        <f>'Diseño 1"'!L29</f>
        <v>0</v>
      </c>
      <c r="O12" s="266" t="str">
        <f>IF('Diseño 1"'!M29="","",'Diseño 1"'!M29)</f>
        <v/>
      </c>
      <c r="P12" s="700" t="str">
        <f>IF('Diseño 1"'!N29="","",'Diseño 1"'!N29)</f>
        <v/>
      </c>
      <c r="Q12" s="705"/>
      <c r="R12" s="266" t="str">
        <f>IF('Diseño 1"'!Q29="","",'Diseño 1"'!Q29)</f>
        <v/>
      </c>
      <c r="S12" s="266" t="str">
        <f>IF('Diseño 1"'!R29="","",'Diseño 1"'!R29)</f>
        <v/>
      </c>
      <c r="T12" s="266">
        <f>IF('Diseño 1"'!S29="","",'Diseño 1"'!S29)</f>
        <v>1</v>
      </c>
      <c r="U12" s="266">
        <f>IF('Diseño 1"'!T29="","",'Diseño 1"'!T29)</f>
        <v>30</v>
      </c>
      <c r="V12" s="266" t="str">
        <f>IF('Diseño 1"'!U29="","",'Diseño 1"'!U29)</f>
        <v/>
      </c>
      <c r="W12" s="275" t="str">
        <f>IF('Diseño 1"'!V29="","",'Diseño 1"'!V29)</f>
        <v/>
      </c>
      <c r="X12" s="276">
        <f>'Diseño 1"'!W29</f>
        <v>0</v>
      </c>
      <c r="Y12" s="700" t="str">
        <f>IF('Diseño 1"'!AA29="","",'Diseño 1"'!AA29)</f>
        <v>Copla Rodón</v>
      </c>
      <c r="Z12" s="701"/>
      <c r="AA12" s="700" t="str">
        <f>IF('Diseño 1"'!AC29="","",'Diseño 1"'!AC29)</f>
        <v>Embutido</v>
      </c>
      <c r="AB12" s="701"/>
      <c r="AC12" s="277" t="str">
        <f>IF('Diseño 1"'!AE29=TRUE,0.5,"")</f>
        <v/>
      </c>
      <c r="AD12" s="278">
        <f>IF('Diseño 1"'!AF29="","",'Diseño 1"'!AF29)</f>
        <v>15</v>
      </c>
      <c r="AE12" s="279" t="str">
        <f>'Diseño 1"'!AJ29</f>
        <v/>
      </c>
      <c r="AF12" s="280">
        <f>'Diseño 1"'!AK29</f>
        <v>0.5</v>
      </c>
      <c r="AG12" s="281">
        <f>IF('Diseño 1"'!AN29="","",'Diseño 1"'!AN29)</f>
        <v>0</v>
      </c>
      <c r="AH12" s="282"/>
      <c r="AI12" s="283"/>
      <c r="AJ12" s="25"/>
      <c r="AK12" s="25"/>
      <c r="AL12" s="5"/>
      <c r="AM12" s="5"/>
      <c r="AN12" s="5"/>
    </row>
    <row r="13" spans="3:40" ht="15" customHeight="1" x14ac:dyDescent="0.2">
      <c r="C13" s="99">
        <v>2</v>
      </c>
      <c r="D13" s="676" t="str">
        <f>IF('Diseño 1"'!B30="","",'Diseño 1"'!B30)</f>
        <v/>
      </c>
      <c r="E13" s="677"/>
      <c r="F13" s="19" t="str">
        <f>IF('Diseño 1"'!C30=0,"",'Diseño 1"'!C30)</f>
        <v/>
      </c>
      <c r="G13" s="676" t="str">
        <f>IF('Diseño 1"'!D30="","",'Diseño 1"'!D30)</f>
        <v/>
      </c>
      <c r="H13" s="677"/>
      <c r="I13" s="676" t="str">
        <f>IF('Diseño 1"'!F30="","",'Diseño 1"'!F30)</f>
        <v>Codo</v>
      </c>
      <c r="J13" s="677"/>
      <c r="K13" s="20">
        <f>IF(I13="","",'Diseño 1"'!I30)</f>
        <v>3</v>
      </c>
      <c r="L13" s="17" t="str">
        <f>IF('Diseño 1"'!J30="","",'Diseño 1"'!J30)</f>
        <v/>
      </c>
      <c r="M13" s="17" t="str">
        <f>IF('Diseño 1"'!K30="","",'Diseño 1"'!K30)</f>
        <v/>
      </c>
      <c r="N13" s="17">
        <f>'Diseño 1"'!L30</f>
        <v>0</v>
      </c>
      <c r="O13" s="17" t="str">
        <f>IF('Diseño 1"'!M30="","",'Diseño 1"'!M30)</f>
        <v/>
      </c>
      <c r="P13" s="678" t="str">
        <f>IF('Diseño 1"'!N30="","",'Diseño 1"'!N30)</f>
        <v/>
      </c>
      <c r="Q13" s="677"/>
      <c r="R13" s="17" t="str">
        <f>IF('Diseño 1"'!Q30="","",'Diseño 1"'!Q30)</f>
        <v/>
      </c>
      <c r="S13" s="17" t="str">
        <f>IF('Diseño 1"'!R30="","",'Diseño 1"'!R30)</f>
        <v/>
      </c>
      <c r="T13" s="17" t="str">
        <f>IF('Diseño 1"'!S30="","",'Diseño 1"'!S30)</f>
        <v/>
      </c>
      <c r="U13" s="17">
        <f>IF('Diseño 1"'!T30="","",'Diseño 1"'!T30)</f>
        <v>30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78" t="str">
        <f>IF('Diseño 1"'!AA30="","",'Diseño 1"'!AA30)</f>
        <v>Copla Rodón</v>
      </c>
      <c r="Z13" s="679"/>
      <c r="AA13" s="678" t="str">
        <f>IF('Diseño 1"'!AC30="","",'Diseño 1"'!AC30)</f>
        <v>Embutido</v>
      </c>
      <c r="AB13" s="679"/>
      <c r="AC13" s="23" t="str">
        <f>IF('Diseño 1"'!AE30=TRUE,0.5,"")</f>
        <v/>
      </c>
      <c r="AD13" s="100">
        <f>IF('Diseño 1"'!AF30="","",'Diseño 1"'!AF30)</f>
        <v>3</v>
      </c>
      <c r="AE13" s="24">
        <f>'Diseño 1"'!AJ30</f>
        <v>0.5</v>
      </c>
      <c r="AF13" s="101">
        <f>'Diseño 1"'!AK30</f>
        <v>0</v>
      </c>
      <c r="AG13" s="267">
        <f>IF('Diseño 1"'!AN30="","",'Diseño 1"'!AN30)</f>
        <v>0.26623112783581337</v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">
      <c r="C14" s="99">
        <v>3</v>
      </c>
      <c r="D14" s="676" t="str">
        <f>IF('Diseño 1"'!B31="","",'Diseño 1"'!B31)</f>
        <v/>
      </c>
      <c r="E14" s="677"/>
      <c r="F14" s="19" t="str">
        <f>IF('Diseño 1"'!C31=0,"",'Diseño 1"'!C31)</f>
        <v/>
      </c>
      <c r="G14" s="676"/>
      <c r="H14" s="677"/>
      <c r="I14" s="676" t="str">
        <f>IF('Diseño 1"'!F31="","",'Diseño 1"'!F31)</f>
        <v>Medio Codo</v>
      </c>
      <c r="J14" s="677"/>
      <c r="K14" s="20">
        <f>IF(I14="","",'Diseño 1"'!I31)</f>
        <v>4</v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78" t="str">
        <f>IF('Diseño 1"'!N31="","",'Diseño 1"'!N31)</f>
        <v/>
      </c>
      <c r="Q14" s="677"/>
      <c r="R14" s="17" t="str">
        <f>IF('Diseño 1"'!Q31="","",'Diseño 1"'!Q31)</f>
        <v/>
      </c>
      <c r="S14" s="17" t="str">
        <f>IF('Diseño 1"'!R31="","",'Diseño 1"'!R31)</f>
        <v/>
      </c>
      <c r="T14" s="17" t="str">
        <f>IF('Diseño 1"'!S32="","",'Diseño 1"'!S32)</f>
        <v/>
      </c>
      <c r="U14" s="17">
        <f>IF('Diseño 1"'!T31="","",'Diseño 1"'!T31)</f>
        <v>30</v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78" t="str">
        <f>IF('Diseño 1"'!AA31="","",'Diseño 1"'!AA31)</f>
        <v>Copla Rodón</v>
      </c>
      <c r="Z14" s="679"/>
      <c r="AA14" s="678" t="str">
        <f>IF('Diseño 1"'!AC31="","",'Diseño 1"'!AC31)</f>
        <v>Embutido</v>
      </c>
      <c r="AB14" s="679"/>
      <c r="AC14" s="23" t="str">
        <f>IF('Diseño 1"'!AE32=TRUE,0.5,"")</f>
        <v/>
      </c>
      <c r="AD14" s="100" t="str">
        <f>IF('Diseño 1"'!AF32="","",'Diseño 1"'!AF32)</f>
        <v/>
      </c>
      <c r="AE14" s="24">
        <f>'Diseño 1"'!AJ31</f>
        <v>0.5</v>
      </c>
      <c r="AF14" s="101">
        <f>'Diseño 1"'!AK31</f>
        <v>0</v>
      </c>
      <c r="AG14" s="267">
        <f>IF('Diseño 1"'!AN31="","",'Diseño 1"'!AN31)</f>
        <v>0.35497483711441785</v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">
      <c r="C15" s="99">
        <v>4</v>
      </c>
      <c r="D15" s="676" t="str">
        <f>IF('Diseño 1"'!B32="","",'Diseño 1"'!B32)</f>
        <v/>
      </c>
      <c r="E15" s="677"/>
      <c r="F15" s="19" t="str">
        <f>IF('Diseño 1"'!C32=0,"",'Diseño 1"'!C32)</f>
        <v/>
      </c>
      <c r="G15" s="676" t="str">
        <f>IF('Diseño 1"'!D32="","",'Diseño 1"'!D32)</f>
        <v/>
      </c>
      <c r="H15" s="677"/>
      <c r="I15" s="676" t="str">
        <f>IF('Diseño 1"'!F32="","",'Diseño 1"'!F32)</f>
        <v/>
      </c>
      <c r="J15" s="677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78" t="str">
        <f>IF('Diseño 1"'!N32="","",'Diseño 1"'!N32)</f>
        <v/>
      </c>
      <c r="Q15" s="677"/>
      <c r="R15" s="17" t="str">
        <f>IF('Diseño 1"'!Q32="","",'Diseño 1"'!Q32)</f>
        <v/>
      </c>
      <c r="S15" s="17" t="str">
        <f>IF('Diseño 1"'!R32="","",'Diseño 1"'!R32)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78" t="str">
        <f>IF('Diseño 1"'!AA32="","",'Diseño 1"'!AA32)</f>
        <v/>
      </c>
      <c r="Z15" s="679"/>
      <c r="AA15" s="678" t="str">
        <f>IF('Diseño 1"'!AC32="","",'Diseño 1"'!AC32)</f>
        <v/>
      </c>
      <c r="AB15" s="679"/>
      <c r="AE15" s="24" t="str">
        <f>'Diseño 1"'!AJ32</f>
        <v/>
      </c>
      <c r="AF15" s="101">
        <f>'Diseño 1"'!AK32</f>
        <v>0</v>
      </c>
      <c r="AG15" s="267" t="str">
        <f>IF('Diseño 1"'!AN32="","",'Diseño 1"'!AN32)</f>
        <v/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">
      <c r="C16" s="99">
        <v>5</v>
      </c>
      <c r="D16" s="676" t="str">
        <f>IF('Diseño 1"'!B33="","",'Diseño 1"'!B33)</f>
        <v/>
      </c>
      <c r="E16" s="677"/>
      <c r="F16" s="19" t="str">
        <f>IF('Diseño 1"'!C33=0,"",'Diseño 1"'!C33)</f>
        <v/>
      </c>
      <c r="G16" s="676" t="str">
        <f>IF('Diseño 1"'!D33="","",'Diseño 1"'!D33)</f>
        <v/>
      </c>
      <c r="H16" s="677"/>
      <c r="I16" s="676" t="str">
        <f>IF('Diseño 1"'!F33="","",'Diseño 1"'!F33)</f>
        <v/>
      </c>
      <c r="J16" s="677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78" t="str">
        <f>IF('Diseño 1"'!N33="","",'Diseño 1"'!N33)</f>
        <v/>
      </c>
      <c r="Q16" s="677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78" t="str">
        <f>IF('Diseño 1"'!AA33="","",'Diseño 1"'!AA33)</f>
        <v/>
      </c>
      <c r="Z16" s="679"/>
      <c r="AA16" s="678" t="str">
        <f>IF('Diseño 1"'!AC33="","",'Diseño 1"'!AC33)</f>
        <v/>
      </c>
      <c r="AB16" s="679"/>
      <c r="AC16" s="23" t="str">
        <f>IF('Diseño 1"'!AE33=TRUE,0.5,"")</f>
        <v/>
      </c>
      <c r="AD16" s="100" t="str">
        <f>IF('Diseño 1"'!AF33="","",'Diseño 1"'!AF33)</f>
        <v/>
      </c>
      <c r="AE16" s="24" t="str">
        <f>'Diseño 1"'!AJ33</f>
        <v/>
      </c>
      <c r="AF16" s="101">
        <f>'Diseño 1"'!AK33</f>
        <v>0</v>
      </c>
      <c r="AG16" s="267" t="str">
        <f>IF('Diseño 1"'!AN33="","",'Diseño 1"'!AN33)</f>
        <v/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">
      <c r="C17" s="99">
        <v>6</v>
      </c>
      <c r="D17" s="676" t="str">
        <f>IF('Diseño 1"'!B34="","",'Diseño 1"'!B34)</f>
        <v/>
      </c>
      <c r="E17" s="677"/>
      <c r="F17" s="19" t="str">
        <f>IF('Diseño 1"'!C34=0,"",'Diseño 1"'!C34)</f>
        <v/>
      </c>
      <c r="G17" s="676" t="str">
        <f>IF('Diseño 1"'!D34="","",'Diseño 1"'!D34)</f>
        <v/>
      </c>
      <c r="H17" s="677"/>
      <c r="I17" s="676" t="str">
        <f>IF('Diseño 1"'!F34="","",'Diseño 1"'!F34)</f>
        <v/>
      </c>
      <c r="J17" s="677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78" t="str">
        <f>IF('Diseño 1"'!N34="","",'Diseño 1"'!N34)</f>
        <v/>
      </c>
      <c r="Q17" s="677"/>
      <c r="R17" s="17" t="str">
        <f>IF('Diseño 1"'!Q34="","",'Diseño 1"'!Q34)</f>
        <v/>
      </c>
      <c r="S17" s="17" t="str">
        <f>IF('Diseño 1"'!R34="","",'Diseño 1"'!R34)</f>
        <v/>
      </c>
      <c r="T17" s="17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78" t="str">
        <f>IF('Diseño 1"'!AA34="","",'Diseño 1"'!AA34)</f>
        <v/>
      </c>
      <c r="Z17" s="679"/>
      <c r="AA17" s="678" t="str">
        <f>IF('Diseño 1"'!AC34="","",'Diseño 1"'!AC34)</f>
        <v/>
      </c>
      <c r="AB17" s="679"/>
      <c r="AC17" s="23" t="str">
        <f>IF('Diseño 1"'!AE34=TRUE,0.5,"")</f>
        <v/>
      </c>
      <c r="AD17" s="100" t="str">
        <f>IF('Diseño 1"'!AF34="","",'Diseño 1"'!AF34)</f>
        <v/>
      </c>
      <c r="AE17" s="24" t="str">
        <f>'Diseño 1"'!AJ34</f>
        <v/>
      </c>
      <c r="AF17" s="101">
        <f>'Diseño 1"'!AK34</f>
        <v>0</v>
      </c>
      <c r="AG17" s="267" t="str">
        <f>IF('Diseño 1"'!AN34="","",'Diseño 1"'!AN34)</f>
        <v/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">
      <c r="C18" s="99">
        <v>7</v>
      </c>
      <c r="D18" s="676" t="str">
        <f>IF('Diseño 1"'!B35="","",'Diseño 1"'!B35)</f>
        <v/>
      </c>
      <c r="E18" s="677"/>
      <c r="F18" s="19" t="str">
        <f>IF('Diseño 1"'!C35=0,"",'Diseño 1"'!C35)</f>
        <v/>
      </c>
      <c r="G18" s="676" t="str">
        <f>IF('Diseño 1"'!D35="","",'Diseño 1"'!D35)</f>
        <v/>
      </c>
      <c r="H18" s="677"/>
      <c r="I18" s="676" t="str">
        <f>IF('Diseño 1"'!F35="","",'Diseño 1"'!F35)</f>
        <v/>
      </c>
      <c r="J18" s="677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78" t="str">
        <f>IF('Diseño 1"'!N35="","",'Diseño 1"'!N35)</f>
        <v/>
      </c>
      <c r="Q18" s="677"/>
      <c r="R18" s="17" t="str">
        <f>IF('Diseño 1"'!Q35="","",'Diseño 1"'!Q35)</f>
        <v/>
      </c>
      <c r="S18" s="17" t="str">
        <f>IF('Diseño 1"'!R35="","",'Diseño 1"'!R35)</f>
        <v/>
      </c>
      <c r="T18" s="17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78" t="str">
        <f>IF('Diseño 1"'!AA35="","",'Diseño 1"'!AA35)</f>
        <v/>
      </c>
      <c r="Z18" s="679"/>
      <c r="AA18" s="678" t="str">
        <f>IF('Diseño 1"'!AC35="","",'Diseño 1"'!AC35)</f>
        <v/>
      </c>
      <c r="AB18" s="679"/>
      <c r="AC18" s="23" t="str">
        <f>IF('Diseño 1"'!AE35=TRUE,0.5,"")</f>
        <v/>
      </c>
      <c r="AD18" s="100" t="str">
        <f>IF('Diseño 1"'!AF35="","",'Diseño 1"'!AF35)</f>
        <v/>
      </c>
      <c r="AE18" s="24" t="str">
        <f>'Diseño 1"'!AJ35</f>
        <v/>
      </c>
      <c r="AF18" s="101">
        <f>'Diseño 1"'!AK35</f>
        <v>0</v>
      </c>
      <c r="AG18" s="267" t="str">
        <f>IF('Diseño 1"'!AN35="","",'Diseño 1"'!AN35)</f>
        <v/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">
      <c r="C19" s="99">
        <v>8</v>
      </c>
      <c r="D19" s="676" t="str">
        <f>IF('Diseño 1"'!B36="","",'Diseño 1"'!B36)</f>
        <v/>
      </c>
      <c r="E19" s="677"/>
      <c r="F19" s="19" t="str">
        <f>IF('Diseño 1"'!C36=0,"",'Diseño 1"'!C36)</f>
        <v/>
      </c>
      <c r="G19" s="676" t="str">
        <f>IF('Diseño 1"'!D36="","",'Diseño 1"'!D36)</f>
        <v/>
      </c>
      <c r="H19" s="677"/>
      <c r="I19" s="676" t="str">
        <f>IF('Diseño 1"'!F36="","",'Diseño 1"'!F36)</f>
        <v/>
      </c>
      <c r="J19" s="677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78" t="str">
        <f>IF('Diseño 1"'!N36="","",'Diseño 1"'!N36)</f>
        <v/>
      </c>
      <c r="Q19" s="677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78" t="str">
        <f>IF('Diseño 1"'!AA36="","",'Diseño 1"'!AA36)</f>
        <v/>
      </c>
      <c r="Z19" s="679"/>
      <c r="AA19" s="678" t="str">
        <f>IF('Diseño 1"'!AC36="","",'Diseño 1"'!AC36)</f>
        <v/>
      </c>
      <c r="AB19" s="679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67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">
      <c r="C20" s="99">
        <v>9</v>
      </c>
      <c r="D20" s="676" t="str">
        <f>IF('Diseño 1"'!B37="","",'Diseño 1"'!B37)</f>
        <v/>
      </c>
      <c r="E20" s="677"/>
      <c r="F20" s="19" t="str">
        <f>IF('Diseño 1"'!C37=0,"",'Diseño 1"'!C37)</f>
        <v/>
      </c>
      <c r="G20" s="676" t="str">
        <f>IF('Diseño 1"'!D37="","",'Diseño 1"'!D37)</f>
        <v/>
      </c>
      <c r="H20" s="677"/>
      <c r="I20" s="676" t="str">
        <f>IF('Diseño 1"'!F37="","",'Diseño 1"'!F37)</f>
        <v/>
      </c>
      <c r="J20" s="677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78" t="str">
        <f>IF('Diseño 1"'!N37="","",'Diseño 1"'!N37)</f>
        <v/>
      </c>
      <c r="Q20" s="677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78" t="str">
        <f>IF('Diseño 1"'!AA37="","",'Diseño 1"'!AA37)</f>
        <v/>
      </c>
      <c r="Z20" s="679"/>
      <c r="AA20" s="678" t="str">
        <f>IF('Diseño 1"'!AC37="","",'Diseño 1"'!AC37)</f>
        <v/>
      </c>
      <c r="AB20" s="679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67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">
      <c r="C21" s="99">
        <v>10</v>
      </c>
      <c r="D21" s="676" t="str">
        <f>IF('Diseño 1"'!B38="","",'Diseño 1"'!B38)</f>
        <v/>
      </c>
      <c r="E21" s="677"/>
      <c r="F21" s="19" t="str">
        <f>IF('Diseño 1"'!C38=0,"",'Diseño 1"'!C38)</f>
        <v/>
      </c>
      <c r="G21" s="676" t="str">
        <f>IF('Diseño 1"'!D38="","",'Diseño 1"'!D38)</f>
        <v/>
      </c>
      <c r="H21" s="677"/>
      <c r="I21" s="676" t="str">
        <f>IF('Diseño 1"'!F38="","",'Diseño 1"'!F38)</f>
        <v/>
      </c>
      <c r="J21" s="677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78" t="str">
        <f>IF('Diseño 1"'!N38="","",'Diseño 1"'!N38)</f>
        <v/>
      </c>
      <c r="Q21" s="677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78" t="str">
        <f>IF('Diseño 1"'!AA38="","",'Diseño 1"'!AA38)</f>
        <v/>
      </c>
      <c r="Z21" s="679"/>
      <c r="AA21" s="678" t="str">
        <f>IF('Diseño 1"'!AC38="","",'Diseño 1"'!AC38)</f>
        <v/>
      </c>
      <c r="AB21" s="679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67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">
      <c r="C22" s="99">
        <v>11</v>
      </c>
      <c r="D22" s="676" t="str">
        <f>IF('Diseño 1"'!B39="","",'Diseño 1"'!B39)</f>
        <v/>
      </c>
      <c r="E22" s="677"/>
      <c r="F22" s="19" t="str">
        <f>IF('Diseño 1"'!C39=0,"",'Diseño 1"'!C39)</f>
        <v/>
      </c>
      <c r="G22" s="676" t="str">
        <f>IF('Diseño 1"'!D39="","",'Diseño 1"'!D39)</f>
        <v/>
      </c>
      <c r="H22" s="677"/>
      <c r="I22" s="676" t="str">
        <f>IF('Diseño 1"'!F39="","",'Diseño 1"'!F39)</f>
        <v/>
      </c>
      <c r="J22" s="677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78" t="str">
        <f>IF('Diseño 1"'!N39="","",'Diseño 1"'!N39)</f>
        <v/>
      </c>
      <c r="Q22" s="677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78" t="str">
        <f>IF('Diseño 1"'!AA39="","",'Diseño 1"'!AA39)</f>
        <v/>
      </c>
      <c r="Z22" s="679"/>
      <c r="AA22" s="678" t="str">
        <f>IF('Diseño 1"'!AC39="","",'Diseño 1"'!AC39)</f>
        <v/>
      </c>
      <c r="AB22" s="679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67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">
      <c r="C23" s="99">
        <v>12</v>
      </c>
      <c r="D23" s="676" t="str">
        <f>IF('Diseño 1"'!B40="","",'Diseño 1"'!B40)</f>
        <v/>
      </c>
      <c r="E23" s="677"/>
      <c r="F23" s="19" t="str">
        <f>IF('Diseño 1"'!C40=0,"",'Diseño 1"'!C40)</f>
        <v/>
      </c>
      <c r="G23" s="676" t="str">
        <f>IF('Diseño 1"'!D40="","",'Diseño 1"'!D40)</f>
        <v/>
      </c>
      <c r="H23" s="677"/>
      <c r="I23" s="676" t="str">
        <f>IF('Diseño 1"'!F40="","",'Diseño 1"'!F40)</f>
        <v/>
      </c>
      <c r="J23" s="677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78" t="str">
        <f>IF('Diseño 1"'!N40="","",'Diseño 1"'!N40)</f>
        <v/>
      </c>
      <c r="Q23" s="677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78" t="str">
        <f>IF('Diseño 1"'!AA40="","",'Diseño 1"'!AA40)</f>
        <v/>
      </c>
      <c r="Z23" s="679"/>
      <c r="AA23" s="678" t="str">
        <f>IF('Diseño 1"'!AC40="","",'Diseño 1"'!AC40)</f>
        <v/>
      </c>
      <c r="AB23" s="679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67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">
      <c r="C24" s="99">
        <v>13</v>
      </c>
      <c r="D24" s="676" t="str">
        <f>IF('Diseño 1"'!B41="","",'Diseño 1"'!B41)</f>
        <v/>
      </c>
      <c r="E24" s="677"/>
      <c r="F24" s="19" t="str">
        <f>IF('Diseño 1"'!C41=0,"",'Diseño 1"'!C41)</f>
        <v/>
      </c>
      <c r="G24" s="676" t="str">
        <f>IF('Diseño 1"'!D41="","",'Diseño 1"'!D41)</f>
        <v/>
      </c>
      <c r="H24" s="677"/>
      <c r="I24" s="676" t="str">
        <f>IF('Diseño 1"'!F41="","",'Diseño 1"'!F41)</f>
        <v/>
      </c>
      <c r="J24" s="677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78" t="str">
        <f>IF('Diseño 1"'!N41="","",'Diseño 1"'!N41)</f>
        <v/>
      </c>
      <c r="Q24" s="677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78" t="str">
        <f>IF('Diseño 1"'!AA41="","",'Diseño 1"'!AA41)</f>
        <v/>
      </c>
      <c r="Z24" s="679"/>
      <c r="AA24" s="678" t="str">
        <f>IF('Diseño 1"'!AC41="","",'Diseño 1"'!AC41)</f>
        <v/>
      </c>
      <c r="AB24" s="679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67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">
      <c r="C25" s="99">
        <v>14</v>
      </c>
      <c r="D25" s="676" t="str">
        <f>IF('Diseño 1"'!B42="","",'Diseño 1"'!B42)</f>
        <v/>
      </c>
      <c r="E25" s="677"/>
      <c r="F25" s="19" t="str">
        <f>IF('Diseño 1"'!C42=0,"",'Diseño 1"'!C42)</f>
        <v/>
      </c>
      <c r="G25" s="676" t="str">
        <f>IF('Diseño 1"'!D42="","",'Diseño 1"'!D42)</f>
        <v/>
      </c>
      <c r="H25" s="677"/>
      <c r="I25" s="676" t="str">
        <f>IF('Diseño 1"'!F42="","",'Diseño 1"'!F42)</f>
        <v/>
      </c>
      <c r="J25" s="677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78" t="str">
        <f>IF('Diseño 1"'!N42="","",'Diseño 1"'!N42)</f>
        <v/>
      </c>
      <c r="Q25" s="677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78" t="str">
        <f>IF('Diseño 1"'!AA42="","",'Diseño 1"'!AA42)</f>
        <v/>
      </c>
      <c r="Z25" s="679"/>
      <c r="AA25" s="678" t="str">
        <f>IF('Diseño 1"'!AC42="","",'Diseño 1"'!AC42)</f>
        <v/>
      </c>
      <c r="AB25" s="679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67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ht="15" customHeight="1" x14ac:dyDescent="0.2">
      <c r="C26" s="99">
        <v>15</v>
      </c>
      <c r="D26" s="676" t="str">
        <f>IF('Diseño 1"'!B43="","",'Diseño 1"'!B43)</f>
        <v/>
      </c>
      <c r="E26" s="677"/>
      <c r="F26" s="19" t="str">
        <f>IF('Diseño 1"'!C43=0,"",'Diseño 1"'!C43)</f>
        <v/>
      </c>
      <c r="G26" s="676" t="str">
        <f>IF('Diseño 1"'!D43="","",'Diseño 1"'!D43)</f>
        <v/>
      </c>
      <c r="H26" s="677"/>
      <c r="I26" s="676" t="str">
        <f>IF('Diseño 1"'!F43="","",'Diseño 1"'!F43)</f>
        <v/>
      </c>
      <c r="J26" s="677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78" t="str">
        <f>IF('Diseño 1"'!N43="","",'Diseño 1"'!N43)</f>
        <v/>
      </c>
      <c r="Q26" s="677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78" t="str">
        <f>IF('Diseño 1"'!AA43="","",'Diseño 1"'!AA43)</f>
        <v/>
      </c>
      <c r="Z26" s="679"/>
      <c r="AA26" s="678" t="str">
        <f>IF('Diseño 1"'!AC43="","",'Diseño 1"'!AC43)</f>
        <v/>
      </c>
      <c r="AB26" s="679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67" t="str">
        <f>IF('Diseño 1"'!AN43="","",'Diseño 1"'!AN43)</f>
        <v/>
      </c>
      <c r="AH26" s="127"/>
      <c r="AI26" s="128"/>
      <c r="AJ26" s="25"/>
      <c r="AK26" s="25"/>
      <c r="AL26" s="5"/>
      <c r="AM26" s="5"/>
      <c r="AN26" s="5"/>
    </row>
    <row r="27" spans="3:40" ht="15" customHeight="1" x14ac:dyDescent="0.2">
      <c r="C27" s="99">
        <v>16</v>
      </c>
      <c r="D27" s="676" t="str">
        <f>IF('Diseño 1"'!B44="","",'Diseño 1"'!B44)</f>
        <v/>
      </c>
      <c r="E27" s="677"/>
      <c r="F27" s="19" t="str">
        <f>IF('Diseño 1"'!C44=0,"",'Diseño 1"'!C44)</f>
        <v/>
      </c>
      <c r="G27" s="676" t="str">
        <f>IF('Diseño 1"'!D44="","",'Diseño 1"'!D44)</f>
        <v/>
      </c>
      <c r="H27" s="677"/>
      <c r="I27" s="676" t="str">
        <f>IF('Diseño 1"'!F44="","",'Diseño 1"'!F44)</f>
        <v/>
      </c>
      <c r="J27" s="677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78" t="str">
        <f>IF('Diseño 1"'!N44="","",'Diseño 1"'!N44)</f>
        <v/>
      </c>
      <c r="Q27" s="677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78" t="str">
        <f>IF('Diseño 1"'!AA44="","",'Diseño 1"'!AA44)</f>
        <v/>
      </c>
      <c r="Z27" s="679"/>
      <c r="AA27" s="678" t="str">
        <f>IF('Diseño 1"'!AC44="","",'Diseño 1"'!AC44)</f>
        <v/>
      </c>
      <c r="AB27" s="679"/>
      <c r="AC27" s="124"/>
      <c r="AD27" s="125"/>
      <c r="AE27" s="24" t="str">
        <f>'Diseño 1"'!AJ44</f>
        <v/>
      </c>
      <c r="AF27" s="101">
        <f>'Diseño 1"'!AK44</f>
        <v>0</v>
      </c>
      <c r="AG27" s="267" t="str">
        <f>IF('Diseño 1"'!AN44="","",'Diseño 1"'!AN44)</f>
        <v/>
      </c>
      <c r="AH27" s="127"/>
      <c r="AI27" s="128"/>
      <c r="AJ27" s="25"/>
      <c r="AK27" s="25"/>
      <c r="AL27" s="5"/>
      <c r="AM27" s="5"/>
      <c r="AN27" s="5"/>
    </row>
    <row r="28" spans="3:40" ht="15" customHeight="1" x14ac:dyDescent="0.2">
      <c r="C28" s="99">
        <v>17</v>
      </c>
      <c r="D28" s="676" t="str">
        <f>IF('Diseño 1"'!B45="","",'Diseño 1"'!B45)</f>
        <v/>
      </c>
      <c r="E28" s="677"/>
      <c r="F28" s="19" t="str">
        <f>IF('Diseño 1"'!C45=0,"",'Diseño 1"'!C45)</f>
        <v/>
      </c>
      <c r="G28" s="676" t="str">
        <f>IF('Diseño 1"'!D45="","",'Diseño 1"'!D45)</f>
        <v/>
      </c>
      <c r="H28" s="677"/>
      <c r="I28" s="676" t="str">
        <f>IF('Diseño 1"'!F45="","",'Diseño 1"'!F45)</f>
        <v/>
      </c>
      <c r="J28" s="677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78" t="str">
        <f>IF('Diseño 1"'!N45="","",'Diseño 1"'!N45)</f>
        <v/>
      </c>
      <c r="Q28" s="677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78" t="str">
        <f>IF('Diseño 1"'!AA45="","",'Diseño 1"'!AA45)</f>
        <v/>
      </c>
      <c r="Z28" s="679"/>
      <c r="AA28" s="678" t="str">
        <f>IF('Diseño 1"'!AC45="","",'Diseño 1"'!AC45)</f>
        <v/>
      </c>
      <c r="AB28" s="679"/>
      <c r="AC28" s="124"/>
      <c r="AD28" s="125"/>
      <c r="AE28" s="24" t="str">
        <f>'Diseño 1"'!AJ45</f>
        <v/>
      </c>
      <c r="AF28" s="101">
        <f>'Diseño 1"'!AK45</f>
        <v>0</v>
      </c>
      <c r="AG28" s="267" t="str">
        <f>IF('Diseño 1"'!AN45="","",'Diseño 1"'!AN45)</f>
        <v/>
      </c>
      <c r="AH28" s="127"/>
      <c r="AI28" s="128"/>
      <c r="AJ28" s="25"/>
      <c r="AK28" s="25"/>
      <c r="AL28" s="5"/>
      <c r="AM28" s="5"/>
      <c r="AN28" s="5"/>
    </row>
    <row r="29" spans="3:40" ht="15" customHeight="1" x14ac:dyDescent="0.2">
      <c r="C29" s="99">
        <v>18</v>
      </c>
      <c r="D29" s="676" t="str">
        <f>IF('Diseño 1"'!B46="","",'Diseño 1"'!B46)</f>
        <v/>
      </c>
      <c r="E29" s="677"/>
      <c r="F29" s="19" t="str">
        <f>IF('Diseño 1"'!C46=0,"",'Diseño 1"'!C46)</f>
        <v/>
      </c>
      <c r="G29" s="676" t="str">
        <f>IF('Diseño 1"'!D46="","",'Diseño 1"'!D46)</f>
        <v/>
      </c>
      <c r="H29" s="677"/>
      <c r="I29" s="676" t="str">
        <f>IF('Diseño 1"'!F46="","",'Diseño 1"'!F46)</f>
        <v/>
      </c>
      <c r="J29" s="677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78" t="str">
        <f>IF('Diseño 1"'!N46="","",'Diseño 1"'!N46)</f>
        <v/>
      </c>
      <c r="Q29" s="677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78" t="str">
        <f>IF('Diseño 1"'!AA46="","",'Diseño 1"'!AA46)</f>
        <v/>
      </c>
      <c r="Z29" s="679"/>
      <c r="AA29" s="678" t="str">
        <f>IF('Diseño 1"'!AC46="","",'Diseño 1"'!AC46)</f>
        <v/>
      </c>
      <c r="AB29" s="679"/>
      <c r="AC29" s="124"/>
      <c r="AD29" s="125"/>
      <c r="AE29" s="24" t="str">
        <f>'Diseño 1"'!AJ46</f>
        <v/>
      </c>
      <c r="AF29" s="101">
        <f>'Diseño 1"'!AK46</f>
        <v>0</v>
      </c>
      <c r="AG29" s="267" t="str">
        <f>IF('Diseño 1"'!AN46="","",'Diseño 1"'!AN46)</f>
        <v/>
      </c>
      <c r="AH29" s="127"/>
      <c r="AI29" s="128"/>
      <c r="AJ29" s="25"/>
      <c r="AK29" s="25"/>
      <c r="AL29" s="5"/>
      <c r="AM29" s="5"/>
      <c r="AN29" s="5"/>
    </row>
    <row r="30" spans="3:40" ht="15" customHeight="1" x14ac:dyDescent="0.2">
      <c r="C30" s="99">
        <v>19</v>
      </c>
      <c r="D30" s="676" t="str">
        <f>IF('Diseño 1"'!B47="","",'Diseño 1"'!B47)</f>
        <v/>
      </c>
      <c r="E30" s="677"/>
      <c r="F30" s="19" t="str">
        <f>IF('Diseño 1"'!C47=0,"",'Diseño 1"'!C47)</f>
        <v/>
      </c>
      <c r="G30" s="676" t="str">
        <f>IF('Diseño 1"'!D47="","",'Diseño 1"'!D47)</f>
        <v/>
      </c>
      <c r="H30" s="677"/>
      <c r="I30" s="676" t="str">
        <f>IF('Diseño 1"'!F47="","",'Diseño 1"'!F47)</f>
        <v/>
      </c>
      <c r="J30" s="677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78" t="str">
        <f>IF('Diseño 1"'!N47="","",'Diseño 1"'!N47)</f>
        <v/>
      </c>
      <c r="Q30" s="677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78" t="str">
        <f>IF('Diseño 1"'!AA47="","",'Diseño 1"'!AA47)</f>
        <v/>
      </c>
      <c r="Z30" s="679"/>
      <c r="AA30" s="678" t="str">
        <f>IF('Diseño 1"'!AC47="","",'Diseño 1"'!AC47)</f>
        <v/>
      </c>
      <c r="AB30" s="679"/>
      <c r="AC30" s="124"/>
      <c r="AD30" s="125"/>
      <c r="AE30" s="24" t="str">
        <f>'Diseño 1"'!AJ47</f>
        <v/>
      </c>
      <c r="AF30" s="101">
        <f>'Diseño 1"'!AK47</f>
        <v>0</v>
      </c>
      <c r="AG30" s="267" t="str">
        <f>IF('Diseño 1"'!AN47="","",'Diseño 1"'!AN47)</f>
        <v/>
      </c>
      <c r="AH30" s="127"/>
      <c r="AI30" s="128"/>
      <c r="AJ30" s="25"/>
      <c r="AK30" s="25"/>
      <c r="AL30" s="5"/>
      <c r="AM30" s="5"/>
      <c r="AN30" s="5"/>
    </row>
    <row r="31" spans="3:40" ht="15" customHeight="1" thickBot="1" x14ac:dyDescent="0.25">
      <c r="C31" s="103">
        <v>20</v>
      </c>
      <c r="D31" s="686" t="str">
        <f>IF('Diseño 1"'!B48="","",'Diseño 1"'!B48)</f>
        <v/>
      </c>
      <c r="E31" s="687"/>
      <c r="F31" s="104" t="str">
        <f>IF('Diseño 1"'!C48=0,"",'Diseño 1"'!C48)</f>
        <v/>
      </c>
      <c r="G31" s="686" t="str">
        <f>IF('Diseño 1"'!D48="","",'Diseño 1"'!D48)</f>
        <v/>
      </c>
      <c r="H31" s="687"/>
      <c r="I31" s="686" t="str">
        <f>IF('Diseño 1"'!F48="","",'Diseño 1"'!F48)</f>
        <v/>
      </c>
      <c r="J31" s="687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80" t="str">
        <f>IF('Diseño 1"'!N48="","",'Diseño 1"'!N48)</f>
        <v/>
      </c>
      <c r="Q31" s="687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80" t="str">
        <f>IF('Diseño 1"'!AA48="","",'Diseño 1"'!AA48)</f>
        <v/>
      </c>
      <c r="Z31" s="681"/>
      <c r="AA31" s="680" t="str">
        <f>IF('Diseño 1"'!AC48="","",'Diseño 1"'!AC48)</f>
        <v/>
      </c>
      <c r="AB31" s="681"/>
      <c r="AC31" s="109"/>
      <c r="AD31" s="110"/>
      <c r="AE31" s="111" t="str">
        <f>'Diseño 1"'!AJ48</f>
        <v/>
      </c>
      <c r="AF31" s="112">
        <f>'Diseño 1"'!AK48</f>
        <v>0</v>
      </c>
      <c r="AG31" s="268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25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2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722"/>
      <c r="Q33" s="723"/>
      <c r="R33" s="78"/>
      <c r="S33" s="78"/>
      <c r="T33" s="78"/>
      <c r="U33" s="79"/>
      <c r="V33" s="66"/>
      <c r="W33" s="724" t="s">
        <v>220</v>
      </c>
      <c r="X33" s="725"/>
      <c r="Y33" s="725"/>
      <c r="Z33" s="725"/>
      <c r="AA33" s="725"/>
      <c r="AB33" s="725"/>
      <c r="AC33" s="725"/>
      <c r="AD33" s="725"/>
      <c r="AE33" s="725"/>
      <c r="AF33" s="725"/>
      <c r="AG33" s="725"/>
      <c r="AH33" s="725"/>
      <c r="AI33" s="726"/>
      <c r="AJ33" s="121"/>
      <c r="AK33" s="25"/>
      <c r="AL33" s="25"/>
      <c r="AM33" s="5"/>
      <c r="AN33" s="5"/>
      <c r="AO33" s="5"/>
    </row>
    <row r="34" spans="3:41" ht="15" customHeight="1" x14ac:dyDescent="0.2">
      <c r="C34" s="80" t="str">
        <f>+'Diseño 1"'!AA13</f>
        <v>-</v>
      </c>
      <c r="D34" s="682" t="str">
        <f>+'Diseño 1"'!AB13</f>
        <v>ESCRIBE AQUÍ</v>
      </c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3"/>
      <c r="V34" s="66"/>
      <c r="W34" s="727" t="s">
        <v>217</v>
      </c>
      <c r="X34" s="728"/>
      <c r="Y34" s="728"/>
      <c r="Z34" s="728"/>
      <c r="AA34" s="728"/>
      <c r="AB34" s="729"/>
      <c r="AC34" s="68"/>
      <c r="AD34" s="69"/>
      <c r="AE34" s="730" t="s">
        <v>219</v>
      </c>
      <c r="AF34" s="728"/>
      <c r="AG34" s="728"/>
      <c r="AH34" s="728"/>
      <c r="AI34" s="731"/>
      <c r="AJ34" s="122"/>
      <c r="AK34" s="25"/>
      <c r="AL34" s="25"/>
      <c r="AM34" s="5"/>
      <c r="AN34" s="5"/>
      <c r="AO34" s="5"/>
    </row>
    <row r="35" spans="3:41" ht="15" customHeight="1" x14ac:dyDescent="0.2">
      <c r="C35" s="80"/>
      <c r="D35" s="682"/>
      <c r="E35" s="682"/>
      <c r="F35" s="682"/>
      <c r="G35" s="682"/>
      <c r="H35" s="682"/>
      <c r="I35" s="682"/>
      <c r="J35" s="682"/>
      <c r="K35" s="682"/>
      <c r="L35" s="682"/>
      <c r="M35" s="682"/>
      <c r="N35" s="682"/>
      <c r="O35" s="682"/>
      <c r="P35" s="682"/>
      <c r="Q35" s="682"/>
      <c r="R35" s="682"/>
      <c r="S35" s="682"/>
      <c r="T35" s="682"/>
      <c r="U35" s="683"/>
      <c r="V35" s="66"/>
      <c r="W35" s="58"/>
      <c r="X35" s="5"/>
      <c r="Y35" s="5"/>
      <c r="Z35" s="5"/>
      <c r="AA35" s="732"/>
      <c r="AB35" s="733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80"/>
      <c r="D36" s="682"/>
      <c r="E36" s="682"/>
      <c r="F36" s="682"/>
      <c r="G36" s="682"/>
      <c r="H36" s="682"/>
      <c r="I36" s="682"/>
      <c r="J36" s="682"/>
      <c r="K36" s="682"/>
      <c r="L36" s="682"/>
      <c r="M36" s="682"/>
      <c r="N36" s="682"/>
      <c r="O36" s="682"/>
      <c r="P36" s="682"/>
      <c r="Q36" s="682"/>
      <c r="R36" s="682"/>
      <c r="S36" s="682"/>
      <c r="T36" s="682"/>
      <c r="U36" s="683"/>
      <c r="V36" s="66"/>
      <c r="W36" s="58"/>
      <c r="X36" s="5"/>
      <c r="Y36" s="5"/>
      <c r="Z36" s="5"/>
      <c r="AA36" s="732"/>
      <c r="AB36" s="733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80"/>
      <c r="D37" s="682"/>
      <c r="E37" s="682"/>
      <c r="F37" s="682"/>
      <c r="G37" s="682"/>
      <c r="H37" s="682"/>
      <c r="I37" s="682"/>
      <c r="J37" s="682"/>
      <c r="K37" s="682"/>
      <c r="L37" s="682"/>
      <c r="M37" s="682"/>
      <c r="N37" s="682"/>
      <c r="O37" s="682"/>
      <c r="P37" s="682"/>
      <c r="Q37" s="682"/>
      <c r="R37" s="682"/>
      <c r="S37" s="682"/>
      <c r="T37" s="682"/>
      <c r="U37" s="683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80"/>
      <c r="D38" s="682"/>
      <c r="E38" s="682"/>
      <c r="F38" s="682"/>
      <c r="G38" s="682"/>
      <c r="H38" s="682"/>
      <c r="I38" s="682"/>
      <c r="J38" s="682"/>
      <c r="K38" s="682"/>
      <c r="L38" s="682"/>
      <c r="M38" s="682"/>
      <c r="N38" s="682"/>
      <c r="O38" s="682"/>
      <c r="P38" s="682"/>
      <c r="Q38" s="682"/>
      <c r="R38" s="682"/>
      <c r="S38" s="682"/>
      <c r="T38" s="682"/>
      <c r="U38" s="683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80"/>
      <c r="D39" s="682"/>
      <c r="E39" s="682"/>
      <c r="F39" s="682"/>
      <c r="G39" s="682"/>
      <c r="H39" s="682"/>
      <c r="I39" s="682"/>
      <c r="J39" s="682"/>
      <c r="K39" s="682"/>
      <c r="L39" s="682"/>
      <c r="M39" s="682"/>
      <c r="N39" s="682"/>
      <c r="O39" s="682"/>
      <c r="P39" s="682"/>
      <c r="Q39" s="682"/>
      <c r="R39" s="682"/>
      <c r="S39" s="682"/>
      <c r="T39" s="682"/>
      <c r="U39" s="683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">
      <c r="C40" s="80"/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682"/>
      <c r="R40" s="682"/>
      <c r="S40" s="682"/>
      <c r="T40" s="682"/>
      <c r="U40" s="683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307"/>
      <c r="D41" s="684"/>
      <c r="E41" s="684"/>
      <c r="F41" s="684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84"/>
      <c r="T41" s="684"/>
      <c r="U41" s="685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A13" zoomScale="91" zoomScaleNormal="40" workbookViewId="0">
      <selection activeCell="J40" sqref="J40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9.710937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203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204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750" t="s">
        <v>3</v>
      </c>
      <c r="AQ2" s="751"/>
      <c r="AR2" s="751"/>
      <c r="AS2" s="751"/>
      <c r="AT2" s="751"/>
      <c r="AU2" s="751"/>
      <c r="AV2" s="751"/>
      <c r="AW2" s="751"/>
      <c r="AX2" s="751"/>
      <c r="AY2" s="751"/>
      <c r="AZ2" s="751"/>
      <c r="BA2" s="751"/>
      <c r="BB2" s="751"/>
      <c r="BC2" s="751"/>
      <c r="BD2" s="751"/>
      <c r="BE2" s="751"/>
      <c r="BF2" s="751"/>
      <c r="BG2" s="751"/>
      <c r="BH2" s="751"/>
      <c r="BI2" s="751"/>
      <c r="BJ2" s="751"/>
      <c r="BK2" s="751"/>
      <c r="BL2" s="751"/>
      <c r="BM2" s="752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753"/>
      <c r="AQ3" s="744"/>
      <c r="AR3" s="744"/>
      <c r="AS3" s="744"/>
      <c r="AT3" s="744"/>
      <c r="AU3" s="744"/>
      <c r="AV3" s="744"/>
      <c r="AW3" s="744"/>
      <c r="AX3" s="744"/>
      <c r="AY3" s="744"/>
      <c r="AZ3" s="744"/>
      <c r="BA3" s="744"/>
      <c r="BB3" s="744"/>
      <c r="BC3" s="744"/>
      <c r="BD3" s="744"/>
      <c r="BE3" s="744"/>
      <c r="BF3" s="744"/>
      <c r="BG3" s="744"/>
      <c r="BH3" s="744"/>
      <c r="BI3" s="744"/>
      <c r="BJ3" s="744"/>
      <c r="BK3" s="744"/>
      <c r="BL3" s="744"/>
      <c r="BM3" s="745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155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7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160" t="s">
        <v>236</v>
      </c>
      <c r="E5" s="148"/>
      <c r="F5" s="148"/>
      <c r="G5" s="161"/>
      <c r="H5" s="661" t="s">
        <v>5</v>
      </c>
      <c r="I5" s="643"/>
      <c r="J5" s="662"/>
      <c r="K5" s="254">
        <v>45875</v>
      </c>
      <c r="L5" s="252"/>
      <c r="M5" s="252"/>
      <c r="N5" s="253"/>
      <c r="O5" s="148"/>
      <c r="P5" s="158" t="s">
        <v>6</v>
      </c>
      <c r="Q5" s="162"/>
      <c r="R5" s="651" t="s">
        <v>240</v>
      </c>
      <c r="S5" s="643"/>
      <c r="T5" s="642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155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7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165">
        <v>13817</v>
      </c>
      <c r="E6" s="148"/>
      <c r="F6" s="148"/>
      <c r="G6" s="161"/>
      <c r="H6" s="661" t="s">
        <v>8</v>
      </c>
      <c r="I6" s="643"/>
      <c r="J6" s="642"/>
      <c r="K6" s="254">
        <v>45876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166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67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637">
        <v>25</v>
      </c>
      <c r="E7" s="148"/>
      <c r="F7" s="148"/>
      <c r="G7" s="148"/>
      <c r="H7" s="661" t="s">
        <v>10</v>
      </c>
      <c r="I7" s="643"/>
      <c r="J7" s="642"/>
      <c r="K7" s="271"/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166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67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166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67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73" t="s">
        <v>205</v>
      </c>
      <c r="C9" s="643"/>
      <c r="D9" s="643"/>
      <c r="E9" s="643"/>
      <c r="F9" s="643"/>
      <c r="G9" s="643"/>
      <c r="H9" s="643"/>
      <c r="I9" s="643"/>
      <c r="J9" s="643"/>
      <c r="K9" s="642"/>
      <c r="L9" s="168"/>
      <c r="M9" s="169"/>
      <c r="N9" s="673" t="s">
        <v>11</v>
      </c>
      <c r="O9" s="643"/>
      <c r="P9" s="643"/>
      <c r="Q9" s="643"/>
      <c r="R9" s="643"/>
      <c r="S9" s="642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166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67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44" t="s">
        <v>12</v>
      </c>
      <c r="C10" s="642"/>
      <c r="D10" s="172" t="s">
        <v>13</v>
      </c>
      <c r="E10" s="644" t="s">
        <v>14</v>
      </c>
      <c r="F10" s="642"/>
      <c r="G10" s="644" t="s">
        <v>15</v>
      </c>
      <c r="H10" s="642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44" t="s">
        <v>20</v>
      </c>
      <c r="R10" s="642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166" t="s">
        <v>22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67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47"/>
      <c r="F11" s="646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 t="shared" ref="O11:O16" ca="1" si="0">SUMIF(AJ$29:AJ$48,N11,$AM$29:AM47)</f>
        <v>0</v>
      </c>
      <c r="P11" s="338">
        <f t="shared" ref="P11:P16" si="1">SUMIF(AJ$29:AJ$48,N11,AN$29:AN$48)</f>
        <v>0</v>
      </c>
      <c r="Q11" s="647"/>
      <c r="R11" s="646"/>
      <c r="S11" s="326"/>
      <c r="T11" s="177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166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67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47"/>
      <c r="F12" s="646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 t="shared" si="0"/>
        <v>0</v>
      </c>
      <c r="P12" s="338">
        <f t="shared" si="1"/>
        <v>0</v>
      </c>
      <c r="Q12" s="645" t="s">
        <v>24</v>
      </c>
      <c r="R12" s="646"/>
      <c r="S12" s="326">
        <f>ROUNDUP(AI49/6,0)</f>
        <v>0</v>
      </c>
      <c r="T12" s="177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746" t="s">
        <v>26</v>
      </c>
      <c r="AQ12" s="744"/>
      <c r="AR12" s="744"/>
      <c r="AS12" s="747" t="s">
        <v>27</v>
      </c>
      <c r="AT12" s="744"/>
      <c r="AU12" s="744"/>
      <c r="AV12" s="743" t="s">
        <v>28</v>
      </c>
      <c r="AW12" s="744"/>
      <c r="AX12" s="743" t="s">
        <v>29</v>
      </c>
      <c r="AY12" s="744"/>
      <c r="AZ12" s="744"/>
      <c r="BA12" s="743" t="s">
        <v>30</v>
      </c>
      <c r="BB12" s="744"/>
      <c r="BC12" s="743" t="s">
        <v>31</v>
      </c>
      <c r="BD12" s="744"/>
      <c r="BE12" s="744"/>
      <c r="BF12" s="743" t="s">
        <v>32</v>
      </c>
      <c r="BG12" s="744"/>
      <c r="BH12" s="744"/>
      <c r="BI12" s="743" t="s">
        <v>33</v>
      </c>
      <c r="BJ12" s="744"/>
      <c r="BK12" s="744"/>
      <c r="BL12" s="743" t="s">
        <v>34</v>
      </c>
      <c r="BM12" s="745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47">
        <v>0.5</v>
      </c>
      <c r="F13" s="646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 t="shared" si="0"/>
        <v>0</v>
      </c>
      <c r="P13" s="338">
        <f t="shared" si="1"/>
        <v>0</v>
      </c>
      <c r="Q13" s="645" t="s">
        <v>35</v>
      </c>
      <c r="R13" s="646"/>
      <c r="S13" s="343">
        <f>ROUNDUP(Z49,0)</f>
        <v>0</v>
      </c>
      <c r="T13" s="183"/>
      <c r="U13" s="178"/>
      <c r="V13" s="148"/>
      <c r="W13" s="148"/>
      <c r="X13" s="308" t="s">
        <v>233</v>
      </c>
      <c r="Y13" s="309"/>
      <c r="Z13" s="309"/>
      <c r="AA13" s="298" t="s">
        <v>233</v>
      </c>
      <c r="AB13" s="299" t="s">
        <v>234</v>
      </c>
      <c r="AC13" s="299"/>
      <c r="AD13" s="299"/>
      <c r="AE13" s="299"/>
      <c r="AF13" s="300"/>
      <c r="AG13" s="310"/>
      <c r="AH13" s="179"/>
      <c r="AI13" s="179"/>
      <c r="AJ13" s="179"/>
      <c r="AK13" s="179"/>
      <c r="AL13" s="179"/>
      <c r="AM13" s="148"/>
      <c r="AN13" s="180"/>
      <c r="AO13" s="150"/>
      <c r="AP13" s="184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6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65</v>
      </c>
      <c r="D14" s="326">
        <v>4</v>
      </c>
      <c r="E14" s="647">
        <v>0.5</v>
      </c>
      <c r="F14" s="646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 t="shared" si="0"/>
        <v>0</v>
      </c>
      <c r="P14" s="338">
        <f t="shared" si="1"/>
        <v>0</v>
      </c>
      <c r="Q14" s="645" t="s">
        <v>36</v>
      </c>
      <c r="R14" s="646"/>
      <c r="S14" s="343">
        <f>S12*2</f>
        <v>0</v>
      </c>
      <c r="T14" s="183"/>
      <c r="U14" s="178"/>
      <c r="V14" s="148"/>
      <c r="W14" s="148"/>
      <c r="X14" s="311"/>
      <c r="Y14" s="302"/>
      <c r="Z14" s="302"/>
      <c r="AA14" s="316"/>
      <c r="AB14" s="302"/>
      <c r="AC14" s="302"/>
      <c r="AD14" s="302"/>
      <c r="AE14" s="302"/>
      <c r="AF14" s="303"/>
      <c r="AG14" s="312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66</v>
      </c>
      <c r="C15" s="326">
        <v>75</v>
      </c>
      <c r="D15" s="326">
        <v>4.8</v>
      </c>
      <c r="E15" s="647">
        <v>0.6</v>
      </c>
      <c r="F15" s="646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 t="shared" si="0"/>
        <v>0</v>
      </c>
      <c r="P15" s="338">
        <f t="shared" si="1"/>
        <v>0</v>
      </c>
      <c r="Q15" s="645" t="s">
        <v>37</v>
      </c>
      <c r="R15" s="646"/>
      <c r="S15" s="340">
        <f>ROUNDUP(AI49/16,0)</f>
        <v>0</v>
      </c>
      <c r="T15" s="148"/>
      <c r="U15" s="178"/>
      <c r="V15" s="148"/>
      <c r="W15" s="148"/>
      <c r="X15" s="311"/>
      <c r="Y15" s="302"/>
      <c r="Z15" s="302"/>
      <c r="AA15" s="316"/>
      <c r="AB15" s="302"/>
      <c r="AC15" s="302"/>
      <c r="AD15" s="302"/>
      <c r="AE15" s="302"/>
      <c r="AF15" s="303"/>
      <c r="AG15" s="312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76</v>
      </c>
      <c r="C16" s="326">
        <v>100</v>
      </c>
      <c r="D16" s="326">
        <v>6.4</v>
      </c>
      <c r="E16" s="647">
        <v>0.8</v>
      </c>
      <c r="F16" s="646"/>
      <c r="G16" s="1"/>
      <c r="H16" s="1"/>
      <c r="I16" s="345"/>
      <c r="J16" s="1"/>
      <c r="K16" s="1"/>
      <c r="L16" s="1"/>
      <c r="M16" s="1"/>
      <c r="N16" s="346" t="s">
        <v>38</v>
      </c>
      <c r="O16" s="332">
        <f t="shared" si="0"/>
        <v>0</v>
      </c>
      <c r="P16" s="338">
        <f t="shared" si="1"/>
        <v>0</v>
      </c>
      <c r="Q16" s="645" t="s">
        <v>39</v>
      </c>
      <c r="R16" s="646"/>
      <c r="S16" s="326">
        <f>ROUNDUP(AI49/2,0)</f>
        <v>0</v>
      </c>
      <c r="T16" s="183"/>
      <c r="U16" s="178"/>
      <c r="V16" s="148"/>
      <c r="W16" s="148"/>
      <c r="X16" s="313"/>
      <c r="Y16" s="314"/>
      <c r="Z16" s="314"/>
      <c r="AA16" s="304"/>
      <c r="AB16" s="305"/>
      <c r="AC16" s="305"/>
      <c r="AD16" s="305"/>
      <c r="AE16" s="305"/>
      <c r="AF16" s="306"/>
      <c r="AG16" s="315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101</v>
      </c>
      <c r="C17" s="326">
        <v>120</v>
      </c>
      <c r="D17" s="326">
        <v>8</v>
      </c>
      <c r="E17" s="647">
        <v>1</v>
      </c>
      <c r="F17" s="646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ca="1" si="2">SUM(O11:O16)</f>
        <v>0</v>
      </c>
      <c r="P17" s="348">
        <f t="shared" si="2"/>
        <v>0</v>
      </c>
      <c r="Q17" s="645" t="s">
        <v>41</v>
      </c>
      <c r="R17" s="646"/>
      <c r="S17" s="326">
        <f>ROUNDUP(AI49/6,0)</f>
        <v>0</v>
      </c>
      <c r="T17" s="183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121</v>
      </c>
      <c r="C18" s="349">
        <v>240</v>
      </c>
      <c r="D18" s="349">
        <v>8</v>
      </c>
      <c r="E18" s="663" t="s">
        <v>42</v>
      </c>
      <c r="F18" s="664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5" t="s">
        <v>43</v>
      </c>
      <c r="R18" s="646"/>
      <c r="S18" s="326">
        <f>ROUNDUP(AI49/1.5,0)</f>
        <v>0</v>
      </c>
      <c r="T18" s="183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5" t="s">
        <v>45</v>
      </c>
      <c r="R19" s="646"/>
      <c r="S19" s="326">
        <f>ROUNDUP(AI49/3,0)</f>
        <v>0</v>
      </c>
      <c r="T19" s="19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65" t="s">
        <v>44</v>
      </c>
      <c r="C20" s="666"/>
      <c r="D20" s="666"/>
      <c r="E20" s="666"/>
      <c r="F20" s="666"/>
      <c r="G20" s="666"/>
      <c r="H20" s="666"/>
      <c r="I20" s="666"/>
      <c r="J20" s="666"/>
      <c r="K20" s="646"/>
      <c r="L20" s="354"/>
      <c r="M20" s="350"/>
      <c r="N20" s="1"/>
      <c r="O20" s="1"/>
      <c r="P20" s="1"/>
      <c r="Q20" s="674" t="s">
        <v>46</v>
      </c>
      <c r="R20" s="355" t="s">
        <v>47</v>
      </c>
      <c r="S20" s="326">
        <f>AI49+AH49</f>
        <v>0</v>
      </c>
      <c r="T20" s="19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7" t="s">
        <v>48</v>
      </c>
      <c r="C21" s="668"/>
      <c r="D21" s="671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72"/>
      <c r="R21" s="355" t="s">
        <v>49</v>
      </c>
      <c r="S21" s="326">
        <f>ROUNDUP(S20*0.062,0)</f>
        <v>0</v>
      </c>
      <c r="T21" s="148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9"/>
      <c r="C22" s="670"/>
      <c r="D22" s="672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75" t="s">
        <v>50</v>
      </c>
      <c r="R22" s="355" t="s">
        <v>51</v>
      </c>
      <c r="S22" s="343">
        <f>ROUNDUP(Y49,0)</f>
        <v>0</v>
      </c>
      <c r="T22" s="148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72"/>
      <c r="R23" s="355" t="s">
        <v>49</v>
      </c>
      <c r="S23" s="356">
        <f>ROUNDUP(5.3*100*D15/10000*S22,0)</f>
        <v>0</v>
      </c>
      <c r="T23" s="196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75" t="s">
        <v>52</v>
      </c>
      <c r="R24" s="355" t="s">
        <v>47</v>
      </c>
      <c r="S24" s="343">
        <f>ROUNDUP(X49,0)</f>
        <v>0</v>
      </c>
      <c r="T24" s="148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72"/>
      <c r="R25" s="355" t="s">
        <v>49</v>
      </c>
      <c r="S25" s="356">
        <f>ROUNDUP(5.7*100*D16/10000*S24,0)</f>
        <v>0</v>
      </c>
      <c r="T25" s="148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180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44" t="s">
        <v>62</v>
      </c>
      <c r="E28" s="754"/>
      <c r="F28" s="644" t="s">
        <v>63</v>
      </c>
      <c r="G28" s="643"/>
      <c r="H28" s="642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44" t="s">
        <v>68</v>
      </c>
      <c r="O28" s="643"/>
      <c r="P28" s="642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44" t="s">
        <v>76</v>
      </c>
      <c r="AB28" s="642"/>
      <c r="AC28" s="644" t="s">
        <v>77</v>
      </c>
      <c r="AD28" s="642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39" t="s">
        <v>14</v>
      </c>
      <c r="AK28" s="640"/>
      <c r="AL28" s="212" t="s">
        <v>83</v>
      </c>
      <c r="AM28" s="172" t="s">
        <v>84</v>
      </c>
      <c r="AN28" s="172" t="s">
        <v>49</v>
      </c>
      <c r="AO28" s="2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2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651"/>
      <c r="E29" s="742"/>
      <c r="F29" s="651"/>
      <c r="G29" s="643"/>
      <c r="H29" s="642"/>
      <c r="I29" s="214"/>
      <c r="J29" s="214"/>
      <c r="K29" s="214"/>
      <c r="L29" s="214"/>
      <c r="M29" s="214"/>
      <c r="N29" s="641"/>
      <c r="O29" s="643"/>
      <c r="P29" s="642"/>
      <c r="Q29" s="214"/>
      <c r="R29" s="214"/>
      <c r="S29" s="214"/>
      <c r="T29" s="214"/>
      <c r="U29" s="214"/>
      <c r="V29" s="215"/>
      <c r="W29" s="216"/>
      <c r="X29" s="214"/>
      <c r="Y29" s="214"/>
      <c r="Z29" s="217"/>
      <c r="AA29" s="641"/>
      <c r="AB29" s="642"/>
      <c r="AC29" s="641"/>
      <c r="AD29" s="642"/>
      <c r="AE29" s="218" t="b">
        <v>0</v>
      </c>
      <c r="AF29" s="32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2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5">IF(F29&lt;&gt;C$78,IF(AA29="TDF",4,0)+IF(AC29="TDF",4,0)+IF(AND(F29=C$78,AF29&gt;1,J29&gt;25,K29&gt;25),8*AG29,0),0)</f>
        <v>0</v>
      </c>
      <c r="AI29" s="328">
        <f t="shared" ref="AI29:AI48" si="6">IF(F29=C$78,IF(AA29="TDF",4,0)+IF(AC29="TDF",4,0)+IF(AND(F29=C$78,AF29&gt;1,J29&gt;25,K29&gt;25),8*AG29,0),0)</f>
        <v>0</v>
      </c>
      <c r="AJ29" s="329" t="str">
        <f>IF(F29&lt;&gt;"Ducto Cilindrico",IF(AE29=TRUE,0.5,AL29),"")</f>
        <v/>
      </c>
      <c r="AK29" s="330" t="str">
        <f>IF(F29="Ducto Cilindrico",IF(T29&lt;=C23,D23,IF(T29&lt;=C24,D24,IF(T29&lt;=C25,D25,IF(T29&lt;=C26,D26)))),"")</f>
        <v/>
      </c>
      <c r="AL29" s="33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32" t="str">
        <f t="shared" ref="AM29:AM48" si="8">IF(F29="","",IF(ISERROR(HLOOKUP(F29,AP$28:BO$48,AO29)),"",IF(HLOOKUP(F29,AP$28:BO$48,AO29)="N/D","",HLOOKUP(F29,AP$28:BO$48,AO29))))</f>
        <v/>
      </c>
      <c r="AN29" s="332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32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1">IF(F29="Caja Difusora",((PI()*(2*AY$57/10+J29)^2)/2+J29*(1+PI()/2)*(2*AX$57/10+K29)-PI()*T29+(PI()*T29+(AX$55+AY$55)/10)*10)/10000*I29,"N/D")</f>
        <v>N/D</v>
      </c>
      <c r="AR29" s="322" t="str">
        <f t="shared" ref="AR29:AR48" si="12">IF(F29="Caja Difusora Esp.",((2*S29*100+J29)*(K29+2*AX$57/10)-PI()*((T29/2)^2-(T29+(AX$55+AY$55)/10)*12)+2*(S29*100+AY$57/10)*(K29+2*AY$57/10))/10000*I29,"N/D")</f>
        <v>N/D</v>
      </c>
      <c r="AS29" s="32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 t="str">
        <f t="shared" ref="BC29:BC48" si="22">IF(F29="Ducto Cilindrico",((PI()*T29+AX$55/10+AY$55/10)*S29*100)/10000*I29,"N/D")</f>
        <v>N/D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4">IF(F29="Pleno",((K29+2*AX$57/10)*(2*S29*100+J29)+2*(J29+2*AY$57/10)*(S29*100+AY$57/10)+2*(J29+K29)*(VLOOKUP(AA29,AS$55:AT$71,2))/10)/10000*I29,"N/D")</f>
        <v>N/D</v>
      </c>
      <c r="BG29" s="32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 t="shared" ref="BI29:BI48" si="25">IF(F29="Tapa",J29*K29/10000*I29,"N/D")</f>
        <v>N/D</v>
      </c>
      <c r="BJ29" s="322" t="str">
        <f t="shared" ref="BJ29:BJ48" si="26">IF(F29="Transf. Red - Cuad",(((S29*100+BC$56/10)*(J29+2*AX$55/10+2*AY$55/10+K29+PI()*T29/2))/10000*I29)*1.041,"N/D")</f>
        <v>N/D</v>
      </c>
      <c r="BK29" s="32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2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2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2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55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651" t="s">
        <v>237</v>
      </c>
      <c r="E30" s="742"/>
      <c r="F30" s="651"/>
      <c r="G30" s="643"/>
      <c r="H30" s="642"/>
      <c r="I30" s="214"/>
      <c r="J30" s="214"/>
      <c r="K30" s="214"/>
      <c r="L30" s="214"/>
      <c r="M30" s="214"/>
      <c r="N30" s="641"/>
      <c r="O30" s="643"/>
      <c r="P30" s="642"/>
      <c r="Q30" s="214"/>
      <c r="R30" s="214"/>
      <c r="S30" s="214"/>
      <c r="T30" s="214"/>
      <c r="U30" s="214"/>
      <c r="V30" s="215"/>
      <c r="W30" s="216"/>
      <c r="X30" s="214"/>
      <c r="Y30" s="214"/>
      <c r="Z30" s="217"/>
      <c r="AA30" s="641"/>
      <c r="AB30" s="642"/>
      <c r="AC30" s="641"/>
      <c r="AD30" s="642"/>
      <c r="AE30" s="219" t="b">
        <v>0</v>
      </c>
      <c r="AF30" s="326" t="str">
        <f t="shared" si="3"/>
        <v/>
      </c>
      <c r="AG30" s="327">
        <f t="shared" si="4"/>
        <v>0</v>
      </c>
      <c r="AH30" s="327">
        <f t="shared" si="5"/>
        <v>0</v>
      </c>
      <c r="AI30" s="328">
        <f t="shared" si="6"/>
        <v>0</v>
      </c>
      <c r="AJ30" s="329" t="str">
        <f t="shared" ref="AJ30:AJ48" si="31">IF(AE30=TRUE,0.5,AL30)</f>
        <v/>
      </c>
      <c r="AK30" s="330"/>
      <c r="AL30" s="331" t="str">
        <f t="shared" si="7"/>
        <v/>
      </c>
      <c r="AM30" s="332" t="str">
        <f t="shared" si="8"/>
        <v/>
      </c>
      <c r="AN30" s="332" t="str">
        <f t="shared" si="9"/>
        <v/>
      </c>
      <c r="AO30" s="2">
        <v>3</v>
      </c>
      <c r="AP30" s="322" t="str">
        <f t="shared" si="10"/>
        <v>N/D</v>
      </c>
      <c r="AQ30" s="322" t="str">
        <f t="shared" si="11"/>
        <v>N/D</v>
      </c>
      <c r="AR30" s="322" t="str">
        <f t="shared" si="12"/>
        <v>N/D</v>
      </c>
      <c r="AS30" s="322" t="str">
        <f t="shared" si="13"/>
        <v>N/D</v>
      </c>
      <c r="AT30" s="32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22" t="str">
        <f t="shared" si="24"/>
        <v>N/D</v>
      </c>
      <c r="BG30" s="32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2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22" t="str">
        <f t="shared" si="25"/>
        <v>N/D</v>
      </c>
      <c r="BJ30" s="322" t="str">
        <f t="shared" si="26"/>
        <v>N/D</v>
      </c>
      <c r="BK30" s="322" t="str">
        <f t="shared" si="27"/>
        <v>N/D</v>
      </c>
      <c r="BL30" s="32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22" t="str">
        <f t="shared" si="28"/>
        <v>N/D</v>
      </c>
      <c r="BN30" s="322" t="str">
        <f t="shared" si="29"/>
        <v>N/D</v>
      </c>
      <c r="BO30" s="322" t="str">
        <f t="shared" si="30"/>
        <v>N/D</v>
      </c>
      <c r="BP30" s="255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13"/>
      <c r="C31" s="214"/>
      <c r="D31" s="651" t="s">
        <v>237</v>
      </c>
      <c r="E31" s="742"/>
      <c r="F31" s="651"/>
      <c r="G31" s="643"/>
      <c r="H31" s="642"/>
      <c r="I31" s="214"/>
      <c r="J31" s="214"/>
      <c r="K31" s="214"/>
      <c r="L31" s="214"/>
      <c r="M31" s="214"/>
      <c r="N31" s="641"/>
      <c r="O31" s="643"/>
      <c r="P31" s="642"/>
      <c r="Q31" s="214"/>
      <c r="R31" s="214"/>
      <c r="S31" s="214"/>
      <c r="T31" s="214"/>
      <c r="U31" s="214"/>
      <c r="V31" s="215"/>
      <c r="W31" s="216"/>
      <c r="X31" s="214"/>
      <c r="Y31" s="214"/>
      <c r="Z31" s="217"/>
      <c r="AA31" s="641"/>
      <c r="AB31" s="642"/>
      <c r="AC31" s="641"/>
      <c r="AD31" s="642"/>
      <c r="AE31" s="219"/>
      <c r="AF31" s="326" t="str">
        <f t="shared" si="3"/>
        <v/>
      </c>
      <c r="AG31" s="327">
        <f t="shared" si="4"/>
        <v>0</v>
      </c>
      <c r="AH31" s="327">
        <f t="shared" si="5"/>
        <v>0</v>
      </c>
      <c r="AI31" s="328">
        <f t="shared" si="6"/>
        <v>0</v>
      </c>
      <c r="AJ31" s="329" t="str">
        <f t="shared" si="31"/>
        <v/>
      </c>
      <c r="AK31" s="330"/>
      <c r="AL31" s="331" t="str">
        <f t="shared" si="7"/>
        <v/>
      </c>
      <c r="AM31" s="332" t="str">
        <f t="shared" si="8"/>
        <v/>
      </c>
      <c r="AN31" s="332" t="str">
        <f t="shared" si="9"/>
        <v/>
      </c>
      <c r="AO31" s="2">
        <v>4</v>
      </c>
      <c r="AP31" s="322" t="str">
        <f t="shared" si="10"/>
        <v>N/D</v>
      </c>
      <c r="AQ31" s="322" t="str">
        <f t="shared" si="11"/>
        <v>N/D</v>
      </c>
      <c r="AR31" s="322" t="str">
        <f t="shared" si="12"/>
        <v>N/D</v>
      </c>
      <c r="AS31" s="322" t="str">
        <f t="shared" si="13"/>
        <v>N/D</v>
      </c>
      <c r="AT31" s="322" t="str">
        <f t="shared" si="32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 t="str">
        <f t="shared" si="33"/>
        <v>N/D</v>
      </c>
      <c r="BF31" s="322" t="str">
        <f t="shared" si="24"/>
        <v>N/D</v>
      </c>
      <c r="BG31" s="322" t="str">
        <f t="shared" si="34"/>
        <v>N/D</v>
      </c>
      <c r="BH31" s="322" t="str">
        <f t="shared" si="35"/>
        <v>N/D</v>
      </c>
      <c r="BI31" s="322" t="str">
        <f t="shared" si="25"/>
        <v>N/D</v>
      </c>
      <c r="BJ31" s="322" t="str">
        <f t="shared" si="26"/>
        <v>N/D</v>
      </c>
      <c r="BK31" s="322" t="str">
        <f t="shared" si="27"/>
        <v>N/D</v>
      </c>
      <c r="BL31" s="322" t="str">
        <f t="shared" si="36"/>
        <v>N/D</v>
      </c>
      <c r="BM31" s="322" t="str">
        <f t="shared" si="28"/>
        <v>N/D</v>
      </c>
      <c r="BN31" s="322" t="str">
        <f t="shared" si="29"/>
        <v>N/D</v>
      </c>
      <c r="BO31" s="322" t="str">
        <f t="shared" si="30"/>
        <v>N/D</v>
      </c>
      <c r="BP31" s="255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651" t="s">
        <v>237</v>
      </c>
      <c r="E32" s="742"/>
      <c r="F32" s="651"/>
      <c r="G32" s="643"/>
      <c r="H32" s="642"/>
      <c r="I32" s="214"/>
      <c r="J32" s="214"/>
      <c r="K32" s="214"/>
      <c r="L32" s="214"/>
      <c r="M32" s="214"/>
      <c r="N32" s="641"/>
      <c r="O32" s="643"/>
      <c r="P32" s="642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1"/>
      <c r="AB32" s="642"/>
      <c r="AC32" s="641"/>
      <c r="AD32" s="642"/>
      <c r="AE32" s="219"/>
      <c r="AF32" s="326" t="str">
        <f t="shared" si="3"/>
        <v/>
      </c>
      <c r="AG32" s="327">
        <f t="shared" si="4"/>
        <v>0</v>
      </c>
      <c r="AH32" s="327">
        <f t="shared" si="5"/>
        <v>0</v>
      </c>
      <c r="AI32" s="328">
        <f t="shared" si="6"/>
        <v>0</v>
      </c>
      <c r="AJ32" s="329" t="str">
        <f t="shared" si="31"/>
        <v/>
      </c>
      <c r="AK32" s="330"/>
      <c r="AL32" s="331" t="str">
        <f t="shared" si="7"/>
        <v/>
      </c>
      <c r="AM32" s="332" t="str">
        <f t="shared" si="8"/>
        <v/>
      </c>
      <c r="AN32" s="332" t="str">
        <f t="shared" si="9"/>
        <v/>
      </c>
      <c r="AO32" s="2">
        <v>5</v>
      </c>
      <c r="AP32" s="322" t="str">
        <f t="shared" si="10"/>
        <v>N/D</v>
      </c>
      <c r="AQ32" s="322" t="str">
        <f t="shared" si="11"/>
        <v>N/D</v>
      </c>
      <c r="AR32" s="322" t="str">
        <f t="shared" si="12"/>
        <v>N/D</v>
      </c>
      <c r="AS32" s="322" t="str">
        <f t="shared" si="13"/>
        <v>N/D</v>
      </c>
      <c r="AT32" s="322" t="str">
        <f t="shared" si="32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 t="str">
        <f t="shared" si="23"/>
        <v>N/D</v>
      </c>
      <c r="BE32" s="322" t="str">
        <f t="shared" si="33"/>
        <v>N/D</v>
      </c>
      <c r="BF32" s="322" t="str">
        <f t="shared" si="24"/>
        <v>N/D</v>
      </c>
      <c r="BG32" s="322" t="str">
        <f t="shared" si="34"/>
        <v>N/D</v>
      </c>
      <c r="BH32" s="322" t="str">
        <f t="shared" si="35"/>
        <v>N/D</v>
      </c>
      <c r="BI32" s="322" t="str">
        <f t="shared" si="25"/>
        <v>N/D</v>
      </c>
      <c r="BJ32" s="322" t="str">
        <f t="shared" si="26"/>
        <v>N/D</v>
      </c>
      <c r="BK32" s="322" t="str">
        <f t="shared" si="27"/>
        <v>N/D</v>
      </c>
      <c r="BL32" s="322" t="str">
        <f t="shared" si="36"/>
        <v>N/D</v>
      </c>
      <c r="BM32" s="322" t="str">
        <f t="shared" si="28"/>
        <v>N/D</v>
      </c>
      <c r="BN32" s="322" t="str">
        <f t="shared" si="29"/>
        <v>N/D</v>
      </c>
      <c r="BO32" s="322" t="str">
        <f t="shared" si="30"/>
        <v>N/D</v>
      </c>
      <c r="BP32" s="255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651"/>
      <c r="E33" s="742"/>
      <c r="F33" s="651"/>
      <c r="G33" s="643"/>
      <c r="H33" s="642"/>
      <c r="I33" s="214"/>
      <c r="J33" s="214"/>
      <c r="K33" s="214"/>
      <c r="L33" s="214"/>
      <c r="M33" s="214"/>
      <c r="N33" s="641"/>
      <c r="O33" s="643"/>
      <c r="P33" s="642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1"/>
      <c r="AB33" s="642"/>
      <c r="AC33" s="641"/>
      <c r="AD33" s="642"/>
      <c r="AE33" s="219"/>
      <c r="AF33" s="326" t="str">
        <f t="shared" si="3"/>
        <v/>
      </c>
      <c r="AG33" s="327">
        <f t="shared" si="4"/>
        <v>0</v>
      </c>
      <c r="AH33" s="327">
        <f t="shared" si="5"/>
        <v>0</v>
      </c>
      <c r="AI33" s="328">
        <f t="shared" si="6"/>
        <v>0</v>
      </c>
      <c r="AJ33" s="329" t="str">
        <f t="shared" si="31"/>
        <v/>
      </c>
      <c r="AK33" s="330"/>
      <c r="AL33" s="331" t="str">
        <f t="shared" si="7"/>
        <v/>
      </c>
      <c r="AM33" s="332" t="str">
        <f t="shared" si="8"/>
        <v/>
      </c>
      <c r="AN33" s="332" t="str">
        <f t="shared" si="9"/>
        <v/>
      </c>
      <c r="AO33" s="2">
        <v>6</v>
      </c>
      <c r="AP33" s="322" t="str">
        <f t="shared" si="10"/>
        <v>N/D</v>
      </c>
      <c r="AQ33" s="322" t="str">
        <f t="shared" si="11"/>
        <v>N/D</v>
      </c>
      <c r="AR33" s="322" t="str">
        <f t="shared" si="12"/>
        <v>N/D</v>
      </c>
      <c r="AS33" s="322" t="str">
        <f t="shared" si="13"/>
        <v>N/D</v>
      </c>
      <c r="AT33" s="322" t="str">
        <f t="shared" si="32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33"/>
        <v>N/D</v>
      </c>
      <c r="BF33" s="322" t="str">
        <f t="shared" si="24"/>
        <v>N/D</v>
      </c>
      <c r="BG33" s="322" t="str">
        <f t="shared" si="34"/>
        <v>N/D</v>
      </c>
      <c r="BH33" s="322" t="str">
        <f t="shared" si="35"/>
        <v>N/D</v>
      </c>
      <c r="BI33" s="322" t="str">
        <f t="shared" si="25"/>
        <v>N/D</v>
      </c>
      <c r="BJ33" s="322" t="str">
        <f t="shared" si="26"/>
        <v>N/D</v>
      </c>
      <c r="BK33" s="322" t="str">
        <f t="shared" si="27"/>
        <v>N/D</v>
      </c>
      <c r="BL33" s="322" t="str">
        <f t="shared" si="36"/>
        <v>N/D</v>
      </c>
      <c r="BM33" s="322" t="str">
        <f t="shared" si="28"/>
        <v>N/D</v>
      </c>
      <c r="BN33" s="322" t="str">
        <f t="shared" si="29"/>
        <v>N/D</v>
      </c>
      <c r="BO33" s="322" t="str">
        <f t="shared" si="30"/>
        <v>N/D</v>
      </c>
      <c r="BP33" s="255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651"/>
      <c r="E34" s="742"/>
      <c r="F34" s="748"/>
      <c r="G34" s="749"/>
      <c r="H34" s="738"/>
      <c r="I34" s="466"/>
      <c r="J34" s="466"/>
      <c r="K34" s="466"/>
      <c r="L34" s="214"/>
      <c r="M34" s="214"/>
      <c r="N34" s="641"/>
      <c r="O34" s="643"/>
      <c r="P34" s="642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37"/>
      <c r="AB34" s="738"/>
      <c r="AC34" s="737"/>
      <c r="AD34" s="738"/>
      <c r="AE34" s="219"/>
      <c r="AF34" s="326" t="str">
        <f t="shared" si="3"/>
        <v/>
      </c>
      <c r="AG34" s="327">
        <f t="shared" si="4"/>
        <v>0</v>
      </c>
      <c r="AH34" s="327">
        <f t="shared" si="5"/>
        <v>0</v>
      </c>
      <c r="AI34" s="328">
        <f t="shared" si="6"/>
        <v>0</v>
      </c>
      <c r="AJ34" s="329" t="str">
        <f t="shared" si="31"/>
        <v/>
      </c>
      <c r="AK34" s="330"/>
      <c r="AL34" s="331" t="str">
        <f t="shared" si="7"/>
        <v/>
      </c>
      <c r="AM34" s="332" t="str">
        <f t="shared" si="8"/>
        <v/>
      </c>
      <c r="AN34" s="332" t="str">
        <f t="shared" si="9"/>
        <v/>
      </c>
      <c r="AO34" s="2">
        <v>7</v>
      </c>
      <c r="AP34" s="322" t="str">
        <f t="shared" si="10"/>
        <v>N/D</v>
      </c>
      <c r="AQ34" s="322" t="str">
        <f t="shared" si="11"/>
        <v>N/D</v>
      </c>
      <c r="AR34" s="322" t="str">
        <f t="shared" si="12"/>
        <v>N/D</v>
      </c>
      <c r="AS34" s="322" t="str">
        <f t="shared" si="13"/>
        <v>N/D</v>
      </c>
      <c r="AT34" s="322" t="str">
        <f t="shared" si="32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33"/>
        <v>N/D</v>
      </c>
      <c r="BF34" s="322" t="str">
        <f t="shared" si="24"/>
        <v>N/D</v>
      </c>
      <c r="BG34" s="322" t="str">
        <f t="shared" si="34"/>
        <v>N/D</v>
      </c>
      <c r="BH34" s="322" t="str">
        <f t="shared" si="35"/>
        <v>N/D</v>
      </c>
      <c r="BI34" s="322" t="str">
        <f t="shared" si="25"/>
        <v>N/D</v>
      </c>
      <c r="BJ34" s="322" t="str">
        <f t="shared" si="26"/>
        <v>N/D</v>
      </c>
      <c r="BK34" s="322" t="str">
        <f t="shared" si="27"/>
        <v>N/D</v>
      </c>
      <c r="BL34" s="322" t="str">
        <f t="shared" si="36"/>
        <v>N/D</v>
      </c>
      <c r="BM34" s="322" t="str">
        <f t="shared" si="28"/>
        <v>N/D</v>
      </c>
      <c r="BN34" s="322" t="str">
        <f t="shared" si="29"/>
        <v>N/D</v>
      </c>
      <c r="BO34" s="322" t="str">
        <f t="shared" si="30"/>
        <v>N/D</v>
      </c>
      <c r="BP34" s="255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651"/>
      <c r="E35" s="742"/>
      <c r="F35" s="748"/>
      <c r="G35" s="749"/>
      <c r="H35" s="738"/>
      <c r="I35" s="466"/>
      <c r="J35" s="466"/>
      <c r="K35" s="466"/>
      <c r="L35" s="214"/>
      <c r="M35" s="214"/>
      <c r="N35" s="641"/>
      <c r="O35" s="643"/>
      <c r="P35" s="642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37"/>
      <c r="AB35" s="738"/>
      <c r="AC35" s="737"/>
      <c r="AD35" s="738"/>
      <c r="AE35" s="219" t="b">
        <v>0</v>
      </c>
      <c r="AF35" s="326" t="str">
        <f t="shared" si="3"/>
        <v/>
      </c>
      <c r="AG35" s="327">
        <f t="shared" si="4"/>
        <v>0</v>
      </c>
      <c r="AH35" s="327">
        <f t="shared" si="5"/>
        <v>0</v>
      </c>
      <c r="AI35" s="328">
        <f t="shared" si="6"/>
        <v>0</v>
      </c>
      <c r="AJ35" s="329" t="str">
        <f t="shared" si="31"/>
        <v/>
      </c>
      <c r="AK35" s="330"/>
      <c r="AL35" s="331" t="str">
        <f t="shared" si="7"/>
        <v/>
      </c>
      <c r="AM35" s="332" t="str">
        <f t="shared" si="8"/>
        <v/>
      </c>
      <c r="AN35" s="332" t="str">
        <f t="shared" si="9"/>
        <v/>
      </c>
      <c r="AO35" s="2">
        <v>8</v>
      </c>
      <c r="AP35" s="322" t="str">
        <f t="shared" si="10"/>
        <v>N/D</v>
      </c>
      <c r="AQ35" s="322" t="str">
        <f t="shared" si="11"/>
        <v>N/D</v>
      </c>
      <c r="AR35" s="322" t="str">
        <f t="shared" si="12"/>
        <v>N/D</v>
      </c>
      <c r="AS35" s="322" t="str">
        <f t="shared" si="13"/>
        <v>N/D</v>
      </c>
      <c r="AT35" s="322" t="str">
        <f t="shared" si="32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 t="str">
        <f t="shared" si="23"/>
        <v>N/D</v>
      </c>
      <c r="BE35" s="322" t="str">
        <f t="shared" si="33"/>
        <v>N/D</v>
      </c>
      <c r="BF35" s="322" t="str">
        <f t="shared" si="24"/>
        <v>N/D</v>
      </c>
      <c r="BG35" s="322" t="str">
        <f t="shared" si="34"/>
        <v>N/D</v>
      </c>
      <c r="BH35" s="322" t="str">
        <f t="shared" si="35"/>
        <v>N/D</v>
      </c>
      <c r="BI35" s="322" t="str">
        <f t="shared" si="25"/>
        <v>N/D</v>
      </c>
      <c r="BJ35" s="322" t="str">
        <f t="shared" si="26"/>
        <v>N/D</v>
      </c>
      <c r="BK35" s="322" t="str">
        <f t="shared" si="27"/>
        <v>N/D</v>
      </c>
      <c r="BL35" s="322" t="str">
        <f t="shared" si="36"/>
        <v>N/D</v>
      </c>
      <c r="BM35" s="322" t="str">
        <f t="shared" si="28"/>
        <v>N/D</v>
      </c>
      <c r="BN35" s="322" t="str">
        <f t="shared" si="29"/>
        <v>N/D</v>
      </c>
      <c r="BO35" s="322" t="str">
        <f t="shared" si="30"/>
        <v>N/D</v>
      </c>
      <c r="BP35" s="255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651"/>
      <c r="E36" s="742"/>
      <c r="F36" s="748"/>
      <c r="G36" s="749"/>
      <c r="H36" s="738"/>
      <c r="I36" s="466"/>
      <c r="J36" s="466"/>
      <c r="K36" s="466"/>
      <c r="L36" s="214"/>
      <c r="M36" s="214"/>
      <c r="N36" s="641"/>
      <c r="O36" s="643"/>
      <c r="P36" s="642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37"/>
      <c r="AB36" s="738"/>
      <c r="AC36" s="737"/>
      <c r="AD36" s="738"/>
      <c r="AE36" s="219"/>
      <c r="AF36" s="326" t="str">
        <f t="shared" si="3"/>
        <v/>
      </c>
      <c r="AG36" s="327">
        <f t="shared" si="4"/>
        <v>0</v>
      </c>
      <c r="AH36" s="327">
        <f t="shared" si="5"/>
        <v>0</v>
      </c>
      <c r="AI36" s="328">
        <f t="shared" si="6"/>
        <v>0</v>
      </c>
      <c r="AJ36" s="329" t="str">
        <f t="shared" si="31"/>
        <v/>
      </c>
      <c r="AK36" s="330"/>
      <c r="AL36" s="331" t="str">
        <f t="shared" si="7"/>
        <v/>
      </c>
      <c r="AM36" s="332" t="str">
        <f t="shared" si="8"/>
        <v/>
      </c>
      <c r="AN36" s="332" t="str">
        <f t="shared" si="9"/>
        <v/>
      </c>
      <c r="AO36" s="2">
        <v>9</v>
      </c>
      <c r="AP36" s="322" t="str">
        <f t="shared" si="10"/>
        <v>N/D</v>
      </c>
      <c r="AQ36" s="322" t="str">
        <f t="shared" si="11"/>
        <v>N/D</v>
      </c>
      <c r="AR36" s="322" t="str">
        <f t="shared" si="12"/>
        <v>N/D</v>
      </c>
      <c r="AS36" s="322" t="str">
        <f t="shared" si="13"/>
        <v>N/D</v>
      </c>
      <c r="AT36" s="322" t="str">
        <f t="shared" si="32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33"/>
        <v>N/D</v>
      </c>
      <c r="BF36" s="322" t="str">
        <f t="shared" si="24"/>
        <v>N/D</v>
      </c>
      <c r="BG36" s="322" t="str">
        <f t="shared" si="34"/>
        <v>N/D</v>
      </c>
      <c r="BH36" s="322" t="str">
        <f t="shared" si="35"/>
        <v>N/D</v>
      </c>
      <c r="BI36" s="322" t="str">
        <f t="shared" si="25"/>
        <v>N/D</v>
      </c>
      <c r="BJ36" s="322" t="str">
        <f t="shared" si="26"/>
        <v>N/D</v>
      </c>
      <c r="BK36" s="322" t="str">
        <f t="shared" si="27"/>
        <v>N/D</v>
      </c>
      <c r="BL36" s="322" t="str">
        <f t="shared" si="36"/>
        <v>N/D</v>
      </c>
      <c r="BM36" s="322" t="str">
        <f t="shared" si="28"/>
        <v>N/D</v>
      </c>
      <c r="BN36" s="322" t="str">
        <f t="shared" si="29"/>
        <v>N/D</v>
      </c>
      <c r="BO36" s="322" t="str">
        <f t="shared" si="30"/>
        <v>N/D</v>
      </c>
      <c r="BP36" s="255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651"/>
      <c r="E37" s="742"/>
      <c r="F37" s="748"/>
      <c r="G37" s="749"/>
      <c r="H37" s="738"/>
      <c r="I37" s="466"/>
      <c r="J37" s="466"/>
      <c r="K37" s="466"/>
      <c r="L37" s="214"/>
      <c r="M37" s="214"/>
      <c r="N37" s="641"/>
      <c r="O37" s="643"/>
      <c r="P37" s="642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37"/>
      <c r="AB37" s="738"/>
      <c r="AC37" s="737"/>
      <c r="AD37" s="738"/>
      <c r="AE37" s="219"/>
      <c r="AF37" s="326" t="str">
        <f t="shared" si="3"/>
        <v/>
      </c>
      <c r="AG37" s="327">
        <f t="shared" si="4"/>
        <v>0</v>
      </c>
      <c r="AH37" s="327">
        <f t="shared" si="5"/>
        <v>0</v>
      </c>
      <c r="AI37" s="328">
        <f t="shared" si="6"/>
        <v>0</v>
      </c>
      <c r="AJ37" s="329" t="str">
        <f t="shared" si="31"/>
        <v/>
      </c>
      <c r="AK37" s="330"/>
      <c r="AL37" s="331" t="str">
        <f t="shared" si="7"/>
        <v/>
      </c>
      <c r="AM37" s="332" t="str">
        <f t="shared" si="8"/>
        <v/>
      </c>
      <c r="AN37" s="332" t="str">
        <f t="shared" si="9"/>
        <v/>
      </c>
      <c r="AO37" s="2">
        <v>10</v>
      </c>
      <c r="AP37" s="322" t="str">
        <f t="shared" si="10"/>
        <v>N/D</v>
      </c>
      <c r="AQ37" s="322" t="str">
        <f t="shared" si="11"/>
        <v>N/D</v>
      </c>
      <c r="AR37" s="322" t="str">
        <f t="shared" si="12"/>
        <v>N/D</v>
      </c>
      <c r="AS37" s="322" t="str">
        <f t="shared" si="13"/>
        <v>N/D</v>
      </c>
      <c r="AT37" s="322" t="str">
        <f t="shared" si="32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33"/>
        <v>N/D</v>
      </c>
      <c r="BF37" s="322" t="str">
        <f t="shared" si="24"/>
        <v>N/D</v>
      </c>
      <c r="BG37" s="322" t="str">
        <f t="shared" si="34"/>
        <v>N/D</v>
      </c>
      <c r="BH37" s="322" t="str">
        <f t="shared" si="35"/>
        <v>N/D</v>
      </c>
      <c r="BI37" s="322" t="str">
        <f t="shared" si="25"/>
        <v>N/D</v>
      </c>
      <c r="BJ37" s="322" t="str">
        <f t="shared" si="26"/>
        <v>N/D</v>
      </c>
      <c r="BK37" s="322" t="str">
        <f t="shared" si="27"/>
        <v>N/D</v>
      </c>
      <c r="BL37" s="322" t="str">
        <f t="shared" si="36"/>
        <v>N/D</v>
      </c>
      <c r="BM37" s="322" t="str">
        <f t="shared" si="28"/>
        <v>N/D</v>
      </c>
      <c r="BN37" s="322" t="str">
        <f t="shared" si="29"/>
        <v>N/D</v>
      </c>
      <c r="BO37" s="322" t="str">
        <f t="shared" si="30"/>
        <v>N/D</v>
      </c>
      <c r="BP37" s="255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651"/>
      <c r="E38" s="742"/>
      <c r="F38" s="748"/>
      <c r="G38" s="749"/>
      <c r="H38" s="738"/>
      <c r="I38" s="466"/>
      <c r="J38" s="466"/>
      <c r="K38" s="466"/>
      <c r="L38" s="214"/>
      <c r="M38" s="214"/>
      <c r="N38" s="641"/>
      <c r="O38" s="643"/>
      <c r="P38" s="642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37"/>
      <c r="AB38" s="738"/>
      <c r="AC38" s="737"/>
      <c r="AD38" s="738"/>
      <c r="AE38" s="219"/>
      <c r="AF38" s="326" t="str">
        <f t="shared" si="3"/>
        <v/>
      </c>
      <c r="AG38" s="327">
        <f t="shared" si="4"/>
        <v>0</v>
      </c>
      <c r="AH38" s="327">
        <f t="shared" si="5"/>
        <v>0</v>
      </c>
      <c r="AI38" s="328">
        <f t="shared" si="6"/>
        <v>0</v>
      </c>
      <c r="AJ38" s="329" t="str">
        <f t="shared" si="31"/>
        <v/>
      </c>
      <c r="AK38" s="330"/>
      <c r="AL38" s="331" t="str">
        <f t="shared" si="7"/>
        <v/>
      </c>
      <c r="AM38" s="332" t="str">
        <f t="shared" si="8"/>
        <v/>
      </c>
      <c r="AN38" s="332" t="str">
        <f t="shared" si="9"/>
        <v/>
      </c>
      <c r="AO38" s="2">
        <v>11</v>
      </c>
      <c r="AP38" s="322" t="str">
        <f t="shared" si="10"/>
        <v>N/D</v>
      </c>
      <c r="AQ38" s="322" t="str">
        <f t="shared" si="11"/>
        <v>N/D</v>
      </c>
      <c r="AR38" s="322" t="str">
        <f t="shared" si="12"/>
        <v>N/D</v>
      </c>
      <c r="AS38" s="322" t="str">
        <f t="shared" si="13"/>
        <v>N/D</v>
      </c>
      <c r="AT38" s="322" t="str">
        <f t="shared" si="32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33"/>
        <v>N/D</v>
      </c>
      <c r="BF38" s="322" t="str">
        <f t="shared" si="24"/>
        <v>N/D</v>
      </c>
      <c r="BG38" s="322" t="str">
        <f t="shared" si="34"/>
        <v>N/D</v>
      </c>
      <c r="BH38" s="322" t="str">
        <f t="shared" si="35"/>
        <v>N/D</v>
      </c>
      <c r="BI38" s="322" t="str">
        <f t="shared" si="25"/>
        <v>N/D</v>
      </c>
      <c r="BJ38" s="322" t="str">
        <f t="shared" si="26"/>
        <v>N/D</v>
      </c>
      <c r="BK38" s="322" t="str">
        <f t="shared" si="27"/>
        <v>N/D</v>
      </c>
      <c r="BL38" s="322" t="str">
        <f t="shared" si="36"/>
        <v>N/D</v>
      </c>
      <c r="BM38" s="322" t="str">
        <f t="shared" si="28"/>
        <v>N/D</v>
      </c>
      <c r="BN38" s="322" t="str">
        <f t="shared" si="29"/>
        <v>N/D</v>
      </c>
      <c r="BO38" s="322" t="str">
        <f t="shared" si="30"/>
        <v>N/D</v>
      </c>
      <c r="BP38" s="255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651"/>
      <c r="E39" s="742"/>
      <c r="F39" s="748"/>
      <c r="G39" s="749"/>
      <c r="H39" s="738"/>
      <c r="I39" s="466"/>
      <c r="J39" s="466"/>
      <c r="K39" s="466"/>
      <c r="L39" s="214"/>
      <c r="M39" s="214"/>
      <c r="N39" s="641"/>
      <c r="O39" s="643"/>
      <c r="P39" s="642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37"/>
      <c r="AB39" s="738"/>
      <c r="AC39" s="737"/>
      <c r="AD39" s="738"/>
      <c r="AE39" s="219"/>
      <c r="AF39" s="326" t="str">
        <f t="shared" si="3"/>
        <v/>
      </c>
      <c r="AG39" s="327">
        <f t="shared" si="4"/>
        <v>0</v>
      </c>
      <c r="AH39" s="327">
        <f t="shared" si="5"/>
        <v>0</v>
      </c>
      <c r="AI39" s="328">
        <f t="shared" si="6"/>
        <v>0</v>
      </c>
      <c r="AJ39" s="329" t="str">
        <f t="shared" si="31"/>
        <v/>
      </c>
      <c r="AK39" s="330"/>
      <c r="AL39" s="331" t="str">
        <f t="shared" si="7"/>
        <v/>
      </c>
      <c r="AM39" s="332" t="str">
        <f t="shared" si="8"/>
        <v/>
      </c>
      <c r="AN39" s="332" t="str">
        <f t="shared" si="9"/>
        <v/>
      </c>
      <c r="AO39" s="2">
        <v>12</v>
      </c>
      <c r="AP39" s="322" t="str">
        <f t="shared" si="10"/>
        <v>N/D</v>
      </c>
      <c r="AQ39" s="322" t="str">
        <f t="shared" si="11"/>
        <v>N/D</v>
      </c>
      <c r="AR39" s="322" t="str">
        <f t="shared" si="12"/>
        <v>N/D</v>
      </c>
      <c r="AS39" s="322" t="str">
        <f t="shared" si="13"/>
        <v>N/D</v>
      </c>
      <c r="AT39" s="322" t="str">
        <f t="shared" si="32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33"/>
        <v>N/D</v>
      </c>
      <c r="BF39" s="322" t="str">
        <f t="shared" si="24"/>
        <v>N/D</v>
      </c>
      <c r="BG39" s="322" t="str">
        <f t="shared" si="34"/>
        <v>N/D</v>
      </c>
      <c r="BH39" s="322" t="str">
        <f t="shared" si="35"/>
        <v>N/D</v>
      </c>
      <c r="BI39" s="322" t="str">
        <f t="shared" si="25"/>
        <v>N/D</v>
      </c>
      <c r="BJ39" s="322" t="str">
        <f t="shared" si="26"/>
        <v>N/D</v>
      </c>
      <c r="BK39" s="322" t="str">
        <f t="shared" si="27"/>
        <v>N/D</v>
      </c>
      <c r="BL39" s="322" t="str">
        <f t="shared" si="36"/>
        <v>N/D</v>
      </c>
      <c r="BM39" s="322" t="str">
        <f t="shared" si="28"/>
        <v>N/D</v>
      </c>
      <c r="BN39" s="322" t="str">
        <f t="shared" si="29"/>
        <v>N/D</v>
      </c>
      <c r="BO39" s="322" t="str">
        <f t="shared" si="30"/>
        <v>N/D</v>
      </c>
      <c r="BP39" s="255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651"/>
      <c r="E40" s="742"/>
      <c r="F40" s="748"/>
      <c r="G40" s="749"/>
      <c r="H40" s="738"/>
      <c r="I40" s="466"/>
      <c r="J40" s="466"/>
      <c r="K40" s="466"/>
      <c r="L40" s="214"/>
      <c r="M40" s="214"/>
      <c r="N40" s="641"/>
      <c r="O40" s="643"/>
      <c r="P40" s="642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37"/>
      <c r="AB40" s="738"/>
      <c r="AC40" s="737"/>
      <c r="AD40" s="738"/>
      <c r="AE40" s="219"/>
      <c r="AF40" s="326" t="str">
        <f t="shared" si="3"/>
        <v/>
      </c>
      <c r="AG40" s="327">
        <f t="shared" si="4"/>
        <v>0</v>
      </c>
      <c r="AH40" s="327">
        <f t="shared" si="5"/>
        <v>0</v>
      </c>
      <c r="AI40" s="328">
        <f t="shared" si="6"/>
        <v>0</v>
      </c>
      <c r="AJ40" s="329" t="str">
        <f t="shared" si="31"/>
        <v/>
      </c>
      <c r="AK40" s="330"/>
      <c r="AL40" s="331" t="str">
        <f t="shared" si="7"/>
        <v/>
      </c>
      <c r="AM40" s="332" t="str">
        <f t="shared" si="8"/>
        <v/>
      </c>
      <c r="AN40" s="332" t="str">
        <f t="shared" si="9"/>
        <v/>
      </c>
      <c r="AO40" s="2">
        <v>13</v>
      </c>
      <c r="AP40" s="322" t="str">
        <f t="shared" si="10"/>
        <v>N/D</v>
      </c>
      <c r="AQ40" s="322" t="str">
        <f t="shared" si="11"/>
        <v>N/D</v>
      </c>
      <c r="AR40" s="322" t="str">
        <f t="shared" si="12"/>
        <v>N/D</v>
      </c>
      <c r="AS40" s="322" t="str">
        <f t="shared" si="13"/>
        <v>N/D</v>
      </c>
      <c r="AT40" s="322" t="str">
        <f t="shared" si="32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33"/>
        <v>N/D</v>
      </c>
      <c r="BF40" s="322" t="str">
        <f t="shared" si="24"/>
        <v>N/D</v>
      </c>
      <c r="BG40" s="322" t="str">
        <f t="shared" si="34"/>
        <v>N/D</v>
      </c>
      <c r="BH40" s="322" t="str">
        <f t="shared" si="35"/>
        <v>N/D</v>
      </c>
      <c r="BI40" s="322" t="str">
        <f t="shared" si="25"/>
        <v>N/D</v>
      </c>
      <c r="BJ40" s="322" t="str">
        <f t="shared" si="26"/>
        <v>N/D</v>
      </c>
      <c r="BK40" s="322" t="str">
        <f t="shared" si="27"/>
        <v>N/D</v>
      </c>
      <c r="BL40" s="322" t="str">
        <f t="shared" si="36"/>
        <v>N/D</v>
      </c>
      <c r="BM40" s="322" t="str">
        <f t="shared" si="28"/>
        <v>N/D</v>
      </c>
      <c r="BN40" s="322" t="str">
        <f t="shared" si="29"/>
        <v>N/D</v>
      </c>
      <c r="BO40" s="322" t="str">
        <f t="shared" si="30"/>
        <v>N/D</v>
      </c>
      <c r="BP40" s="255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651"/>
      <c r="E41" s="742"/>
      <c r="F41" s="748"/>
      <c r="G41" s="749"/>
      <c r="H41" s="738"/>
      <c r="I41" s="466"/>
      <c r="J41" s="466"/>
      <c r="K41" s="466"/>
      <c r="L41" s="214"/>
      <c r="M41" s="214"/>
      <c r="N41" s="641"/>
      <c r="O41" s="643"/>
      <c r="P41" s="642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37"/>
      <c r="AB41" s="738"/>
      <c r="AC41" s="737"/>
      <c r="AD41" s="738"/>
      <c r="AE41" s="219"/>
      <c r="AF41" s="326" t="str">
        <f t="shared" si="3"/>
        <v/>
      </c>
      <c r="AG41" s="327">
        <f t="shared" si="4"/>
        <v>0</v>
      </c>
      <c r="AH41" s="327">
        <f t="shared" si="5"/>
        <v>0</v>
      </c>
      <c r="AI41" s="328">
        <f t="shared" si="6"/>
        <v>0</v>
      </c>
      <c r="AJ41" s="329" t="str">
        <f t="shared" si="31"/>
        <v/>
      </c>
      <c r="AK41" s="330"/>
      <c r="AL41" s="331" t="str">
        <f t="shared" si="7"/>
        <v/>
      </c>
      <c r="AM41" s="332" t="str">
        <f t="shared" si="8"/>
        <v/>
      </c>
      <c r="AN41" s="332" t="str">
        <f t="shared" si="9"/>
        <v/>
      </c>
      <c r="AO41" s="2">
        <v>14</v>
      </c>
      <c r="AP41" s="322" t="str">
        <f t="shared" si="10"/>
        <v>N/D</v>
      </c>
      <c r="AQ41" s="322" t="str">
        <f t="shared" si="11"/>
        <v>N/D</v>
      </c>
      <c r="AR41" s="322" t="str">
        <f t="shared" si="12"/>
        <v>N/D</v>
      </c>
      <c r="AS41" s="322" t="str">
        <f t="shared" si="13"/>
        <v>N/D</v>
      </c>
      <c r="AT41" s="322" t="str">
        <f t="shared" si="32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33"/>
        <v>N/D</v>
      </c>
      <c r="BF41" s="322" t="str">
        <f t="shared" si="24"/>
        <v>N/D</v>
      </c>
      <c r="BG41" s="322" t="str">
        <f t="shared" si="34"/>
        <v>N/D</v>
      </c>
      <c r="BH41" s="322" t="str">
        <f t="shared" si="35"/>
        <v>N/D</v>
      </c>
      <c r="BI41" s="322" t="str">
        <f t="shared" si="25"/>
        <v>N/D</v>
      </c>
      <c r="BJ41" s="322" t="str">
        <f t="shared" si="26"/>
        <v>N/D</v>
      </c>
      <c r="BK41" s="322" t="str">
        <f t="shared" si="27"/>
        <v>N/D</v>
      </c>
      <c r="BL41" s="322" t="str">
        <f t="shared" si="36"/>
        <v>N/D</v>
      </c>
      <c r="BM41" s="322" t="str">
        <f t="shared" si="28"/>
        <v>N/D</v>
      </c>
      <c r="BN41" s="322" t="str">
        <f t="shared" si="29"/>
        <v>N/D</v>
      </c>
      <c r="BO41" s="322" t="str">
        <f t="shared" si="30"/>
        <v>N/D</v>
      </c>
      <c r="BP41" s="255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651"/>
      <c r="E42" s="742"/>
      <c r="F42" s="651"/>
      <c r="G42" s="643"/>
      <c r="H42" s="642"/>
      <c r="I42" s="214"/>
      <c r="J42" s="214"/>
      <c r="K42" s="214"/>
      <c r="L42" s="214"/>
      <c r="M42" s="214"/>
      <c r="N42" s="641"/>
      <c r="O42" s="643"/>
      <c r="P42" s="642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1"/>
      <c r="AB42" s="642"/>
      <c r="AC42" s="641"/>
      <c r="AD42" s="642"/>
      <c r="AE42" s="219"/>
      <c r="AF42" s="326" t="str">
        <f t="shared" si="3"/>
        <v/>
      </c>
      <c r="AG42" s="327">
        <f t="shared" si="4"/>
        <v>0</v>
      </c>
      <c r="AH42" s="327">
        <f t="shared" si="5"/>
        <v>0</v>
      </c>
      <c r="AI42" s="328">
        <f t="shared" si="6"/>
        <v>0</v>
      </c>
      <c r="AJ42" s="329" t="str">
        <f t="shared" si="31"/>
        <v/>
      </c>
      <c r="AK42" s="330"/>
      <c r="AL42" s="331" t="str">
        <f t="shared" si="7"/>
        <v/>
      </c>
      <c r="AM42" s="332" t="str">
        <f t="shared" si="8"/>
        <v/>
      </c>
      <c r="AN42" s="332" t="str">
        <f t="shared" si="9"/>
        <v/>
      </c>
      <c r="AO42" s="2">
        <v>15</v>
      </c>
      <c r="AP42" s="322" t="str">
        <f t="shared" si="10"/>
        <v>N/D</v>
      </c>
      <c r="AQ42" s="322" t="str">
        <f t="shared" si="11"/>
        <v>N/D</v>
      </c>
      <c r="AR42" s="322" t="str">
        <f t="shared" si="12"/>
        <v>N/D</v>
      </c>
      <c r="AS42" s="322" t="str">
        <f t="shared" si="13"/>
        <v>N/D</v>
      </c>
      <c r="AT42" s="322" t="str">
        <f t="shared" si="32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33"/>
        <v>N/D</v>
      </c>
      <c r="BF42" s="322" t="str">
        <f t="shared" si="24"/>
        <v>N/D</v>
      </c>
      <c r="BG42" s="322" t="str">
        <f t="shared" si="34"/>
        <v>N/D</v>
      </c>
      <c r="BH42" s="322" t="str">
        <f t="shared" si="35"/>
        <v>N/D</v>
      </c>
      <c r="BI42" s="322" t="str">
        <f t="shared" si="25"/>
        <v>N/D</v>
      </c>
      <c r="BJ42" s="322" t="str">
        <f t="shared" si="26"/>
        <v>N/D</v>
      </c>
      <c r="BK42" s="322" t="str">
        <f t="shared" si="27"/>
        <v>N/D</v>
      </c>
      <c r="BL42" s="322" t="str">
        <f t="shared" si="36"/>
        <v>N/D</v>
      </c>
      <c r="BM42" s="322" t="str">
        <f t="shared" si="28"/>
        <v>N/D</v>
      </c>
      <c r="BN42" s="322" t="str">
        <f t="shared" si="29"/>
        <v>N/D</v>
      </c>
      <c r="BO42" s="322" t="str">
        <f t="shared" si="30"/>
        <v>N/D</v>
      </c>
      <c r="BP42" s="255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651"/>
      <c r="E43" s="742"/>
      <c r="F43" s="651"/>
      <c r="G43" s="643"/>
      <c r="H43" s="642"/>
      <c r="I43" s="214"/>
      <c r="J43" s="214"/>
      <c r="K43" s="214"/>
      <c r="L43" s="214"/>
      <c r="M43" s="214"/>
      <c r="N43" s="641"/>
      <c r="O43" s="643"/>
      <c r="P43" s="642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1"/>
      <c r="AB43" s="642"/>
      <c r="AC43" s="641"/>
      <c r="AD43" s="642"/>
      <c r="AE43" s="219"/>
      <c r="AF43" s="326" t="str">
        <f t="shared" si="3"/>
        <v/>
      </c>
      <c r="AG43" s="327">
        <f t="shared" si="4"/>
        <v>0</v>
      </c>
      <c r="AH43" s="327">
        <f t="shared" si="5"/>
        <v>0</v>
      </c>
      <c r="AI43" s="328">
        <f t="shared" si="6"/>
        <v>0</v>
      </c>
      <c r="AJ43" s="329" t="str">
        <f t="shared" si="31"/>
        <v/>
      </c>
      <c r="AK43" s="330"/>
      <c r="AL43" s="331" t="str">
        <f t="shared" si="7"/>
        <v/>
      </c>
      <c r="AM43" s="332" t="str">
        <f t="shared" si="8"/>
        <v/>
      </c>
      <c r="AN43" s="332" t="str">
        <f t="shared" si="9"/>
        <v/>
      </c>
      <c r="AO43" s="2">
        <v>16</v>
      </c>
      <c r="AP43" s="322" t="str">
        <f t="shared" si="10"/>
        <v>N/D</v>
      </c>
      <c r="AQ43" s="322" t="str">
        <f t="shared" si="11"/>
        <v>N/D</v>
      </c>
      <c r="AR43" s="322" t="str">
        <f t="shared" si="12"/>
        <v>N/D</v>
      </c>
      <c r="AS43" s="322" t="str">
        <f t="shared" si="13"/>
        <v>N/D</v>
      </c>
      <c r="AT43" s="322" t="str">
        <f t="shared" si="32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33"/>
        <v>N/D</v>
      </c>
      <c r="BF43" s="322" t="str">
        <f t="shared" si="24"/>
        <v>N/D</v>
      </c>
      <c r="BG43" s="322" t="str">
        <f t="shared" si="34"/>
        <v>N/D</v>
      </c>
      <c r="BH43" s="322" t="str">
        <f t="shared" si="35"/>
        <v>N/D</v>
      </c>
      <c r="BI43" s="322" t="str">
        <f t="shared" si="25"/>
        <v>N/D</v>
      </c>
      <c r="BJ43" s="322" t="str">
        <f t="shared" si="26"/>
        <v>N/D</v>
      </c>
      <c r="BK43" s="322" t="str">
        <f t="shared" si="27"/>
        <v>N/D</v>
      </c>
      <c r="BL43" s="322" t="str">
        <f t="shared" si="36"/>
        <v>N/D</v>
      </c>
      <c r="BM43" s="322" t="str">
        <f t="shared" si="28"/>
        <v>N/D</v>
      </c>
      <c r="BN43" s="322" t="str">
        <f t="shared" si="29"/>
        <v>N/D</v>
      </c>
      <c r="BO43" s="322" t="str">
        <f t="shared" si="30"/>
        <v>N/D</v>
      </c>
      <c r="BP43" s="255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651"/>
      <c r="E44" s="742"/>
      <c r="F44" s="651"/>
      <c r="G44" s="643"/>
      <c r="H44" s="642"/>
      <c r="I44" s="214"/>
      <c r="J44" s="214"/>
      <c r="K44" s="214"/>
      <c r="L44" s="214"/>
      <c r="M44" s="214"/>
      <c r="N44" s="641"/>
      <c r="O44" s="643"/>
      <c r="P44" s="642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1"/>
      <c r="AB44" s="642"/>
      <c r="AC44" s="641"/>
      <c r="AD44" s="642"/>
      <c r="AE44" s="219"/>
      <c r="AF44" s="326" t="str">
        <f t="shared" si="3"/>
        <v/>
      </c>
      <c r="AG44" s="327">
        <f t="shared" si="4"/>
        <v>0</v>
      </c>
      <c r="AH44" s="327">
        <f t="shared" si="5"/>
        <v>0</v>
      </c>
      <c r="AI44" s="328">
        <f t="shared" si="6"/>
        <v>0</v>
      </c>
      <c r="AJ44" s="329" t="str">
        <f t="shared" si="31"/>
        <v/>
      </c>
      <c r="AK44" s="330"/>
      <c r="AL44" s="331" t="str">
        <f t="shared" si="7"/>
        <v/>
      </c>
      <c r="AM44" s="332" t="str">
        <f t="shared" si="8"/>
        <v/>
      </c>
      <c r="AN44" s="332" t="str">
        <f t="shared" si="9"/>
        <v/>
      </c>
      <c r="AO44" s="2">
        <v>17</v>
      </c>
      <c r="AP44" s="322" t="str">
        <f t="shared" si="10"/>
        <v>N/D</v>
      </c>
      <c r="AQ44" s="322" t="str">
        <f t="shared" si="11"/>
        <v>N/D</v>
      </c>
      <c r="AR44" s="322" t="str">
        <f t="shared" si="12"/>
        <v>N/D</v>
      </c>
      <c r="AS44" s="322" t="str">
        <f t="shared" si="13"/>
        <v>N/D</v>
      </c>
      <c r="AT44" s="322" t="str">
        <f t="shared" si="32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33"/>
        <v>N/D</v>
      </c>
      <c r="BF44" s="322" t="str">
        <f t="shared" si="24"/>
        <v>N/D</v>
      </c>
      <c r="BG44" s="322" t="str">
        <f t="shared" si="34"/>
        <v>N/D</v>
      </c>
      <c r="BH44" s="322" t="str">
        <f t="shared" si="35"/>
        <v>N/D</v>
      </c>
      <c r="BI44" s="322" t="str">
        <f t="shared" si="25"/>
        <v>N/D</v>
      </c>
      <c r="BJ44" s="322" t="str">
        <f t="shared" si="26"/>
        <v>N/D</v>
      </c>
      <c r="BK44" s="322" t="str">
        <f t="shared" si="27"/>
        <v>N/D</v>
      </c>
      <c r="BL44" s="322" t="str">
        <f t="shared" si="36"/>
        <v>N/D</v>
      </c>
      <c r="BM44" s="322" t="str">
        <f t="shared" si="28"/>
        <v>N/D</v>
      </c>
      <c r="BN44" s="322" t="str">
        <f t="shared" si="29"/>
        <v>N/D</v>
      </c>
      <c r="BO44" s="322" t="str">
        <f t="shared" si="30"/>
        <v>N/D</v>
      </c>
      <c r="BP44" s="255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651"/>
      <c r="E45" s="742"/>
      <c r="F45" s="651"/>
      <c r="G45" s="643"/>
      <c r="H45" s="642"/>
      <c r="I45" s="214"/>
      <c r="J45" s="214"/>
      <c r="K45" s="214"/>
      <c r="L45" s="214"/>
      <c r="M45" s="214"/>
      <c r="N45" s="641"/>
      <c r="O45" s="643"/>
      <c r="P45" s="642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1"/>
      <c r="AB45" s="642"/>
      <c r="AC45" s="641"/>
      <c r="AD45" s="642"/>
      <c r="AE45" s="219" t="b">
        <v>0</v>
      </c>
      <c r="AF45" s="326" t="str">
        <f t="shared" si="3"/>
        <v/>
      </c>
      <c r="AG45" s="327">
        <f t="shared" si="4"/>
        <v>0</v>
      </c>
      <c r="AH45" s="327">
        <f t="shared" si="5"/>
        <v>0</v>
      </c>
      <c r="AI45" s="328">
        <f t="shared" si="6"/>
        <v>0</v>
      </c>
      <c r="AJ45" s="329" t="str">
        <f t="shared" si="31"/>
        <v/>
      </c>
      <c r="AK45" s="330"/>
      <c r="AL45" s="331" t="str">
        <f t="shared" si="7"/>
        <v/>
      </c>
      <c r="AM45" s="332" t="str">
        <f t="shared" si="8"/>
        <v/>
      </c>
      <c r="AN45" s="332" t="str">
        <f t="shared" si="9"/>
        <v/>
      </c>
      <c r="AO45" s="2">
        <v>18</v>
      </c>
      <c r="AP45" s="322" t="str">
        <f t="shared" si="10"/>
        <v>N/D</v>
      </c>
      <c r="AQ45" s="322" t="str">
        <f t="shared" si="11"/>
        <v>N/D</v>
      </c>
      <c r="AR45" s="322" t="str">
        <f t="shared" si="12"/>
        <v>N/D</v>
      </c>
      <c r="AS45" s="322" t="str">
        <f t="shared" si="13"/>
        <v>N/D</v>
      </c>
      <c r="AT45" s="322" t="str">
        <f t="shared" si="32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33"/>
        <v>N/D</v>
      </c>
      <c r="BF45" s="322" t="str">
        <f t="shared" si="24"/>
        <v>N/D</v>
      </c>
      <c r="BG45" s="322" t="str">
        <f t="shared" si="34"/>
        <v>N/D</v>
      </c>
      <c r="BH45" s="322" t="str">
        <f t="shared" si="35"/>
        <v>N/D</v>
      </c>
      <c r="BI45" s="322" t="str">
        <f t="shared" si="25"/>
        <v>N/D</v>
      </c>
      <c r="BJ45" s="322" t="str">
        <f t="shared" si="26"/>
        <v>N/D</v>
      </c>
      <c r="BK45" s="322" t="str">
        <f t="shared" si="27"/>
        <v>N/D</v>
      </c>
      <c r="BL45" s="322" t="str">
        <f t="shared" si="36"/>
        <v>N/D</v>
      </c>
      <c r="BM45" s="322" t="str">
        <f t="shared" si="28"/>
        <v>N/D</v>
      </c>
      <c r="BN45" s="322" t="str">
        <f t="shared" si="29"/>
        <v>N/D</v>
      </c>
      <c r="BO45" s="322" t="str">
        <f t="shared" si="30"/>
        <v>N/D</v>
      </c>
      <c r="BP45" s="255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651"/>
      <c r="E46" s="742"/>
      <c r="F46" s="651"/>
      <c r="G46" s="643"/>
      <c r="H46" s="642"/>
      <c r="I46" s="214"/>
      <c r="J46" s="214"/>
      <c r="K46" s="214"/>
      <c r="L46" s="214"/>
      <c r="M46" s="214"/>
      <c r="N46" s="641"/>
      <c r="O46" s="643"/>
      <c r="P46" s="642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1"/>
      <c r="AB46" s="642"/>
      <c r="AC46" s="641"/>
      <c r="AD46" s="642"/>
      <c r="AE46" s="219"/>
      <c r="AF46" s="326" t="str">
        <f t="shared" si="3"/>
        <v/>
      </c>
      <c r="AG46" s="327">
        <f t="shared" si="4"/>
        <v>0</v>
      </c>
      <c r="AH46" s="327">
        <f t="shared" si="5"/>
        <v>0</v>
      </c>
      <c r="AI46" s="328">
        <f t="shared" si="6"/>
        <v>0</v>
      </c>
      <c r="AJ46" s="329" t="str">
        <f t="shared" si="31"/>
        <v/>
      </c>
      <c r="AK46" s="330"/>
      <c r="AL46" s="331" t="str">
        <f t="shared" si="7"/>
        <v/>
      </c>
      <c r="AM46" s="332" t="str">
        <f t="shared" si="8"/>
        <v/>
      </c>
      <c r="AN46" s="332" t="str">
        <f t="shared" si="9"/>
        <v/>
      </c>
      <c r="AO46" s="2">
        <v>19</v>
      </c>
      <c r="AP46" s="322" t="str">
        <f t="shared" si="10"/>
        <v>N/D</v>
      </c>
      <c r="AQ46" s="322" t="str">
        <f t="shared" si="11"/>
        <v>N/D</v>
      </c>
      <c r="AR46" s="322" t="str">
        <f t="shared" si="12"/>
        <v>N/D</v>
      </c>
      <c r="AS46" s="322" t="str">
        <f t="shared" si="13"/>
        <v>N/D</v>
      </c>
      <c r="AT46" s="322" t="str">
        <f t="shared" si="32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33"/>
        <v>N/D</v>
      </c>
      <c r="BF46" s="322" t="str">
        <f t="shared" si="24"/>
        <v>N/D</v>
      </c>
      <c r="BG46" s="322" t="str">
        <f t="shared" si="34"/>
        <v>N/D</v>
      </c>
      <c r="BH46" s="322" t="str">
        <f t="shared" si="35"/>
        <v>N/D</v>
      </c>
      <c r="BI46" s="322" t="str">
        <f t="shared" si="25"/>
        <v>N/D</v>
      </c>
      <c r="BJ46" s="322" t="str">
        <f t="shared" si="26"/>
        <v>N/D</v>
      </c>
      <c r="BK46" s="322" t="str">
        <f t="shared" si="27"/>
        <v>N/D</v>
      </c>
      <c r="BL46" s="322" t="str">
        <f t="shared" si="36"/>
        <v>N/D</v>
      </c>
      <c r="BM46" s="322" t="str">
        <f t="shared" si="28"/>
        <v>N/D</v>
      </c>
      <c r="BN46" s="322" t="str">
        <f t="shared" si="29"/>
        <v>N/D</v>
      </c>
      <c r="BO46" s="322" t="str">
        <f t="shared" si="30"/>
        <v>N/D</v>
      </c>
      <c r="BP46" s="255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651"/>
      <c r="E47" s="742"/>
      <c r="F47" s="651"/>
      <c r="G47" s="643"/>
      <c r="H47" s="642"/>
      <c r="I47" s="214"/>
      <c r="J47" s="214"/>
      <c r="K47" s="214"/>
      <c r="L47" s="214"/>
      <c r="M47" s="214"/>
      <c r="N47" s="641"/>
      <c r="O47" s="643"/>
      <c r="P47" s="642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1"/>
      <c r="AB47" s="642"/>
      <c r="AC47" s="641"/>
      <c r="AD47" s="642"/>
      <c r="AE47" s="219"/>
      <c r="AF47" s="326" t="str">
        <f t="shared" si="3"/>
        <v/>
      </c>
      <c r="AG47" s="327">
        <f t="shared" si="4"/>
        <v>0</v>
      </c>
      <c r="AH47" s="327">
        <f t="shared" si="5"/>
        <v>0</v>
      </c>
      <c r="AI47" s="328">
        <f t="shared" si="6"/>
        <v>0</v>
      </c>
      <c r="AJ47" s="329" t="str">
        <f t="shared" si="31"/>
        <v/>
      </c>
      <c r="AK47" s="330"/>
      <c r="AL47" s="331" t="str">
        <f t="shared" si="7"/>
        <v/>
      </c>
      <c r="AM47" s="332" t="str">
        <f t="shared" si="8"/>
        <v/>
      </c>
      <c r="AN47" s="332" t="str">
        <f t="shared" si="9"/>
        <v/>
      </c>
      <c r="AO47" s="2">
        <v>20</v>
      </c>
      <c r="AP47" s="322" t="str">
        <f t="shared" si="10"/>
        <v>N/D</v>
      </c>
      <c r="AQ47" s="322" t="str">
        <f t="shared" si="11"/>
        <v>N/D</v>
      </c>
      <c r="AR47" s="322" t="str">
        <f t="shared" si="12"/>
        <v>N/D</v>
      </c>
      <c r="AS47" s="322" t="str">
        <f t="shared" si="13"/>
        <v>N/D</v>
      </c>
      <c r="AT47" s="322" t="str">
        <f t="shared" si="32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33"/>
        <v>N/D</v>
      </c>
      <c r="BF47" s="322" t="str">
        <f t="shared" si="24"/>
        <v>N/D</v>
      </c>
      <c r="BG47" s="322" t="str">
        <f t="shared" si="34"/>
        <v>N/D</v>
      </c>
      <c r="BH47" s="322" t="str">
        <f t="shared" si="35"/>
        <v>N/D</v>
      </c>
      <c r="BI47" s="322" t="str">
        <f t="shared" si="25"/>
        <v>N/D</v>
      </c>
      <c r="BJ47" s="322" t="str">
        <f t="shared" si="26"/>
        <v>N/D</v>
      </c>
      <c r="BK47" s="322" t="str">
        <f t="shared" si="27"/>
        <v>N/D</v>
      </c>
      <c r="BL47" s="322" t="str">
        <f t="shared" si="36"/>
        <v>N/D</v>
      </c>
      <c r="BM47" s="322" t="str">
        <f t="shared" si="28"/>
        <v>N/D</v>
      </c>
      <c r="BN47" s="322" t="str">
        <f t="shared" si="29"/>
        <v>N/D</v>
      </c>
      <c r="BO47" s="322" t="str">
        <f t="shared" si="30"/>
        <v>N/D</v>
      </c>
      <c r="BP47" s="255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651"/>
      <c r="E48" s="742"/>
      <c r="F48" s="651"/>
      <c r="G48" s="643"/>
      <c r="H48" s="642"/>
      <c r="I48" s="214"/>
      <c r="J48" s="214"/>
      <c r="K48" s="214"/>
      <c r="L48" s="214"/>
      <c r="M48" s="214"/>
      <c r="N48" s="641"/>
      <c r="O48" s="643"/>
      <c r="P48" s="642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1"/>
      <c r="AB48" s="642"/>
      <c r="AC48" s="641"/>
      <c r="AD48" s="642"/>
      <c r="AE48" s="219"/>
      <c r="AF48" s="326" t="str">
        <f t="shared" si="3"/>
        <v/>
      </c>
      <c r="AG48" s="327">
        <f t="shared" si="4"/>
        <v>0</v>
      </c>
      <c r="AH48" s="327">
        <f t="shared" si="5"/>
        <v>0</v>
      </c>
      <c r="AI48" s="328">
        <f t="shared" si="6"/>
        <v>0</v>
      </c>
      <c r="AJ48" s="333" t="str">
        <f t="shared" si="31"/>
        <v/>
      </c>
      <c r="AK48" s="334"/>
      <c r="AL48" s="331" t="str">
        <f t="shared" si="7"/>
        <v/>
      </c>
      <c r="AM48" s="332" t="str">
        <f t="shared" si="8"/>
        <v/>
      </c>
      <c r="AN48" s="332" t="str">
        <f t="shared" si="9"/>
        <v/>
      </c>
      <c r="AO48" s="2">
        <v>21</v>
      </c>
      <c r="AP48" s="322" t="str">
        <f t="shared" si="10"/>
        <v>N/D</v>
      </c>
      <c r="AQ48" s="322" t="str">
        <f t="shared" si="11"/>
        <v>N/D</v>
      </c>
      <c r="AR48" s="322" t="str">
        <f t="shared" si="12"/>
        <v>N/D</v>
      </c>
      <c r="AS48" s="322" t="str">
        <f t="shared" si="13"/>
        <v>N/D</v>
      </c>
      <c r="AT48" s="322" t="str">
        <f t="shared" si="32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33"/>
        <v>N/D</v>
      </c>
      <c r="BF48" s="322" t="str">
        <f t="shared" si="24"/>
        <v>N/D</v>
      </c>
      <c r="BG48" s="322" t="str">
        <f t="shared" si="34"/>
        <v>N/D</v>
      </c>
      <c r="BH48" s="322" t="str">
        <f t="shared" si="35"/>
        <v>N/D</v>
      </c>
      <c r="BI48" s="322" t="str">
        <f t="shared" si="25"/>
        <v>N/D</v>
      </c>
      <c r="BJ48" s="322" t="str">
        <f t="shared" si="26"/>
        <v>N/D</v>
      </c>
      <c r="BK48" s="322" t="str">
        <f t="shared" si="27"/>
        <v>N/D</v>
      </c>
      <c r="BL48" s="322" t="str">
        <f t="shared" si="36"/>
        <v>N/D</v>
      </c>
      <c r="BM48" s="322" t="str">
        <f t="shared" si="28"/>
        <v>N/D</v>
      </c>
      <c r="BN48" s="322" t="str">
        <f t="shared" si="29"/>
        <v>N/D</v>
      </c>
      <c r="BO48" s="322" t="str">
        <f t="shared" si="30"/>
        <v>N/D</v>
      </c>
      <c r="BP48" s="255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9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159"/>
      <c r="W49" s="159"/>
      <c r="X49" s="222">
        <f t="shared" ref="X49:Z49" si="37">SUM(X29:X48)</f>
        <v>0</v>
      </c>
      <c r="Y49" s="222">
        <f t="shared" si="37"/>
        <v>0</v>
      </c>
      <c r="Z49" s="222">
        <f t="shared" si="37"/>
        <v>0</v>
      </c>
      <c r="AA49" s="159"/>
      <c r="AB49" s="159"/>
      <c r="AC49" s="159"/>
      <c r="AD49" s="223"/>
      <c r="AE49" s="223"/>
      <c r="AF49" s="626">
        <f>SUM(AF29:AF48)</f>
        <v>0</v>
      </c>
      <c r="AG49" s="627"/>
      <c r="AH49" s="628">
        <f t="shared" ref="AH49:AI49" si="38">SUM(AH29:AH48)</f>
        <v>0</v>
      </c>
      <c r="AI49" s="628">
        <f t="shared" si="38"/>
        <v>0</v>
      </c>
      <c r="AJ49" s="629"/>
      <c r="AK49" s="629"/>
      <c r="AL49" s="630"/>
      <c r="AM49" s="631">
        <f t="shared" ref="AM49:AN49" si="39">SUM(AM29:AM48)</f>
        <v>0</v>
      </c>
      <c r="AN49" s="632">
        <f t="shared" si="39"/>
        <v>0</v>
      </c>
      <c r="AO49" s="2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5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thickBot="1" x14ac:dyDescent="0.25">
      <c r="A50" s="739" t="s">
        <v>111</v>
      </c>
      <c r="B50" s="740"/>
      <c r="C50" s="740"/>
      <c r="D50" s="740"/>
      <c r="E50" s="740"/>
      <c r="F50" s="740"/>
      <c r="G50" s="740"/>
      <c r="H50" s="740"/>
      <c r="I50" s="740"/>
      <c r="J50" s="740"/>
      <c r="K50" s="740"/>
      <c r="L50" s="740"/>
      <c r="M50" s="740"/>
      <c r="N50" s="740"/>
      <c r="O50" s="740"/>
      <c r="P50" s="740"/>
      <c r="Q50" s="740"/>
      <c r="R50" s="740"/>
      <c r="S50" s="740"/>
      <c r="T50" s="740"/>
      <c r="U50" s="74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5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5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5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5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56"/>
      <c r="AN54" s="260" t="s">
        <v>77</v>
      </c>
      <c r="AO54" s="260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5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 t="s">
        <v>128</v>
      </c>
      <c r="AO55" s="256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5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 t="s">
        <v>134</v>
      </c>
      <c r="AO56" s="256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5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 t="s">
        <v>140</v>
      </c>
      <c r="AO57" s="256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5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 t="s">
        <v>143</v>
      </c>
      <c r="AO58" s="256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5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 t="s">
        <v>146</v>
      </c>
      <c r="AO59" s="256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5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 t="s">
        <v>149</v>
      </c>
      <c r="AO60" s="256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6"/>
      <c r="BP60" s="255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 t="s">
        <v>138</v>
      </c>
      <c r="AO61" s="256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6"/>
      <c r="BP61" s="255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 t="s">
        <v>132</v>
      </c>
      <c r="AO62" s="256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6"/>
      <c r="BP62" s="255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62" t="s">
        <v>129</v>
      </c>
      <c r="AO63" s="256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5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 t="s">
        <v>158</v>
      </c>
      <c r="AO64" s="256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6"/>
      <c r="BP64" s="255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62" t="s">
        <v>135</v>
      </c>
      <c r="AO65" s="256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5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 t="s">
        <v>162</v>
      </c>
      <c r="AO66" s="256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5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 t="s">
        <v>164</v>
      </c>
      <c r="AO67" s="256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5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 t="s">
        <v>137</v>
      </c>
      <c r="AO68" s="256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5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 t="s">
        <v>152</v>
      </c>
      <c r="AO69" s="256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5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 t="s">
        <v>155</v>
      </c>
      <c r="AO70" s="256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5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5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5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5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5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5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40">AA75+1</f>
        <v>2</v>
      </c>
      <c r="AB76" s="256" t="s">
        <v>229</v>
      </c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61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5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40"/>
        <v>3</v>
      </c>
      <c r="AB77" s="256" t="s">
        <v>230</v>
      </c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5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40"/>
        <v>4</v>
      </c>
      <c r="AB78" s="256" t="s">
        <v>231</v>
      </c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61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5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40"/>
        <v>5</v>
      </c>
      <c r="AB79" s="256" t="s">
        <v>235</v>
      </c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61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6"/>
      <c r="BP79" s="255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40"/>
        <v>6</v>
      </c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61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6"/>
      <c r="BP80" s="255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40"/>
        <v>7</v>
      </c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6"/>
      <c r="BP81" s="255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40"/>
        <v>8</v>
      </c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61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6"/>
      <c r="BP82" s="255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40"/>
        <v>9</v>
      </c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62"/>
      <c r="AR83" s="256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6"/>
      <c r="BP83" s="255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40"/>
        <v>10</v>
      </c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6"/>
      <c r="BP84" s="255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40"/>
        <v>11</v>
      </c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62"/>
      <c r="AR85" s="256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6"/>
      <c r="BP85" s="255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40"/>
        <v>12</v>
      </c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62"/>
      <c r="AR86" s="256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6"/>
      <c r="BP86" s="255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40"/>
        <v>13</v>
      </c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"/>
      <c r="AQ87" s="470"/>
      <c r="AR87" s="2"/>
      <c r="AS87" s="2" t="s">
        <v>164</v>
      </c>
      <c r="AT87" s="243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40"/>
        <v>14</v>
      </c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"/>
      <c r="AQ88" s="470"/>
      <c r="AR88" s="2"/>
      <c r="AS88" s="2" t="s">
        <v>137</v>
      </c>
      <c r="AT88" s="243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40"/>
        <v>15</v>
      </c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"/>
      <c r="AQ89" s="470"/>
      <c r="AR89" s="2"/>
      <c r="AS89" s="2" t="s">
        <v>152</v>
      </c>
      <c r="AT89" s="242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50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40"/>
        <v>16</v>
      </c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"/>
      <c r="AQ90" s="470"/>
      <c r="AR90" s="2"/>
      <c r="AS90" s="2" t="s">
        <v>155</v>
      </c>
      <c r="AT90" s="243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40"/>
        <v>17</v>
      </c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"/>
      <c r="AQ91" s="47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40"/>
        <v>18</v>
      </c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"/>
      <c r="AQ92" s="47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40"/>
        <v>19</v>
      </c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"/>
      <c r="AQ93" s="47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40"/>
        <v>20</v>
      </c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"/>
      <c r="AQ94" s="47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40"/>
        <v>21</v>
      </c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"/>
      <c r="AQ95" s="47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>
        <v>22</v>
      </c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>
        <v>23</v>
      </c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"/>
      <c r="AQ98" s="2"/>
      <c r="AR98" s="243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</row>
    <row r="112" spans="1:87" ht="12.75" customHeight="1" x14ac:dyDescent="0.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</row>
    <row r="113" spans="1:87" ht="12.75" customHeight="1" x14ac:dyDescent="0.2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</row>
    <row r="114" spans="1:87" ht="12.75" customHeight="1" x14ac:dyDescent="0.2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</row>
    <row r="115" spans="1:87" ht="12.75" customHeight="1" x14ac:dyDescent="0.2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</row>
    <row r="116" spans="1:87" ht="12.75" customHeight="1" x14ac:dyDescent="0.2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148"/>
      <c r="AQ127" s="148"/>
      <c r="AR127" s="148"/>
      <c r="AS127" s="150"/>
      <c r="AT127" s="150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148"/>
      <c r="AQ128" s="148"/>
      <c r="AR128" s="148"/>
      <c r="AS128" s="150"/>
      <c r="AT128" s="150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148"/>
      <c r="AQ129" s="148"/>
      <c r="AR129" s="148"/>
      <c r="AS129" s="150"/>
      <c r="AT129" s="150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148"/>
      <c r="AQ130" s="148"/>
      <c r="AR130" s="148"/>
      <c r="AS130" s="150"/>
      <c r="AT130" s="150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148"/>
      <c r="AQ131" s="148"/>
      <c r="AR131" s="148"/>
      <c r="AS131" s="150"/>
      <c r="AT131" s="150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148"/>
      <c r="AQ132" s="148"/>
      <c r="AR132" s="148"/>
      <c r="AS132" s="150"/>
      <c r="AT132" s="150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148"/>
      <c r="AQ133" s="148"/>
      <c r="AR133" s="148"/>
      <c r="AS133" s="150"/>
      <c r="AT133" s="150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148"/>
      <c r="AQ134" s="148"/>
      <c r="AR134" s="148"/>
      <c r="AS134" s="150"/>
      <c r="AT134" s="150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148"/>
      <c r="AQ135" s="148"/>
      <c r="AR135" s="148"/>
      <c r="AS135" s="150"/>
      <c r="AT135" s="150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148"/>
      <c r="AQ136" s="148"/>
      <c r="AR136" s="148"/>
      <c r="AS136" s="150"/>
      <c r="AT136" s="150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150"/>
      <c r="AQ163" s="150"/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150"/>
      <c r="AQ165" s="150"/>
      <c r="AR165" s="150"/>
      <c r="AS165" s="150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150"/>
      <c r="AQ177" s="150"/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150"/>
      <c r="AQ188" s="150"/>
      <c r="AR188" s="150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150"/>
      <c r="AQ191" s="150"/>
      <c r="AR191" s="150"/>
      <c r="AS191" s="150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150"/>
      <c r="AQ192" s="150"/>
      <c r="AR192" s="150"/>
      <c r="AS192" s="150"/>
      <c r="AT192" s="150"/>
      <c r="AU192" s="150"/>
      <c r="AV192" s="150"/>
      <c r="AW192" s="150"/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150"/>
      <c r="AQ193" s="150"/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150"/>
      <c r="AQ197" s="150"/>
      <c r="AR197" s="150"/>
      <c r="AS197" s="150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150"/>
      <c r="AQ199" s="150"/>
      <c r="AR199" s="150"/>
      <c r="AS199" s="150"/>
      <c r="AT199" s="150"/>
      <c r="AU199" s="150"/>
      <c r="AV199" s="150"/>
      <c r="AW199" s="150"/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150"/>
      <c r="AQ204" s="150"/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150"/>
      <c r="AQ205" s="150"/>
      <c r="AR205" s="150"/>
      <c r="AS205" s="150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150"/>
      <c r="AQ207" s="150"/>
      <c r="AR207" s="150"/>
      <c r="AS207" s="150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150"/>
      <c r="AQ208" s="150"/>
      <c r="AR208" s="150"/>
      <c r="AS208" s="150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150"/>
      <c r="AQ216" s="150"/>
      <c r="AR216" s="150"/>
      <c r="AS216" s="150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150"/>
      <c r="AQ218" s="150"/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150"/>
      <c r="AQ219" s="150"/>
      <c r="AR219" s="150"/>
      <c r="AS219" s="150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150"/>
      <c r="AQ220" s="150"/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150"/>
      <c r="AQ221" s="150"/>
      <c r="AR221" s="150"/>
      <c r="AS221" s="150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150"/>
      <c r="AQ222" s="150"/>
      <c r="AR222" s="150"/>
      <c r="AS222" s="150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150"/>
      <c r="AQ223" s="150"/>
      <c r="AR223" s="150"/>
      <c r="AS223" s="150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150"/>
      <c r="AQ224" s="150"/>
      <c r="AR224" s="150"/>
      <c r="AS224" s="150"/>
      <c r="AT224" s="150"/>
      <c r="AU224" s="150"/>
      <c r="AV224" s="150"/>
      <c r="AW224" s="150"/>
      <c r="AX224" s="150"/>
      <c r="AY224" s="150"/>
      <c r="AZ224" s="150"/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150"/>
      <c r="AQ225" s="150"/>
      <c r="AR225" s="150"/>
      <c r="AS225" s="150"/>
      <c r="AT225" s="150"/>
      <c r="AU225" s="150"/>
      <c r="AV225" s="150"/>
      <c r="AW225" s="150"/>
      <c r="AX225" s="150"/>
      <c r="AY225" s="150"/>
      <c r="AZ225" s="150"/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150"/>
      <c r="AQ226" s="150"/>
      <c r="AR226" s="150"/>
      <c r="AS226" s="150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150"/>
      <c r="AQ227" s="150"/>
      <c r="AR227" s="150"/>
      <c r="AS227" s="150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150"/>
      <c r="AQ228" s="150"/>
      <c r="AR228" s="150"/>
      <c r="AS228" s="150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0"/>
      <c r="AU229" s="150"/>
      <c r="AV229" s="150"/>
      <c r="AW229" s="150"/>
      <c r="AX229" s="150"/>
      <c r="AY229" s="150"/>
      <c r="AZ229" s="150"/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50"/>
      <c r="BF240" s="150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150"/>
      <c r="AJ246" s="150"/>
      <c r="AK246" s="150"/>
      <c r="AL246" s="150"/>
      <c r="AM246" s="150"/>
      <c r="AN246" s="150"/>
      <c r="AO246" s="150"/>
      <c r="AP246" s="150"/>
      <c r="AQ246" s="150"/>
      <c r="AR246" s="150"/>
      <c r="AS246" s="150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150"/>
      <c r="AJ248" s="150"/>
      <c r="AK248" s="150"/>
      <c r="AL248" s="150"/>
      <c r="AM248" s="150"/>
      <c r="AN248" s="150"/>
      <c r="AO248" s="150"/>
      <c r="AP248" s="150"/>
      <c r="AQ248" s="150"/>
      <c r="AR248" s="150"/>
      <c r="AS248" s="150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0"/>
      <c r="AU249" s="150"/>
      <c r="AV249" s="150"/>
      <c r="AW249" s="150"/>
      <c r="AX249" s="150"/>
      <c r="AY249" s="150"/>
      <c r="AZ249" s="150"/>
      <c r="BA249" s="150"/>
      <c r="BB249" s="150"/>
      <c r="BC249" s="150"/>
      <c r="BD249" s="150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150"/>
      <c r="AJ250" s="150"/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/>
      <c r="BD250" s="150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150"/>
      <c r="AJ251" s="150"/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/>
      <c r="BD251" s="150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/>
      <c r="BD254" s="150"/>
      <c r="BE254" s="150"/>
      <c r="BF254" s="150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  <c r="AM259" s="150"/>
      <c r="AN259" s="150"/>
      <c r="AO259" s="150"/>
      <c r="AP259" s="150"/>
      <c r="AQ259" s="150"/>
      <c r="AR259" s="150"/>
      <c r="AS259" s="150"/>
      <c r="AT259" s="150"/>
      <c r="AU259" s="150"/>
      <c r="AV259" s="150"/>
      <c r="AW259" s="150"/>
      <c r="AX259" s="150"/>
      <c r="AY259" s="150"/>
      <c r="AZ259" s="150"/>
      <c r="BA259" s="150"/>
      <c r="BB259" s="150"/>
      <c r="BC259" s="150"/>
      <c r="BD259" s="150"/>
      <c r="BE259" s="150"/>
      <c r="BF259" s="150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150"/>
      <c r="AJ264" s="150"/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/>
      <c r="BD264" s="150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/>
      <c r="BD266" s="150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/>
      <c r="BD268" s="150"/>
      <c r="BE268" s="150"/>
      <c r="BF268" s="150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/>
      <c r="BD270" s="150"/>
      <c r="BE270" s="150"/>
      <c r="BF270" s="150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0"/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</mergeCells>
  <dataValidations count="14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list" allowBlank="1" showInputMessage="1" prompt=" - " sqref="AA29:AA48" xr:uid="{00000000-0002-0000-0200-000002000000}">
      <formula1>$AA$55:$AA$70</formula1>
    </dataValidation>
    <dataValidation type="list" allowBlank="1" showInputMessage="1" prompt=" - " sqref="AC29:AC48" xr:uid="{00000000-0002-0000-0200-000003000000}">
      <formula1>$AN$55:$AN$70</formula1>
    </dataValidation>
    <dataValidation type="decimal" allowBlank="1" showInputMessage="1" prompt=" - " sqref="T29:U48" xr:uid="{00000000-0002-0000-0200-000004000000}">
      <formula1>1</formula1>
      <formula2>200</formula2>
    </dataValidation>
    <dataValidation type="decimal" operator="greaterThan" allowBlank="1" showInputMessage="1" prompt=" - " sqref="D7" xr:uid="{00000000-0002-0000-0200-000005000000}">
      <formula1>0</formula1>
    </dataValidation>
    <dataValidation type="decimal" allowBlank="1" showInputMessage="1" prompt=" - " sqref="V29:W48" xr:uid="{00000000-0002-0000-0200-000006000000}">
      <formula1>0</formula1>
      <formula2>180</formula2>
    </dataValidation>
    <dataValidation type="list" allowBlank="1" showInputMessage="1" prompt=" - " sqref="F29:F48" xr:uid="{00000000-0002-0000-0200-000007000000}">
      <formula1>$C$56:$C$89</formula1>
    </dataValidation>
    <dataValidation type="list" allowBlank="1" showInputMessage="1" prompt=" - " sqref="N29:N48" xr:uid="{00000000-0002-0000-0200-000008000000}">
      <formula1>$R$55:$R$67</formula1>
    </dataValidation>
    <dataValidation type="list" allowBlank="1" showInputMessage="1" showErrorMessage="1" prompt=" - " sqref="K7" xr:uid="{00000000-0002-0000-0200-000009000000}">
      <formula1>$AB$75:$AB$95</formula1>
    </dataValidation>
    <dataValidation type="list" allowBlank="1" showInputMessage="1" prompt=" - " sqref="R5" xr:uid="{00000000-0002-0000-0200-00000A000000}">
      <formula1>$F$93:$F$96</formula1>
    </dataValidation>
    <dataValidation type="decimal" allowBlank="1" showInputMessage="1" prompt=" - " sqref="I29:I48" xr:uid="{00000000-0002-0000-0200-00000B000000}">
      <formula1>1</formula1>
      <formula2>100</formula2>
    </dataValidation>
    <dataValidation type="date" operator="greaterThanOrEqual" allowBlank="1" showInputMessage="1" prompt=" - " sqref="K6" xr:uid="{00000000-0002-0000-0200-00000C000000}">
      <formula1>K5</formula1>
    </dataValidation>
    <dataValidation type="decimal" allowBlank="1" showInputMessage="1" prompt=" - " sqref="Q29:S48" xr:uid="{00000000-0002-0000-0200-00000D000000}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4" width="7.5703125" customWidth="1"/>
    <col min="5" max="5" width="4.28515625" customWidth="1"/>
    <col min="6" max="6" width="13.42578125" customWidth="1"/>
    <col min="7" max="7" width="4.85546875" customWidth="1"/>
    <col min="8" max="8" width="6.42578125" customWidth="1"/>
    <col min="9" max="9" width="8.5703125" customWidth="1"/>
    <col min="10" max="10" width="7.5703125" customWidth="1"/>
    <col min="11" max="11" width="5.5703125" customWidth="1"/>
    <col min="12" max="12" width="6.42578125" customWidth="1"/>
    <col min="13" max="13" width="6.5703125" customWidth="1"/>
    <col min="14" max="14" width="6.42578125" customWidth="1"/>
    <col min="15" max="15" width="5.85546875" customWidth="1"/>
    <col min="16" max="16" width="11.5703125" customWidth="1"/>
    <col min="17" max="17" width="7.5703125" customWidth="1"/>
    <col min="18" max="18" width="9.42578125" customWidth="1"/>
    <col min="19" max="19" width="10.5703125" bestFit="1" customWidth="1"/>
    <col min="20" max="22" width="5.570312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4" width="7.140625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36" t="s">
        <v>213</v>
      </c>
      <c r="AH2" s="736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36" t="s">
        <v>190</v>
      </c>
      <c r="AE3" s="736"/>
      <c r="AF3" s="736"/>
      <c r="AG3" s="736"/>
      <c r="AH3" s="736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x14ac:dyDescent="0.2">
      <c r="B5" s="706" t="s">
        <v>4</v>
      </c>
      <c r="C5" s="707"/>
      <c r="D5" s="707"/>
      <c r="E5" s="708"/>
      <c r="F5" s="129" t="str">
        <f>+'Diseño 2"'!D5</f>
        <v>ACHS EDIFICIO K1</v>
      </c>
      <c r="G5" s="130"/>
      <c r="H5" s="130"/>
      <c r="I5" s="130"/>
      <c r="J5" s="130"/>
      <c r="K5" s="130"/>
      <c r="L5" s="130"/>
      <c r="M5" s="130"/>
      <c r="N5" s="130"/>
      <c r="O5" s="131"/>
      <c r="P5" s="709" t="s">
        <v>5</v>
      </c>
      <c r="Q5" s="709"/>
      <c r="R5" s="710"/>
      <c r="S5" s="144">
        <f>+'Diseño 2"'!K5</f>
        <v>45875</v>
      </c>
      <c r="T5" s="145"/>
      <c r="U5" s="145"/>
      <c r="V5" s="146"/>
      <c r="W5" s="711" t="s">
        <v>6</v>
      </c>
      <c r="X5" s="712"/>
      <c r="Y5" s="709"/>
      <c r="Z5" s="709"/>
      <c r="AA5" s="709"/>
      <c r="AB5" s="709"/>
      <c r="AC5" s="709"/>
      <c r="AD5" s="709"/>
      <c r="AE5" s="709"/>
      <c r="AF5" s="709"/>
      <c r="AG5" s="709"/>
      <c r="AH5" s="713"/>
      <c r="AI5" s="5"/>
      <c r="AJ5" s="5"/>
      <c r="AK5" s="5"/>
      <c r="AL5" s="5"/>
      <c r="AM5" s="5"/>
    </row>
    <row r="6" spans="2:39" ht="15" customHeight="1" x14ac:dyDescent="0.2">
      <c r="B6" s="688" t="s">
        <v>7</v>
      </c>
      <c r="C6" s="689"/>
      <c r="D6" s="689"/>
      <c r="E6" s="690"/>
      <c r="F6" s="132">
        <f>+'Diseño 2"'!D6</f>
        <v>13817</v>
      </c>
      <c r="G6" s="133"/>
      <c r="H6" s="133"/>
      <c r="I6" s="133"/>
      <c r="J6" s="133"/>
      <c r="K6" s="133"/>
      <c r="L6" s="133"/>
      <c r="M6" s="133"/>
      <c r="N6" s="133"/>
      <c r="O6" s="134"/>
      <c r="P6" s="691" t="s">
        <v>221</v>
      </c>
      <c r="Q6" s="691"/>
      <c r="R6" s="691"/>
      <c r="S6" s="714"/>
      <c r="T6" s="714"/>
      <c r="U6" s="714"/>
      <c r="V6" s="714"/>
      <c r="W6" s="715" t="s">
        <v>191</v>
      </c>
      <c r="X6" s="716"/>
      <c r="Y6" s="716"/>
      <c r="Z6" s="716"/>
      <c r="AA6" s="716"/>
      <c r="AB6" s="716"/>
      <c r="AC6" s="716"/>
      <c r="AD6" s="716"/>
      <c r="AE6" s="716"/>
      <c r="AF6" s="716"/>
      <c r="AG6" s="716"/>
      <c r="AH6" s="717"/>
      <c r="AI6" s="5"/>
      <c r="AJ6" s="5"/>
      <c r="AK6" s="5"/>
      <c r="AL6" s="5"/>
      <c r="AM6" s="5"/>
    </row>
    <row r="7" spans="2:39" ht="15" customHeight="1" x14ac:dyDescent="0.2">
      <c r="B7" s="688" t="s">
        <v>9</v>
      </c>
      <c r="C7" s="689"/>
      <c r="D7" s="689"/>
      <c r="E7" s="690"/>
      <c r="F7" s="135">
        <f>+'Diseño 2"'!D7</f>
        <v>25</v>
      </c>
      <c r="G7" s="136"/>
      <c r="H7" s="136"/>
      <c r="I7" s="136"/>
      <c r="J7" s="136"/>
      <c r="K7" s="136"/>
      <c r="L7" s="136"/>
      <c r="M7" s="136"/>
      <c r="N7" s="136"/>
      <c r="O7" s="137"/>
      <c r="P7" s="691" t="s">
        <v>222</v>
      </c>
      <c r="Q7" s="691"/>
      <c r="R7" s="691"/>
      <c r="S7" s="762"/>
      <c r="T7" s="762"/>
      <c r="U7" s="762"/>
      <c r="V7" s="762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">
      <c r="B8" s="688" t="s">
        <v>193</v>
      </c>
      <c r="C8" s="689"/>
      <c r="D8" s="689"/>
      <c r="E8" s="690"/>
      <c r="F8" s="297">
        <f>+'Diseño 2"'!K7</f>
        <v>0</v>
      </c>
      <c r="G8" s="139"/>
      <c r="H8" s="139"/>
      <c r="I8" s="139"/>
      <c r="J8" s="139"/>
      <c r="K8" s="139"/>
      <c r="L8" s="139"/>
      <c r="M8" s="139"/>
      <c r="N8" s="139"/>
      <c r="O8" s="140"/>
      <c r="P8" s="691" t="s">
        <v>223</v>
      </c>
      <c r="Q8" s="691"/>
      <c r="R8" s="691"/>
      <c r="S8" s="269">
        <f>+'Diseño 2"'!K6</f>
        <v>45876</v>
      </c>
      <c r="T8" s="270"/>
      <c r="U8" s="270"/>
      <c r="V8" s="265"/>
      <c r="W8" s="67">
        <f>SUMIFS('Diseño 1"'!AN29:AN48,'Diseño 1"'!AJ29:AJ48,0.5)</f>
        <v>0.62120596495023128</v>
      </c>
      <c r="X8" s="123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0.62120596495023128</v>
      </c>
      <c r="AI8" s="5"/>
      <c r="AJ8" s="5"/>
      <c r="AK8" s="5"/>
      <c r="AL8" s="5"/>
      <c r="AM8" s="5"/>
    </row>
    <row r="9" spans="2:39" ht="15" customHeight="1" thickBot="1" x14ac:dyDescent="0.25">
      <c r="B9" s="693" t="s">
        <v>224</v>
      </c>
      <c r="C9" s="694"/>
      <c r="D9" s="694"/>
      <c r="E9" s="695"/>
      <c r="F9" s="141"/>
      <c r="G9" s="142"/>
      <c r="H9" s="142"/>
      <c r="I9" s="142"/>
      <c r="J9" s="142"/>
      <c r="K9" s="142"/>
      <c r="L9" s="142"/>
      <c r="M9" s="142"/>
      <c r="N9" s="142"/>
      <c r="O9" s="143"/>
      <c r="P9" s="696" t="s">
        <v>218</v>
      </c>
      <c r="Q9" s="696"/>
      <c r="R9" s="696"/>
      <c r="S9" s="697"/>
      <c r="T9" s="697"/>
      <c r="U9" s="697"/>
      <c r="V9" s="697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4"/>
      <c r="AA10" s="4"/>
      <c r="AB10" s="4"/>
      <c r="AC10" s="4"/>
      <c r="AD10" s="4"/>
      <c r="AE10" s="4"/>
      <c r="AF10" s="4"/>
      <c r="AG10" s="734" t="s">
        <v>214</v>
      </c>
      <c r="AH10" s="735"/>
      <c r="AI10" s="5"/>
      <c r="AJ10" s="5"/>
      <c r="AK10" s="5"/>
      <c r="AL10" s="5"/>
      <c r="AM10" s="5"/>
    </row>
    <row r="11" spans="2:39" ht="33" customHeight="1" thickBot="1" x14ac:dyDescent="0.25">
      <c r="B11" s="285" t="s">
        <v>195</v>
      </c>
      <c r="C11" s="698" t="s">
        <v>61</v>
      </c>
      <c r="D11" s="699"/>
      <c r="E11" s="285" t="s">
        <v>60</v>
      </c>
      <c r="F11" s="698" t="s">
        <v>62</v>
      </c>
      <c r="G11" s="699"/>
      <c r="H11" s="698" t="s">
        <v>63</v>
      </c>
      <c r="I11" s="699"/>
      <c r="J11" s="285" t="s">
        <v>21</v>
      </c>
      <c r="K11" s="698" t="s">
        <v>196</v>
      </c>
      <c r="L11" s="699"/>
      <c r="M11" s="285" t="s">
        <v>66</v>
      </c>
      <c r="N11" s="285" t="s">
        <v>67</v>
      </c>
      <c r="O11" s="698" t="s">
        <v>68</v>
      </c>
      <c r="P11" s="699"/>
      <c r="Q11" s="698" t="s">
        <v>197</v>
      </c>
      <c r="R11" s="699"/>
      <c r="S11" s="285" t="s">
        <v>69</v>
      </c>
      <c r="T11" s="286" t="s">
        <v>70</v>
      </c>
      <c r="U11" s="286" t="s">
        <v>70</v>
      </c>
      <c r="V11" s="286" t="s">
        <v>71</v>
      </c>
      <c r="W11" s="285" t="s">
        <v>72</v>
      </c>
      <c r="X11" s="698" t="s">
        <v>76</v>
      </c>
      <c r="Y11" s="699"/>
      <c r="Z11" s="698" t="s">
        <v>77</v>
      </c>
      <c r="AA11" s="699"/>
      <c r="AB11" s="98" t="s">
        <v>198</v>
      </c>
      <c r="AC11" s="147" t="s">
        <v>79</v>
      </c>
      <c r="AD11" s="698" t="s">
        <v>199</v>
      </c>
      <c r="AE11" s="699"/>
      <c r="AF11" s="285" t="s">
        <v>191</v>
      </c>
      <c r="AG11" s="288" t="s">
        <v>216</v>
      </c>
      <c r="AH11" s="288" t="s">
        <v>215</v>
      </c>
      <c r="AI11" s="5"/>
      <c r="AJ11" s="5"/>
      <c r="AK11" s="3"/>
      <c r="AL11" s="3"/>
      <c r="AM11" s="3"/>
    </row>
    <row r="12" spans="2:39" ht="15" customHeight="1" x14ac:dyDescent="0.2">
      <c r="B12" s="272">
        <v>1</v>
      </c>
      <c r="C12" s="765" t="str">
        <f>IF('Diseño 2"'!B29="","",'Diseño 2"'!B29)</f>
        <v/>
      </c>
      <c r="D12" s="764"/>
      <c r="E12" s="273" t="str">
        <f>IF('Diseño 2"'!C29=0,"",'Diseño 2"'!C29)</f>
        <v/>
      </c>
      <c r="F12" s="765" t="str">
        <f>IF('Diseño 2"'!D29="","",'Diseño 2"'!D29)</f>
        <v/>
      </c>
      <c r="G12" s="764"/>
      <c r="H12" s="704" t="str">
        <f>IF('Diseño 2"'!F29="","",'Diseño 2"'!F29)</f>
        <v/>
      </c>
      <c r="I12" s="705"/>
      <c r="J12" s="274" t="str">
        <f>IF(H12="","",'Diseño 2"'!I29)</f>
        <v/>
      </c>
      <c r="K12" s="266"/>
      <c r="L12" s="266" t="str">
        <f>IF('Diseño 2"'!K29="","",'Diseño 2"'!K29)</f>
        <v/>
      </c>
      <c r="M12" s="266">
        <f>'Diseño 2"'!L29</f>
        <v>0</v>
      </c>
      <c r="N12" s="266" t="str">
        <f>IF('Diseño 2"'!M29="","",'Diseño 2"'!M29)</f>
        <v/>
      </c>
      <c r="O12" s="763" t="str">
        <f>IF('Diseño 2"'!N29="","",'Diseño 2"'!N29)</f>
        <v/>
      </c>
      <c r="P12" s="764"/>
      <c r="Q12" s="266" t="str">
        <f>IF('Diseño 2"'!Q29="","",'Diseño 2"'!Q29)</f>
        <v/>
      </c>
      <c r="R12" s="266" t="str">
        <f>IF('Diseño 2"'!R29="","",'Diseño 2"'!R29)</f>
        <v/>
      </c>
      <c r="S12" s="266" t="str">
        <f>IF('Diseño 2"'!S29="","",'Diseño 2"'!S29)</f>
        <v/>
      </c>
      <c r="T12" s="266" t="str">
        <f>IF('Diseño 2"'!T29="","",'Diseño 2"'!T29)</f>
        <v/>
      </c>
      <c r="U12" s="266" t="str">
        <f>IF('Diseño 2"'!U29="","",'Diseño 2"'!U29)</f>
        <v/>
      </c>
      <c r="V12" s="275" t="str">
        <f>IF('Diseño 2"'!V29="","",'Diseño 2"'!V29)</f>
        <v/>
      </c>
      <c r="W12" s="276">
        <f>'Diseño 2"'!W29</f>
        <v>0</v>
      </c>
      <c r="X12" s="700" t="str">
        <f>IF('Diseño 2"'!AA29="","",'Diseño 2"'!AA29)</f>
        <v/>
      </c>
      <c r="Y12" s="705"/>
      <c r="Z12" s="700" t="str">
        <f>IF('Diseño 2"'!AC29="","",'Diseño 2"'!AC29)</f>
        <v/>
      </c>
      <c r="AA12" s="705"/>
      <c r="AB12" s="23" t="str">
        <f>IF('Diseño 2"'!AE29=TRUE,0.5,"")</f>
        <v/>
      </c>
      <c r="AC12" s="100" t="str">
        <f>IF('Diseño 2"'!AF29="","",'Diseño 2"'!AF29)</f>
        <v/>
      </c>
      <c r="AD12" s="279" t="str">
        <f>'Diseño 2"'!AJ29</f>
        <v/>
      </c>
      <c r="AE12" s="280" t="str">
        <f>'Diseño 2"'!AK29</f>
        <v/>
      </c>
      <c r="AF12" s="281" t="str">
        <f>IF('Diseño 2"'!AN29="","",'Diseño 2"'!AN29)</f>
        <v/>
      </c>
      <c r="AG12" s="282"/>
      <c r="AH12" s="283"/>
      <c r="AI12" s="25"/>
      <c r="AJ12" s="25"/>
      <c r="AK12" s="5"/>
      <c r="AL12" s="5"/>
      <c r="AM12" s="5"/>
    </row>
    <row r="13" spans="2:39" ht="15" customHeight="1" x14ac:dyDescent="0.2">
      <c r="B13" s="99">
        <v>2</v>
      </c>
      <c r="C13" s="757" t="str">
        <f>IF('Diseño 2"'!B30="","",'Diseño 2"'!B30)</f>
        <v/>
      </c>
      <c r="D13" s="756"/>
      <c r="E13" s="19" t="str">
        <f>IF('Diseño 2"'!C30=0,"",'Diseño 2"'!C30)</f>
        <v/>
      </c>
      <c r="F13" s="757" t="str">
        <f>IF('Diseño 2"'!D30="","",'Diseño 2"'!D30)</f>
        <v>Edific torre k1</v>
      </c>
      <c r="G13" s="756"/>
      <c r="H13" s="676" t="str">
        <f>IF('Diseño 2"'!F30="","",'Diseño 2"'!F30)</f>
        <v/>
      </c>
      <c r="I13" s="677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55" t="str">
        <f>IF('Diseño 2"'!N30="","",'Diseño 2"'!N30)</f>
        <v/>
      </c>
      <c r="P13" s="756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78" t="str">
        <f>IF('Diseño 2"'!AA30="","",'Diseño 2"'!AA30)</f>
        <v/>
      </c>
      <c r="Y13" s="677"/>
      <c r="Z13" s="678" t="str">
        <f>IF('Diseño 2"'!AC30="","",'Diseño 2"'!AC30)</f>
        <v/>
      </c>
      <c r="AA13" s="677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67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">
      <c r="B14" s="99">
        <v>3</v>
      </c>
      <c r="C14" s="757" t="str">
        <f>IF('Diseño 2"'!B31="","",'Diseño 2"'!B31)</f>
        <v/>
      </c>
      <c r="D14" s="756"/>
      <c r="E14" s="19" t="str">
        <f>IF('Diseño 2"'!C31=0,"",'Diseño 2"'!C31)</f>
        <v/>
      </c>
      <c r="F14" s="757" t="str">
        <f>IF('Diseño 2"'!D31="","",'Diseño 2"'!D31)</f>
        <v>Edific torre k1</v>
      </c>
      <c r="G14" s="756"/>
      <c r="H14" s="676" t="str">
        <f>IF('Diseño 2"'!F31="","",'Diseño 2"'!F31)</f>
        <v/>
      </c>
      <c r="I14" s="677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55" t="str">
        <f>IF('Diseño 2"'!N31="","",'Diseño 2"'!N31)</f>
        <v/>
      </c>
      <c r="P14" s="756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78" t="str">
        <f>IF('Diseño 2"'!AA31="","",'Diseño 2"'!AA31)</f>
        <v/>
      </c>
      <c r="Y14" s="677"/>
      <c r="Z14" s="678" t="str">
        <f>IF('Diseño 2"'!AC31="","",'Diseño 2"'!AC31)</f>
        <v/>
      </c>
      <c r="AA14" s="677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67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">
      <c r="B15" s="99">
        <v>4</v>
      </c>
      <c r="C15" s="757" t="str">
        <f>IF('Diseño 2"'!B32="","",'Diseño 2"'!B32)</f>
        <v/>
      </c>
      <c r="D15" s="756"/>
      <c r="E15" s="19" t="str">
        <f>IF('Diseño 2"'!C32=0,"",'Diseño 2"'!C32)</f>
        <v/>
      </c>
      <c r="F15" s="757" t="str">
        <f>IF('Diseño 2"'!D32="","",'Diseño 2"'!D32)</f>
        <v>Edific torre k1</v>
      </c>
      <c r="G15" s="756"/>
      <c r="H15" s="676" t="str">
        <f>IF('Diseño 2"'!F32="","",'Diseño 2"'!F32)</f>
        <v/>
      </c>
      <c r="I15" s="677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55" t="str">
        <f>IF('Diseño 2"'!N32="","",'Diseño 2"'!N32)</f>
        <v/>
      </c>
      <c r="P15" s="756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78" t="str">
        <f>IF('Diseño 2"'!AA32="","",'Diseño 2"'!AA32)</f>
        <v/>
      </c>
      <c r="Y15" s="677"/>
      <c r="Z15" s="678" t="str">
        <f>IF('Diseño 2"'!AC32="","",'Diseño 2"'!AC32)</f>
        <v/>
      </c>
      <c r="AA15" s="677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67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">
      <c r="B16" s="99">
        <v>5</v>
      </c>
      <c r="C16" s="757" t="str">
        <f>IF('Diseño 2"'!B33="","",'Diseño 2"'!B33)</f>
        <v/>
      </c>
      <c r="D16" s="756"/>
      <c r="E16" s="19" t="str">
        <f>IF('Diseño 2"'!C33=0,"",'Diseño 2"'!C33)</f>
        <v/>
      </c>
      <c r="F16" s="757" t="str">
        <f>IF('Diseño 2"'!D33="","",'Diseño 2"'!D33)</f>
        <v/>
      </c>
      <c r="G16" s="756"/>
      <c r="H16" s="676" t="str">
        <f>IF('Diseño 2"'!F33="","",'Diseño 2"'!F33)</f>
        <v/>
      </c>
      <c r="I16" s="677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55" t="str">
        <f>IF('Diseño 2"'!N33="","",'Diseño 2"'!N33)</f>
        <v/>
      </c>
      <c r="P16" s="756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78" t="str">
        <f>IF('Diseño 2"'!AA33="","",'Diseño 2"'!AA33)</f>
        <v/>
      </c>
      <c r="Y16" s="677"/>
      <c r="Z16" s="678" t="str">
        <f>IF('Diseño 2"'!AC33="","",'Diseño 2"'!AC33)</f>
        <v/>
      </c>
      <c r="AA16" s="677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67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">
      <c r="B17" s="99">
        <v>6</v>
      </c>
      <c r="C17" s="757" t="str">
        <f>IF('Diseño 2"'!B34="","",'Diseño 2"'!B34)</f>
        <v/>
      </c>
      <c r="D17" s="756"/>
      <c r="E17" s="19" t="str">
        <f>IF('Diseño 2"'!C34=0,"",'Diseño 2"'!C34)</f>
        <v/>
      </c>
      <c r="F17" s="757" t="str">
        <f>IF('Diseño 2"'!D34="","",'Diseño 2"'!D34)</f>
        <v/>
      </c>
      <c r="G17" s="756"/>
      <c r="H17" s="676" t="str">
        <f>IF('Diseño 2"'!F34="","",'Diseño 2"'!F34)</f>
        <v/>
      </c>
      <c r="I17" s="677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55" t="str">
        <f>IF('Diseño 2"'!N34="","",'Diseño 2"'!N34)</f>
        <v/>
      </c>
      <c r="P17" s="756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78" t="str">
        <f>IF('Diseño 2"'!AA34="","",'Diseño 2"'!AA34)</f>
        <v/>
      </c>
      <c r="Y17" s="677"/>
      <c r="Z17" s="678" t="str">
        <f>IF('Diseño 2"'!AC34="","",'Diseño 2"'!AC34)</f>
        <v/>
      </c>
      <c r="AA17" s="677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67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">
      <c r="B18" s="99">
        <v>7</v>
      </c>
      <c r="C18" s="757" t="str">
        <f>IF('Diseño 2"'!B35="","",'Diseño 2"'!B35)</f>
        <v/>
      </c>
      <c r="D18" s="756"/>
      <c r="E18" s="19" t="str">
        <f>IF('Diseño 2"'!C35=0,"",'Diseño 2"'!C35)</f>
        <v/>
      </c>
      <c r="F18" s="757" t="str">
        <f>IF('Diseño 2"'!D35="","",'Diseño 2"'!D35)</f>
        <v/>
      </c>
      <c r="G18" s="756"/>
      <c r="H18" s="676" t="str">
        <f>IF('Diseño 2"'!F35="","",'Diseño 2"'!F35)</f>
        <v/>
      </c>
      <c r="I18" s="677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55" t="str">
        <f>IF('Diseño 2"'!N35="","",'Diseño 2"'!N35)</f>
        <v/>
      </c>
      <c r="P18" s="756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78" t="str">
        <f>IF('Diseño 2"'!AA35="","",'Diseño 2"'!AA35)</f>
        <v/>
      </c>
      <c r="Y18" s="677"/>
      <c r="Z18" s="678" t="str">
        <f>IF('Diseño 2"'!AC35="","",'Diseño 2"'!AC35)</f>
        <v/>
      </c>
      <c r="AA18" s="677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67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">
      <c r="B19" s="99">
        <v>8</v>
      </c>
      <c r="C19" s="757" t="str">
        <f>IF('Diseño 2"'!B36="","",'Diseño 2"'!B36)</f>
        <v/>
      </c>
      <c r="D19" s="756"/>
      <c r="E19" s="19" t="str">
        <f>IF('Diseño 2"'!C36=0,"",'Diseño 2"'!C36)</f>
        <v/>
      </c>
      <c r="F19" s="757" t="str">
        <f>IF('Diseño 2"'!D36="","",'Diseño 2"'!D36)</f>
        <v/>
      </c>
      <c r="G19" s="756"/>
      <c r="H19" s="676" t="str">
        <f>IF('Diseño 2"'!F36="","",'Diseño 2"'!F36)</f>
        <v/>
      </c>
      <c r="I19" s="677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55" t="str">
        <f>IF('Diseño 2"'!N36="","",'Diseño 2"'!N36)</f>
        <v/>
      </c>
      <c r="P19" s="756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78" t="str">
        <f>IF('Diseño 2"'!AA36="","",'Diseño 2"'!AA36)</f>
        <v/>
      </c>
      <c r="Y19" s="677"/>
      <c r="Z19" s="678" t="str">
        <f>IF('Diseño 2"'!AC36="","",'Diseño 2"'!AC36)</f>
        <v/>
      </c>
      <c r="AA19" s="677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67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">
      <c r="B20" s="99">
        <v>9</v>
      </c>
      <c r="C20" s="757" t="str">
        <f>IF('Diseño 2"'!B37="","",'Diseño 2"'!B37)</f>
        <v/>
      </c>
      <c r="D20" s="756"/>
      <c r="E20" s="19" t="str">
        <f>IF('Diseño 2"'!C37=0,"",'Diseño 2"'!C37)</f>
        <v/>
      </c>
      <c r="F20" s="757" t="str">
        <f>IF('Diseño 2"'!D37="","",'Diseño 2"'!D37)</f>
        <v/>
      </c>
      <c r="G20" s="756"/>
      <c r="H20" s="676" t="str">
        <f>IF('Diseño 2"'!F37="","",'Diseño 2"'!F37)</f>
        <v/>
      </c>
      <c r="I20" s="677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55" t="str">
        <f>IF('Diseño 2"'!N37="","",'Diseño 2"'!N37)</f>
        <v/>
      </c>
      <c r="P20" s="756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78" t="str">
        <f>IF('Diseño 2"'!AA37="","",'Diseño 2"'!AA37)</f>
        <v/>
      </c>
      <c r="Y20" s="677"/>
      <c r="Z20" s="678" t="str">
        <f>IF('Diseño 2"'!AC37="","",'Diseño 2"'!AC37)</f>
        <v/>
      </c>
      <c r="AA20" s="677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67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">
      <c r="B21" s="99">
        <v>10</v>
      </c>
      <c r="C21" s="757" t="str">
        <f>IF('Diseño 2"'!B38="","",'Diseño 2"'!B38)</f>
        <v/>
      </c>
      <c r="D21" s="756"/>
      <c r="E21" s="19" t="str">
        <f>IF('Diseño 2"'!C38=0,"",'Diseño 2"'!C38)</f>
        <v/>
      </c>
      <c r="F21" s="757" t="str">
        <f>IF('Diseño 2"'!D38="","",'Diseño 2"'!D38)</f>
        <v/>
      </c>
      <c r="G21" s="756"/>
      <c r="H21" s="676" t="str">
        <f>IF('Diseño 2"'!F38="","",'Diseño 2"'!F38)</f>
        <v/>
      </c>
      <c r="I21" s="677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55" t="str">
        <f>IF('Diseño 2"'!N38="","",'Diseño 2"'!N38)</f>
        <v/>
      </c>
      <c r="P21" s="756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78" t="str">
        <f>IF('Diseño 2"'!AA38="","",'Diseño 2"'!AA38)</f>
        <v/>
      </c>
      <c r="Y21" s="677"/>
      <c r="Z21" s="678" t="str">
        <f>IF('Diseño 2"'!AC38="","",'Diseño 2"'!AC38)</f>
        <v/>
      </c>
      <c r="AA21" s="677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67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">
      <c r="B22" s="99">
        <v>11</v>
      </c>
      <c r="C22" s="757" t="str">
        <f>IF('Diseño 2"'!B39="","",'Diseño 2"'!B39)</f>
        <v/>
      </c>
      <c r="D22" s="756"/>
      <c r="E22" s="19" t="str">
        <f>IF('Diseño 2"'!C39=0,"",'Diseño 2"'!C39)</f>
        <v/>
      </c>
      <c r="F22" s="757" t="str">
        <f>IF('Diseño 2"'!D39="","",'Diseño 2"'!D39)</f>
        <v/>
      </c>
      <c r="G22" s="756"/>
      <c r="H22" s="676" t="str">
        <f>IF('Diseño 2"'!F39="","",'Diseño 2"'!F39)</f>
        <v/>
      </c>
      <c r="I22" s="677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55" t="str">
        <f>IF('Diseño 2"'!N39="","",'Diseño 2"'!N39)</f>
        <v/>
      </c>
      <c r="P22" s="756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78" t="str">
        <f>IF('Diseño 2"'!AA39="","",'Diseño 2"'!AA39)</f>
        <v/>
      </c>
      <c r="Y22" s="677"/>
      <c r="Z22" s="678" t="str">
        <f>IF('Diseño 2"'!AC39="","",'Diseño 2"'!AC39)</f>
        <v/>
      </c>
      <c r="AA22" s="677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67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">
      <c r="B23" s="99">
        <v>12</v>
      </c>
      <c r="C23" s="757" t="str">
        <f>IF('Diseño 2"'!B40="","",'Diseño 2"'!B40)</f>
        <v/>
      </c>
      <c r="D23" s="756"/>
      <c r="E23" s="19" t="str">
        <f>IF('Diseño 2"'!C40=0,"",'Diseño 2"'!C40)</f>
        <v/>
      </c>
      <c r="F23" s="757" t="str">
        <f>IF('Diseño 2"'!D40="","",'Diseño 2"'!D40)</f>
        <v/>
      </c>
      <c r="G23" s="756"/>
      <c r="H23" s="676" t="str">
        <f>IF('Diseño 2"'!F40="","",'Diseño 2"'!F40)</f>
        <v/>
      </c>
      <c r="I23" s="677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55" t="str">
        <f>IF('Diseño 2"'!N40="","",'Diseño 2"'!N40)</f>
        <v/>
      </c>
      <c r="P23" s="756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78" t="str">
        <f>IF('Diseño 2"'!AA40="","",'Diseño 2"'!AA40)</f>
        <v/>
      </c>
      <c r="Y23" s="677"/>
      <c r="Z23" s="678" t="str">
        <f>IF('Diseño 2"'!AC40="","",'Diseño 2"'!AC40)</f>
        <v/>
      </c>
      <c r="AA23" s="677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67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">
      <c r="B24" s="99">
        <v>13</v>
      </c>
      <c r="C24" s="757" t="str">
        <f>IF('Diseño 2"'!B41="","",'Diseño 2"'!B41)</f>
        <v/>
      </c>
      <c r="D24" s="756"/>
      <c r="E24" s="19" t="str">
        <f>IF('Diseño 2"'!C41=0,"",'Diseño 2"'!C41)</f>
        <v/>
      </c>
      <c r="F24" s="757" t="str">
        <f>IF('Diseño 2"'!D41="","",'Diseño 2"'!D41)</f>
        <v/>
      </c>
      <c r="G24" s="756"/>
      <c r="H24" s="676" t="str">
        <f>IF('Diseño 2"'!F41="","",'Diseño 2"'!F41)</f>
        <v/>
      </c>
      <c r="I24" s="677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55" t="str">
        <f>IF('Diseño 2"'!N41="","",'Diseño 2"'!N41)</f>
        <v/>
      </c>
      <c r="P24" s="756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78" t="str">
        <f>IF('Diseño 2"'!AA41="","",'Diseño 2"'!AA41)</f>
        <v/>
      </c>
      <c r="Y24" s="677"/>
      <c r="Z24" s="678" t="str">
        <f>IF('Diseño 2"'!AC41="","",'Diseño 2"'!AC41)</f>
        <v/>
      </c>
      <c r="AA24" s="677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67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">
      <c r="B25" s="99">
        <v>14</v>
      </c>
      <c r="C25" s="757" t="str">
        <f>IF('Diseño 2"'!B42="","",'Diseño 2"'!B42)</f>
        <v/>
      </c>
      <c r="D25" s="756"/>
      <c r="E25" s="19" t="str">
        <f>IF('Diseño 2"'!C42=0,"",'Diseño 2"'!C42)</f>
        <v/>
      </c>
      <c r="F25" s="757" t="str">
        <f>IF('Diseño 2"'!D42="","",'Diseño 2"'!D42)</f>
        <v/>
      </c>
      <c r="G25" s="756"/>
      <c r="H25" s="676" t="str">
        <f>IF('Diseño 2"'!F42="","",'Diseño 2"'!F42)</f>
        <v/>
      </c>
      <c r="I25" s="677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55" t="str">
        <f>IF('Diseño 2"'!N42="","",'Diseño 2"'!N42)</f>
        <v/>
      </c>
      <c r="P25" s="756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78" t="str">
        <f>IF('Diseño 2"'!AA42="","",'Diseño 2"'!AA42)</f>
        <v/>
      </c>
      <c r="Y25" s="677"/>
      <c r="Z25" s="678" t="str">
        <f>IF('Diseño 2"'!AC42="","",'Diseño 2"'!AC42)</f>
        <v/>
      </c>
      <c r="AA25" s="677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67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ht="15" customHeight="1" x14ac:dyDescent="0.2">
      <c r="B26" s="99">
        <v>15</v>
      </c>
      <c r="C26" s="757" t="str">
        <f>IF('Diseño 2"'!B43="","",'Diseño 2"'!B43)</f>
        <v/>
      </c>
      <c r="D26" s="756"/>
      <c r="E26" s="19" t="str">
        <f>IF('Diseño 2"'!C43=0,"",'Diseño 2"'!C43)</f>
        <v/>
      </c>
      <c r="F26" s="757" t="str">
        <f>IF('Diseño 2"'!D43="","",'Diseño 2"'!D43)</f>
        <v/>
      </c>
      <c r="G26" s="756"/>
      <c r="H26" s="676" t="str">
        <f>IF('Diseño 2"'!F43="","",'Diseño 2"'!F43)</f>
        <v/>
      </c>
      <c r="I26" s="677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55" t="str">
        <f>IF('Diseño 2"'!N43="","",'Diseño 2"'!N43)</f>
        <v/>
      </c>
      <c r="P26" s="756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78" t="str">
        <f>IF('Diseño 2"'!AA43="","",'Diseño 2"'!AA43)</f>
        <v/>
      </c>
      <c r="Y26" s="677"/>
      <c r="Z26" s="678" t="str">
        <f>IF('Diseño 2"'!AC43="","",'Diseño 2"'!AC43)</f>
        <v/>
      </c>
      <c r="AA26" s="677"/>
      <c r="AB26" s="124"/>
      <c r="AC26" s="125"/>
      <c r="AD26" s="24" t="str">
        <f>'Diseño 2"'!AJ43</f>
        <v/>
      </c>
      <c r="AE26" s="126"/>
      <c r="AF26" s="267" t="str">
        <f>IF('Diseño 2"'!AN43="","",'Diseño 2"'!AN43)</f>
        <v/>
      </c>
      <c r="AG26" s="127"/>
      <c r="AH26" s="128"/>
      <c r="AI26" s="25"/>
      <c r="AJ26" s="25"/>
      <c r="AK26" s="5"/>
      <c r="AL26" s="5"/>
      <c r="AM26" s="5"/>
    </row>
    <row r="27" spans="2:39" ht="15" customHeight="1" x14ac:dyDescent="0.2">
      <c r="B27" s="99">
        <v>16</v>
      </c>
      <c r="C27" s="757" t="str">
        <f>IF('Diseño 2"'!B44="","",'Diseño 2"'!B44)</f>
        <v/>
      </c>
      <c r="D27" s="756"/>
      <c r="E27" s="19" t="str">
        <f>IF('Diseño 2"'!C44=0,"",'Diseño 2"'!C44)</f>
        <v/>
      </c>
      <c r="F27" s="757" t="str">
        <f>IF('Diseño 2"'!D44="","",'Diseño 2"'!D44)</f>
        <v/>
      </c>
      <c r="G27" s="756"/>
      <c r="H27" s="676" t="str">
        <f>IF('Diseño 2"'!F44="","",'Diseño 2"'!F44)</f>
        <v/>
      </c>
      <c r="I27" s="677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17" t="str">
        <f>IF('Diseño 2"'!M44="","",'Diseño 2"'!M44)</f>
        <v/>
      </c>
      <c r="O27" s="755" t="str">
        <f>IF('Diseño 2"'!N44="","",'Diseño 2"'!N44)</f>
        <v/>
      </c>
      <c r="P27" s="756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78" t="str">
        <f>IF('Diseño 2"'!AA44="","",'Diseño 2"'!AA44)</f>
        <v/>
      </c>
      <c r="Y27" s="677"/>
      <c r="Z27" s="678" t="str">
        <f>IF('Diseño 2"'!AC44="","",'Diseño 2"'!AC44)</f>
        <v/>
      </c>
      <c r="AA27" s="677"/>
      <c r="AB27" s="124"/>
      <c r="AC27" s="125"/>
      <c r="AD27" s="24" t="str">
        <f>'Diseño 2"'!AJ44</f>
        <v/>
      </c>
      <c r="AE27" s="126"/>
      <c r="AF27" s="267" t="str">
        <f>IF('Diseño 2"'!AN44="","",'Diseño 2"'!AN44)</f>
        <v/>
      </c>
      <c r="AG27" s="127"/>
      <c r="AH27" s="128"/>
      <c r="AI27" s="25"/>
      <c r="AJ27" s="25"/>
      <c r="AK27" s="5"/>
      <c r="AL27" s="5"/>
      <c r="AM27" s="5"/>
    </row>
    <row r="28" spans="2:39" ht="15" customHeight="1" x14ac:dyDescent="0.2">
      <c r="B28" s="99">
        <v>17</v>
      </c>
      <c r="C28" s="757" t="str">
        <f>IF('Diseño 2"'!B45="","",'Diseño 2"'!B45)</f>
        <v/>
      </c>
      <c r="D28" s="756"/>
      <c r="E28" s="19" t="str">
        <f>IF('Diseño 2"'!C45=0,"",'Diseño 2"'!C45)</f>
        <v/>
      </c>
      <c r="F28" s="757" t="str">
        <f>IF('Diseño 2"'!D45="","",'Diseño 2"'!D45)</f>
        <v/>
      </c>
      <c r="G28" s="756"/>
      <c r="H28" s="676" t="str">
        <f>IF('Diseño 2"'!F45="","",'Diseño 2"'!F45)</f>
        <v/>
      </c>
      <c r="I28" s="677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55" t="str">
        <f>IF('Diseño 2"'!N45="","",'Diseño 2"'!N45)</f>
        <v/>
      </c>
      <c r="P28" s="756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78" t="str">
        <f>IF('Diseño 2"'!AA45="","",'Diseño 2"'!AA45)</f>
        <v/>
      </c>
      <c r="Y28" s="677"/>
      <c r="Z28" s="678" t="str">
        <f>IF('Diseño 2"'!AC45="","",'Diseño 2"'!AC45)</f>
        <v/>
      </c>
      <c r="AA28" s="677"/>
      <c r="AB28" s="124"/>
      <c r="AC28" s="125"/>
      <c r="AD28" s="24" t="str">
        <f>'Diseño 2"'!AJ45</f>
        <v/>
      </c>
      <c r="AE28" s="126"/>
      <c r="AF28" s="267" t="str">
        <f>IF('Diseño 2"'!AN45="","",'Diseño 2"'!AN45)</f>
        <v/>
      </c>
      <c r="AG28" s="127"/>
      <c r="AH28" s="128"/>
      <c r="AI28" s="25"/>
      <c r="AJ28" s="25"/>
      <c r="AK28" s="5"/>
      <c r="AL28" s="5"/>
      <c r="AM28" s="5"/>
    </row>
    <row r="29" spans="2:39" ht="15" customHeight="1" x14ac:dyDescent="0.2">
      <c r="B29" s="99">
        <v>18</v>
      </c>
      <c r="C29" s="757" t="str">
        <f>IF('Diseño 2"'!B46="","",'Diseño 2"'!B46)</f>
        <v/>
      </c>
      <c r="D29" s="756"/>
      <c r="E29" s="19" t="str">
        <f>IF('Diseño 2"'!C46=0,"",'Diseño 2"'!C46)</f>
        <v/>
      </c>
      <c r="F29" s="757" t="str">
        <f>IF('Diseño 2"'!D46="","",'Diseño 2"'!D46)</f>
        <v/>
      </c>
      <c r="G29" s="756"/>
      <c r="H29" s="676" t="str">
        <f>IF('Diseño 2"'!F46="","",'Diseño 2"'!F46)</f>
        <v/>
      </c>
      <c r="I29" s="677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55" t="str">
        <f>IF('Diseño 2"'!N46="","",'Diseño 2"'!N46)</f>
        <v/>
      </c>
      <c r="P29" s="756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78" t="str">
        <f>IF('Diseño 2"'!AA46="","",'Diseño 2"'!AA46)</f>
        <v/>
      </c>
      <c r="Y29" s="677"/>
      <c r="Z29" s="678" t="str">
        <f>IF('Diseño 2"'!AC46="","",'Diseño 2"'!AC46)</f>
        <v/>
      </c>
      <c r="AA29" s="677"/>
      <c r="AB29" s="124"/>
      <c r="AC29" s="125"/>
      <c r="AD29" s="24" t="str">
        <f>'Diseño 2"'!AJ46</f>
        <v/>
      </c>
      <c r="AE29" s="126"/>
      <c r="AF29" s="267" t="str">
        <f>IF('Diseño 2"'!AN46="","",'Diseño 2"'!AN46)</f>
        <v/>
      </c>
      <c r="AG29" s="127"/>
      <c r="AH29" s="128"/>
      <c r="AI29" s="25"/>
      <c r="AJ29" s="25"/>
      <c r="AK29" s="5"/>
      <c r="AL29" s="5"/>
      <c r="AM29" s="5"/>
    </row>
    <row r="30" spans="2:39" ht="15" customHeight="1" x14ac:dyDescent="0.2">
      <c r="B30" s="99">
        <v>19</v>
      </c>
      <c r="C30" s="757" t="str">
        <f>IF('Diseño 2"'!B47="","",'Diseño 2"'!B47)</f>
        <v/>
      </c>
      <c r="D30" s="756"/>
      <c r="E30" s="19" t="str">
        <f>IF('Diseño 2"'!C47=0,"",'Diseño 2"'!C47)</f>
        <v/>
      </c>
      <c r="F30" s="757" t="str">
        <f>IF('Diseño 2"'!D47="","",'Diseño 2"'!D47)</f>
        <v/>
      </c>
      <c r="G30" s="756"/>
      <c r="H30" s="676" t="str">
        <f>IF('Diseño 2"'!F47="","",'Diseño 2"'!F47)</f>
        <v/>
      </c>
      <c r="I30" s="677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55" t="str">
        <f>IF('Diseño 2"'!N47="","",'Diseño 2"'!N47)</f>
        <v/>
      </c>
      <c r="P30" s="756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78" t="str">
        <f>IF('Diseño 2"'!AA47="","",'Diseño 2"'!AA47)</f>
        <v/>
      </c>
      <c r="Y30" s="677"/>
      <c r="Z30" s="678" t="str">
        <f>IF('Diseño 2"'!AC47="","",'Diseño 2"'!AC47)</f>
        <v/>
      </c>
      <c r="AA30" s="677"/>
      <c r="AB30" s="124"/>
      <c r="AC30" s="125"/>
      <c r="AD30" s="24" t="str">
        <f>'Diseño 2"'!AJ47</f>
        <v/>
      </c>
      <c r="AE30" s="126"/>
      <c r="AF30" s="267" t="str">
        <f>IF('Diseño 2"'!AN47="","",'Diseño 2"'!AN47)</f>
        <v/>
      </c>
      <c r="AG30" s="127"/>
      <c r="AH30" s="128"/>
      <c r="AI30" s="25"/>
      <c r="AJ30" s="25"/>
      <c r="AK30" s="5"/>
      <c r="AL30" s="5"/>
      <c r="AM30" s="5"/>
    </row>
    <row r="31" spans="2:39" ht="15" customHeight="1" thickBot="1" x14ac:dyDescent="0.25">
      <c r="B31" s="103">
        <v>20</v>
      </c>
      <c r="C31" s="761" t="str">
        <f>IF('Diseño 2"'!B48="","",'Diseño 2"'!B48)</f>
        <v/>
      </c>
      <c r="D31" s="760"/>
      <c r="E31" s="104" t="str">
        <f>IF('Diseño 2"'!C48=0,"",'Diseño 2"'!C48)</f>
        <v/>
      </c>
      <c r="F31" s="761" t="str">
        <f>IF('Diseño 2"'!D48="","",'Diseño 2"'!D48)</f>
        <v/>
      </c>
      <c r="G31" s="760"/>
      <c r="H31" s="686" t="str">
        <f>IF('Diseño 2"'!F48="","",'Diseño 2"'!F48)</f>
        <v/>
      </c>
      <c r="I31" s="687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59" t="str">
        <f>IF('Diseño 2"'!N48="","",'Diseño 2"'!N48)</f>
        <v/>
      </c>
      <c r="P31" s="760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80" t="str">
        <f>IF('Diseño 2"'!AA48="","",'Diseño 2"'!AA48)</f>
        <v/>
      </c>
      <c r="Y31" s="687"/>
      <c r="Z31" s="680" t="str">
        <f>IF('Diseño 2"'!AC48="","",'Diseño 2"'!AC48)</f>
        <v/>
      </c>
      <c r="AA31" s="687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68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722"/>
      <c r="P33" s="723"/>
      <c r="Q33" s="78"/>
      <c r="R33" s="78"/>
      <c r="S33" s="78"/>
      <c r="T33" s="79"/>
      <c r="U33" s="66"/>
      <c r="V33" s="724" t="s">
        <v>220</v>
      </c>
      <c r="W33" s="725"/>
      <c r="X33" s="725"/>
      <c r="Y33" s="725"/>
      <c r="Z33" s="725"/>
      <c r="AA33" s="725"/>
      <c r="AB33" s="725"/>
      <c r="AC33" s="725"/>
      <c r="AD33" s="725"/>
      <c r="AE33" s="725"/>
      <c r="AF33" s="725"/>
      <c r="AG33" s="725"/>
      <c r="AH33" s="726"/>
      <c r="AI33" s="25"/>
      <c r="AJ33" s="25"/>
      <c r="AK33" s="5"/>
      <c r="AL33" s="5"/>
      <c r="AM33" s="5"/>
    </row>
    <row r="34" spans="2:39" ht="15" customHeight="1" x14ac:dyDescent="0.2">
      <c r="B34" s="80" t="s">
        <v>233</v>
      </c>
      <c r="C34" t="str">
        <f>+'Diseño 2"'!AB13</f>
        <v>ESCRIBE AQUÍ</v>
      </c>
      <c r="J34" s="57"/>
      <c r="K34" s="4"/>
      <c r="L34" s="4"/>
      <c r="M34" s="4"/>
      <c r="N34" s="4"/>
      <c r="O34" s="732"/>
      <c r="P34" s="758"/>
      <c r="Q34" s="66"/>
      <c r="R34" s="66"/>
      <c r="S34" s="66"/>
      <c r="T34" s="81"/>
      <c r="U34" s="66"/>
      <c r="V34" s="727" t="s">
        <v>217</v>
      </c>
      <c r="W34" s="728"/>
      <c r="X34" s="728"/>
      <c r="Y34" s="728"/>
      <c r="Z34" s="728"/>
      <c r="AA34" s="729"/>
      <c r="AB34" s="68"/>
      <c r="AC34" s="69"/>
      <c r="AD34" s="730" t="s">
        <v>219</v>
      </c>
      <c r="AE34" s="728"/>
      <c r="AF34" s="728"/>
      <c r="AG34" s="728"/>
      <c r="AH34" s="731"/>
      <c r="AI34" s="25"/>
      <c r="AJ34" s="25"/>
      <c r="AK34" s="5"/>
      <c r="AL34" s="5"/>
      <c r="AM34" s="5"/>
    </row>
    <row r="35" spans="2:39" ht="15" customHeight="1" x14ac:dyDescent="0.2">
      <c r="B35" s="82"/>
      <c r="J35" s="57"/>
      <c r="K35" s="4"/>
      <c r="L35" s="4"/>
      <c r="M35" s="4"/>
      <c r="N35" s="4"/>
      <c r="O35" s="732"/>
      <c r="P35" s="758"/>
      <c r="Q35" s="66"/>
      <c r="R35" s="66"/>
      <c r="S35" s="66"/>
      <c r="T35" s="81"/>
      <c r="U35" s="66"/>
      <c r="V35" s="58"/>
      <c r="W35" s="5"/>
      <c r="X35" s="5"/>
      <c r="Y35" s="5"/>
      <c r="Z35" s="732"/>
      <c r="AA35" s="733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2"/>
      <c r="J36" s="57"/>
      <c r="K36" s="4"/>
      <c r="L36" s="4"/>
      <c r="M36" s="4"/>
      <c r="N36" s="4"/>
      <c r="O36" s="732"/>
      <c r="P36" s="758"/>
      <c r="Q36" s="66"/>
      <c r="R36" s="66"/>
      <c r="S36" s="66"/>
      <c r="T36" s="81"/>
      <c r="U36" s="66"/>
      <c r="V36" s="58"/>
      <c r="W36" s="5"/>
      <c r="X36" s="5"/>
      <c r="Y36" s="5"/>
      <c r="Z36" s="732"/>
      <c r="AA36" s="733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2"/>
      <c r="J37" s="57"/>
      <c r="K37" s="4"/>
      <c r="L37" s="4"/>
      <c r="M37" s="4"/>
      <c r="N37" s="4"/>
      <c r="O37" s="89"/>
      <c r="P37" s="57"/>
      <c r="Q37" s="66"/>
      <c r="R37" s="66"/>
      <c r="S37" s="66"/>
      <c r="T37" s="81"/>
      <c r="U37" s="66"/>
      <c r="V37" s="58"/>
      <c r="W37" s="5"/>
      <c r="X37" s="5"/>
      <c r="Y37" s="5"/>
      <c r="Z37" s="89"/>
      <c r="AA37" s="90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2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D39" s="63"/>
      <c r="AH39" s="70"/>
      <c r="AI39" s="5"/>
      <c r="AJ39" s="5"/>
      <c r="AK39" s="5"/>
      <c r="AL39" s="5"/>
      <c r="AM39" s="5"/>
    </row>
    <row r="40" spans="2:39" ht="12.75" customHeight="1" x14ac:dyDescent="0.2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25" zoomScale="85" zoomScaleNormal="85" workbookViewId="0">
      <selection activeCell="D29" sqref="D29:AD41"/>
    </sheetView>
  </sheetViews>
  <sheetFormatPr baseColWidth="10" defaultColWidth="12.5703125" defaultRowHeight="15" customHeight="1" x14ac:dyDescent="0.2"/>
  <cols>
    <col min="1" max="1" width="3.5703125" style="474" customWidth="1"/>
    <col min="2" max="2" width="8.42578125" style="474" customWidth="1"/>
    <col min="3" max="3" width="6.5703125" style="474" customWidth="1"/>
    <col min="4" max="4" width="15.140625" style="474" customWidth="1"/>
    <col min="5" max="5" width="7" style="474" customWidth="1"/>
    <col min="6" max="6" width="7.140625" style="474" customWidth="1"/>
    <col min="7" max="7" width="5.5703125" style="474" customWidth="1"/>
    <col min="8" max="9" width="6.42578125" style="474" customWidth="1"/>
    <col min="10" max="10" width="9.7109375" style="474" customWidth="1"/>
    <col min="11" max="12" width="7.85546875" style="474" customWidth="1"/>
    <col min="13" max="13" width="6.5703125" style="474" customWidth="1"/>
    <col min="14" max="14" width="7.5703125" style="474" customWidth="1"/>
    <col min="15" max="15" width="7.85546875" style="474" customWidth="1"/>
    <col min="16" max="16" width="5.5703125" style="474" customWidth="1"/>
    <col min="17" max="17" width="9.28515625" style="474" customWidth="1"/>
    <col min="18" max="18" width="9.5703125" style="474" customWidth="1"/>
    <col min="19" max="19" width="8.140625" style="474" customWidth="1"/>
    <col min="20" max="21" width="7.5703125" style="474" customWidth="1"/>
    <col min="22" max="22" width="7.140625" style="474" customWidth="1"/>
    <col min="23" max="23" width="12.5703125" style="474" customWidth="1"/>
    <col min="24" max="24" width="8.42578125" style="474" hidden="1" customWidth="1"/>
    <col min="25" max="25" width="12" style="474" hidden="1" customWidth="1"/>
    <col min="26" max="26" width="15" style="474" hidden="1" customWidth="1"/>
    <col min="27" max="27" width="3" style="474" customWidth="1"/>
    <col min="28" max="28" width="17.42578125" style="474" customWidth="1"/>
    <col min="29" max="29" width="17.140625" style="474" customWidth="1"/>
    <col min="30" max="30" width="12.5703125" style="474" customWidth="1"/>
    <col min="31" max="31" width="6.7109375" style="474" customWidth="1"/>
    <col min="32" max="32" width="11.140625" style="474" customWidth="1"/>
    <col min="33" max="33" width="7.5703125" style="474" hidden="1" customWidth="1"/>
    <col min="34" max="35" width="7.42578125" style="474" hidden="1" customWidth="1"/>
    <col min="36" max="36" width="6.42578125" style="474" customWidth="1"/>
    <col min="37" max="37" width="4.5703125" style="474" customWidth="1"/>
    <col min="38" max="38" width="12.42578125" style="474" hidden="1" customWidth="1"/>
    <col min="39" max="39" width="8.140625" style="474" customWidth="1"/>
    <col min="40" max="40" width="9.42578125" style="474" customWidth="1"/>
    <col min="41" max="65" width="11.7109375" style="474" customWidth="1"/>
    <col min="66" max="87" width="11.42578125" style="474" customWidth="1"/>
    <col min="88" max="16384" width="12.5703125" style="474"/>
  </cols>
  <sheetData>
    <row r="1" spans="1:87" ht="12.75" customHeight="1" thickBot="1" x14ac:dyDescent="0.25">
      <c r="A1" s="471"/>
      <c r="B1" s="471"/>
      <c r="C1" s="471"/>
      <c r="D1" s="471"/>
      <c r="E1" s="471"/>
      <c r="F1" s="471"/>
      <c r="G1" s="472" t="s">
        <v>203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  <c r="AD1" s="471"/>
      <c r="AE1" s="471"/>
      <c r="AF1" s="471"/>
      <c r="AG1" s="471"/>
      <c r="AH1" s="471"/>
      <c r="AI1" s="471"/>
      <c r="AJ1" s="471"/>
      <c r="AK1" s="471"/>
      <c r="AL1" s="471"/>
      <c r="AM1" s="471"/>
      <c r="AN1" s="471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3"/>
      <c r="BC1" s="473"/>
      <c r="BD1" s="473"/>
      <c r="BE1" s="473"/>
      <c r="BF1" s="473"/>
      <c r="BG1" s="473"/>
      <c r="BH1" s="473"/>
      <c r="BI1" s="473"/>
      <c r="BJ1" s="473"/>
      <c r="BK1" s="473"/>
      <c r="BL1" s="473"/>
      <c r="BM1" s="473"/>
      <c r="BN1" s="473"/>
      <c r="BO1" s="473"/>
      <c r="BP1" s="473"/>
      <c r="BQ1" s="473"/>
      <c r="BR1" s="473"/>
      <c r="BS1" s="473"/>
      <c r="BT1" s="473"/>
      <c r="BU1" s="473"/>
      <c r="BV1" s="473"/>
      <c r="BW1" s="473"/>
      <c r="BX1" s="473"/>
      <c r="BY1" s="473"/>
      <c r="BZ1" s="473"/>
      <c r="CA1" s="473"/>
      <c r="CB1" s="473"/>
      <c r="CC1" s="473"/>
      <c r="CD1" s="473"/>
      <c r="CE1" s="473"/>
      <c r="CF1" s="473"/>
      <c r="CG1" s="473"/>
      <c r="CH1" s="473"/>
      <c r="CI1" s="473"/>
    </row>
    <row r="2" spans="1:87" ht="12.75" customHeight="1" x14ac:dyDescent="0.2">
      <c r="A2" s="471"/>
      <c r="B2" s="471"/>
      <c r="C2" s="471"/>
      <c r="D2" s="471"/>
      <c r="E2" s="471"/>
      <c r="F2" s="471"/>
      <c r="G2" s="471" t="s">
        <v>0</v>
      </c>
      <c r="H2" s="471"/>
      <c r="I2" s="471"/>
      <c r="J2" s="471"/>
      <c r="K2" s="471"/>
      <c r="L2" s="471"/>
      <c r="M2" s="475" t="s">
        <v>204</v>
      </c>
      <c r="N2" s="471"/>
      <c r="O2" s="471"/>
      <c r="P2" s="471"/>
      <c r="Q2" s="471"/>
      <c r="R2" s="471"/>
      <c r="S2" s="471"/>
      <c r="T2" s="471" t="s">
        <v>1</v>
      </c>
      <c r="U2" s="471"/>
      <c r="V2" s="471"/>
      <c r="W2" s="471"/>
      <c r="X2" s="471"/>
      <c r="Y2" s="471"/>
      <c r="Z2" s="471"/>
      <c r="AA2" s="471"/>
      <c r="AB2" s="471"/>
      <c r="AC2" s="475" t="s">
        <v>2</v>
      </c>
      <c r="AD2" s="476">
        <v>39849</v>
      </c>
      <c r="AE2" s="471"/>
      <c r="AF2" s="471"/>
      <c r="AG2" s="471"/>
      <c r="AH2" s="471"/>
      <c r="AI2" s="471"/>
      <c r="AJ2" s="471"/>
      <c r="AK2" s="471"/>
      <c r="AL2" s="471"/>
      <c r="AM2" s="471"/>
      <c r="AN2" s="471"/>
      <c r="AO2" s="473"/>
      <c r="AP2" s="789" t="s">
        <v>3</v>
      </c>
      <c r="AQ2" s="790"/>
      <c r="AR2" s="790"/>
      <c r="AS2" s="790"/>
      <c r="AT2" s="790"/>
      <c r="AU2" s="790"/>
      <c r="AV2" s="790"/>
      <c r="AW2" s="790"/>
      <c r="AX2" s="790"/>
      <c r="AY2" s="790"/>
      <c r="AZ2" s="790"/>
      <c r="BA2" s="790"/>
      <c r="BB2" s="790"/>
      <c r="BC2" s="790"/>
      <c r="BD2" s="790"/>
      <c r="BE2" s="790"/>
      <c r="BF2" s="790"/>
      <c r="BG2" s="790"/>
      <c r="BH2" s="790"/>
      <c r="BI2" s="790"/>
      <c r="BJ2" s="790"/>
      <c r="BK2" s="790"/>
      <c r="BL2" s="790"/>
      <c r="BM2" s="791"/>
      <c r="BN2" s="473"/>
      <c r="BO2" s="473"/>
      <c r="BP2" s="473"/>
      <c r="BQ2" s="473"/>
      <c r="BR2" s="473"/>
      <c r="BS2" s="473"/>
      <c r="BT2" s="473"/>
      <c r="BU2" s="473"/>
      <c r="BV2" s="473"/>
      <c r="BW2" s="473"/>
      <c r="BX2" s="473"/>
      <c r="BY2" s="473"/>
      <c r="BZ2" s="473"/>
      <c r="CA2" s="473"/>
      <c r="CB2" s="473"/>
      <c r="CC2" s="473"/>
      <c r="CD2" s="473"/>
      <c r="CE2" s="473"/>
      <c r="CF2" s="473"/>
      <c r="CG2" s="473"/>
      <c r="CH2" s="473"/>
      <c r="CI2" s="473"/>
    </row>
    <row r="3" spans="1:87" ht="12.75" customHeight="1" x14ac:dyDescent="0.2">
      <c r="A3" s="471"/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  <c r="AO3" s="473"/>
      <c r="AP3" s="792"/>
      <c r="AQ3" s="775"/>
      <c r="AR3" s="775"/>
      <c r="AS3" s="775"/>
      <c r="AT3" s="775"/>
      <c r="AU3" s="775"/>
      <c r="AV3" s="775"/>
      <c r="AW3" s="775"/>
      <c r="AX3" s="775"/>
      <c r="AY3" s="775"/>
      <c r="AZ3" s="775"/>
      <c r="BA3" s="775"/>
      <c r="BB3" s="775"/>
      <c r="BC3" s="775"/>
      <c r="BD3" s="775"/>
      <c r="BE3" s="775"/>
      <c r="BF3" s="775"/>
      <c r="BG3" s="775"/>
      <c r="BH3" s="775"/>
      <c r="BI3" s="775"/>
      <c r="BJ3" s="775"/>
      <c r="BK3" s="775"/>
      <c r="BL3" s="775"/>
      <c r="BM3" s="793"/>
      <c r="BN3" s="477"/>
      <c r="BO3" s="477"/>
      <c r="BP3" s="473"/>
      <c r="BQ3" s="473"/>
      <c r="BR3" s="473"/>
      <c r="BS3" s="473"/>
      <c r="BT3" s="473"/>
      <c r="BU3" s="473"/>
      <c r="BV3" s="473"/>
      <c r="BW3" s="473"/>
      <c r="BX3" s="473"/>
      <c r="BY3" s="473"/>
      <c r="BZ3" s="473"/>
      <c r="CA3" s="473"/>
      <c r="CB3" s="473"/>
      <c r="CC3" s="473"/>
      <c r="CD3" s="473"/>
      <c r="CE3" s="473"/>
      <c r="CF3" s="473"/>
      <c r="CG3" s="473"/>
      <c r="CH3" s="473"/>
      <c r="CI3" s="473"/>
    </row>
    <row r="4" spans="1:87" ht="12.75" customHeight="1" x14ac:dyDescent="0.2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  <c r="AC4" s="471"/>
      <c r="AD4" s="471"/>
      <c r="AE4" s="471"/>
      <c r="AF4" s="471"/>
      <c r="AG4" s="471"/>
      <c r="AH4" s="471"/>
      <c r="AI4" s="471"/>
      <c r="AJ4" s="471"/>
      <c r="AK4" s="471"/>
      <c r="AL4" s="471"/>
      <c r="AM4" s="471"/>
      <c r="AN4" s="471"/>
      <c r="AO4" s="473"/>
      <c r="AP4" s="478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79"/>
      <c r="BC4" s="479"/>
      <c r="BD4" s="479"/>
      <c r="BE4" s="479"/>
      <c r="BF4" s="479"/>
      <c r="BG4" s="479"/>
      <c r="BH4" s="479"/>
      <c r="BI4" s="479"/>
      <c r="BJ4" s="479"/>
      <c r="BK4" s="479"/>
      <c r="BL4" s="479"/>
      <c r="BM4" s="480"/>
      <c r="BN4" s="477"/>
      <c r="BO4" s="477"/>
      <c r="BP4" s="473"/>
      <c r="BQ4" s="473"/>
      <c r="BR4" s="473"/>
      <c r="BS4" s="473"/>
      <c r="BT4" s="473"/>
      <c r="BU4" s="473"/>
      <c r="BV4" s="473"/>
      <c r="BW4" s="473"/>
      <c r="BX4" s="473"/>
      <c r="BY4" s="473"/>
      <c r="BZ4" s="473"/>
      <c r="CA4" s="473"/>
      <c r="CB4" s="473"/>
      <c r="CC4" s="473"/>
      <c r="CD4" s="473"/>
      <c r="CE4" s="473"/>
      <c r="CF4" s="473"/>
      <c r="CG4" s="473"/>
      <c r="CH4" s="473"/>
      <c r="CI4" s="473"/>
    </row>
    <row r="5" spans="1:87" ht="12.75" customHeight="1" x14ac:dyDescent="0.2">
      <c r="A5" s="471"/>
      <c r="B5" s="481" t="s">
        <v>4</v>
      </c>
      <c r="C5" s="482"/>
      <c r="D5" s="318"/>
      <c r="E5" s="483"/>
      <c r="F5" s="483"/>
      <c r="G5" s="484"/>
      <c r="H5" s="794" t="s">
        <v>5</v>
      </c>
      <c r="I5" s="749"/>
      <c r="J5" s="738"/>
      <c r="K5" s="795"/>
      <c r="L5" s="796"/>
      <c r="M5" s="796"/>
      <c r="N5" s="797"/>
      <c r="O5" s="471"/>
      <c r="P5" s="481" t="s">
        <v>6</v>
      </c>
      <c r="Q5" s="485"/>
      <c r="R5" s="748"/>
      <c r="S5" s="749"/>
      <c r="T5" s="738"/>
      <c r="U5" s="486"/>
      <c r="V5" s="484"/>
      <c r="W5" s="484"/>
      <c r="X5" s="471"/>
      <c r="Y5" s="471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471"/>
      <c r="AK5" s="471"/>
      <c r="AL5" s="471"/>
      <c r="AM5" s="471"/>
      <c r="AN5" s="471"/>
      <c r="AO5" s="487"/>
      <c r="AP5" s="478"/>
      <c r="AQ5" s="479"/>
      <c r="AR5" s="479"/>
      <c r="AS5" s="479"/>
      <c r="AT5" s="479"/>
      <c r="AU5" s="479"/>
      <c r="AV5" s="479"/>
      <c r="AW5" s="479"/>
      <c r="AX5" s="479"/>
      <c r="AY5" s="479"/>
      <c r="AZ5" s="479"/>
      <c r="BA5" s="479"/>
      <c r="BB5" s="479"/>
      <c r="BC5" s="479"/>
      <c r="BD5" s="479"/>
      <c r="BE5" s="479"/>
      <c r="BF5" s="479"/>
      <c r="BG5" s="479"/>
      <c r="BH5" s="479"/>
      <c r="BI5" s="479"/>
      <c r="BJ5" s="479"/>
      <c r="BK5" s="479"/>
      <c r="BL5" s="479"/>
      <c r="BM5" s="480"/>
      <c r="BN5" s="477"/>
      <c r="BO5" s="477"/>
      <c r="BP5" s="473"/>
      <c r="BQ5" s="473"/>
      <c r="BR5" s="473"/>
      <c r="BS5" s="473"/>
      <c r="BT5" s="473"/>
      <c r="BU5" s="473"/>
      <c r="BV5" s="473"/>
      <c r="BW5" s="473"/>
      <c r="BX5" s="473"/>
      <c r="BY5" s="473"/>
      <c r="BZ5" s="473"/>
      <c r="CA5" s="473"/>
      <c r="CB5" s="473"/>
      <c r="CC5" s="473"/>
      <c r="CD5" s="473"/>
      <c r="CE5" s="473"/>
      <c r="CF5" s="473"/>
      <c r="CG5" s="473"/>
      <c r="CH5" s="473"/>
      <c r="CI5" s="473"/>
    </row>
    <row r="6" spans="1:87" ht="12.75" customHeight="1" x14ac:dyDescent="0.2">
      <c r="A6" s="471"/>
      <c r="B6" s="481" t="s">
        <v>7</v>
      </c>
      <c r="C6" s="482"/>
      <c r="D6" s="318"/>
      <c r="E6" s="483"/>
      <c r="F6" s="483"/>
      <c r="G6" s="484"/>
      <c r="H6" s="794" t="s">
        <v>8</v>
      </c>
      <c r="I6" s="749"/>
      <c r="J6" s="738"/>
      <c r="K6" s="795"/>
      <c r="L6" s="796"/>
      <c r="M6" s="796"/>
      <c r="N6" s="797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3"/>
      <c r="AP6" s="488"/>
      <c r="AQ6" s="471"/>
      <c r="AR6" s="471"/>
      <c r="AS6" s="471"/>
      <c r="AT6" s="471"/>
      <c r="AU6" s="471"/>
      <c r="AV6" s="471"/>
      <c r="AW6" s="471"/>
      <c r="AX6" s="471"/>
      <c r="AY6" s="471"/>
      <c r="AZ6" s="471"/>
      <c r="BA6" s="471"/>
      <c r="BB6" s="471"/>
      <c r="BC6" s="471"/>
      <c r="BD6" s="471"/>
      <c r="BE6" s="471"/>
      <c r="BF6" s="471"/>
      <c r="BG6" s="471"/>
      <c r="BH6" s="471"/>
      <c r="BI6" s="471"/>
      <c r="BJ6" s="471"/>
      <c r="BK6" s="471"/>
      <c r="BL6" s="471"/>
      <c r="BM6" s="489"/>
      <c r="BN6" s="473"/>
      <c r="BO6" s="473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473"/>
      <c r="CB6" s="473"/>
      <c r="CC6" s="473"/>
      <c r="CD6" s="473"/>
      <c r="CE6" s="473"/>
      <c r="CF6" s="473"/>
      <c r="CG6" s="473"/>
      <c r="CH6" s="473"/>
      <c r="CI6" s="473"/>
    </row>
    <row r="7" spans="1:87" ht="12.75" customHeight="1" x14ac:dyDescent="0.2">
      <c r="A7" s="471"/>
      <c r="B7" s="481" t="s">
        <v>9</v>
      </c>
      <c r="C7" s="482"/>
      <c r="D7" s="490"/>
      <c r="E7" s="483"/>
      <c r="F7" s="483"/>
      <c r="G7" s="471"/>
      <c r="H7" s="794" t="s">
        <v>10</v>
      </c>
      <c r="I7" s="749"/>
      <c r="J7" s="738"/>
      <c r="K7" s="737"/>
      <c r="L7" s="800"/>
      <c r="M7" s="800"/>
      <c r="N7" s="801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71"/>
      <c r="AC7" s="471"/>
      <c r="AD7" s="471"/>
      <c r="AE7" s="471"/>
      <c r="AF7" s="471"/>
      <c r="AG7" s="471"/>
      <c r="AH7" s="471"/>
      <c r="AI7" s="471"/>
      <c r="AJ7" s="471"/>
      <c r="AK7" s="471"/>
      <c r="AL7" s="471"/>
      <c r="AM7" s="471"/>
      <c r="AN7" s="471"/>
      <c r="AO7" s="473"/>
      <c r="AP7" s="488"/>
      <c r="AQ7" s="471"/>
      <c r="AR7" s="471"/>
      <c r="AS7" s="471"/>
      <c r="AT7" s="471"/>
      <c r="AU7" s="471"/>
      <c r="AV7" s="471"/>
      <c r="AW7" s="471"/>
      <c r="AX7" s="471"/>
      <c r="AY7" s="471"/>
      <c r="AZ7" s="471"/>
      <c r="BA7" s="471"/>
      <c r="BB7" s="471"/>
      <c r="BC7" s="471"/>
      <c r="BD7" s="471"/>
      <c r="BE7" s="471"/>
      <c r="BF7" s="471"/>
      <c r="BG7" s="471"/>
      <c r="BH7" s="471"/>
      <c r="BI7" s="471"/>
      <c r="BJ7" s="471"/>
      <c r="BK7" s="471"/>
      <c r="BL7" s="471"/>
      <c r="BM7" s="489"/>
      <c r="BN7" s="473"/>
      <c r="BO7" s="473"/>
      <c r="BP7" s="473"/>
      <c r="BQ7" s="473"/>
      <c r="BR7" s="473"/>
      <c r="BS7" s="473"/>
      <c r="BT7" s="473"/>
      <c r="BU7" s="473"/>
      <c r="BV7" s="473"/>
      <c r="BW7" s="473"/>
      <c r="BX7" s="473"/>
      <c r="BY7" s="473"/>
      <c r="BZ7" s="473"/>
      <c r="CA7" s="473"/>
      <c r="CB7" s="473"/>
      <c r="CC7" s="473"/>
      <c r="CD7" s="473"/>
      <c r="CE7" s="473"/>
      <c r="CF7" s="473"/>
      <c r="CG7" s="473"/>
      <c r="CH7" s="473"/>
      <c r="CI7" s="473"/>
    </row>
    <row r="8" spans="1:87" ht="12.75" customHeight="1" x14ac:dyDescent="0.2">
      <c r="A8" s="471"/>
      <c r="B8" s="471"/>
      <c r="C8" s="471"/>
      <c r="D8" s="471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1"/>
      <c r="Y8" s="471"/>
      <c r="Z8" s="471"/>
      <c r="AA8" s="471"/>
      <c r="AB8" s="471"/>
      <c r="AC8" s="471"/>
      <c r="AD8" s="471"/>
      <c r="AE8" s="471"/>
      <c r="AF8" s="471"/>
      <c r="AG8" s="471"/>
      <c r="AH8" s="471"/>
      <c r="AI8" s="471"/>
      <c r="AJ8" s="471"/>
      <c r="AK8" s="471"/>
      <c r="AL8" s="471"/>
      <c r="AM8" s="471"/>
      <c r="AN8" s="471"/>
      <c r="AO8" s="473"/>
      <c r="AP8" s="488"/>
      <c r="AQ8" s="471"/>
      <c r="AR8" s="471"/>
      <c r="AS8" s="471"/>
      <c r="AT8" s="471"/>
      <c r="AU8" s="471"/>
      <c r="AV8" s="471"/>
      <c r="AW8" s="471"/>
      <c r="AX8" s="471"/>
      <c r="AY8" s="471"/>
      <c r="AZ8" s="471"/>
      <c r="BA8" s="471"/>
      <c r="BB8" s="471"/>
      <c r="BC8" s="471"/>
      <c r="BD8" s="471"/>
      <c r="BE8" s="471"/>
      <c r="BF8" s="471"/>
      <c r="BG8" s="471"/>
      <c r="BH8" s="471"/>
      <c r="BI8" s="471"/>
      <c r="BJ8" s="471"/>
      <c r="BK8" s="471"/>
      <c r="BL8" s="471"/>
      <c r="BM8" s="489"/>
      <c r="BN8" s="473"/>
      <c r="BO8" s="473"/>
      <c r="BP8" s="473"/>
      <c r="BQ8" s="473"/>
      <c r="BR8" s="473"/>
      <c r="BS8" s="473"/>
      <c r="BT8" s="473"/>
      <c r="BU8" s="473"/>
      <c r="BV8" s="473"/>
      <c r="BW8" s="473"/>
      <c r="BX8" s="473"/>
      <c r="BY8" s="473"/>
      <c r="BZ8" s="473"/>
      <c r="CA8" s="473"/>
      <c r="CB8" s="473"/>
      <c r="CC8" s="473"/>
      <c r="CD8" s="473"/>
      <c r="CE8" s="473"/>
      <c r="CF8" s="473"/>
      <c r="CG8" s="473"/>
      <c r="CH8" s="473"/>
      <c r="CI8" s="473"/>
    </row>
    <row r="9" spans="1:87" ht="15.75" customHeight="1" x14ac:dyDescent="0.2">
      <c r="A9" s="471"/>
      <c r="B9" s="802" t="s">
        <v>205</v>
      </c>
      <c r="C9" s="749"/>
      <c r="D9" s="749"/>
      <c r="E9" s="749"/>
      <c r="F9" s="749"/>
      <c r="G9" s="749"/>
      <c r="H9" s="749"/>
      <c r="I9" s="749"/>
      <c r="J9" s="749"/>
      <c r="K9" s="738"/>
      <c r="L9" s="491"/>
      <c r="M9" s="492"/>
      <c r="N9" s="802" t="s">
        <v>11</v>
      </c>
      <c r="O9" s="749"/>
      <c r="P9" s="749"/>
      <c r="Q9" s="749"/>
      <c r="R9" s="749"/>
      <c r="S9" s="738"/>
      <c r="T9" s="493"/>
      <c r="U9" s="492"/>
      <c r="V9" s="492"/>
      <c r="W9" s="492"/>
      <c r="X9" s="471"/>
      <c r="Y9" s="475"/>
      <c r="Z9" s="475"/>
      <c r="AA9" s="475"/>
      <c r="AB9" s="471"/>
      <c r="AC9" s="471"/>
      <c r="AD9" s="471"/>
      <c r="AE9" s="471"/>
      <c r="AF9" s="471"/>
      <c r="AG9" s="471"/>
      <c r="AH9" s="471"/>
      <c r="AI9" s="471"/>
      <c r="AJ9" s="471"/>
      <c r="AK9" s="471"/>
      <c r="AL9" s="471"/>
      <c r="AM9" s="471"/>
      <c r="AN9" s="471"/>
      <c r="AO9" s="473"/>
      <c r="AP9" s="488"/>
      <c r="AQ9" s="471"/>
      <c r="AR9" s="471"/>
      <c r="AS9" s="471"/>
      <c r="AT9" s="471"/>
      <c r="AU9" s="471"/>
      <c r="AV9" s="471"/>
      <c r="AW9" s="471"/>
      <c r="AX9" s="471"/>
      <c r="AY9" s="471"/>
      <c r="AZ9" s="471"/>
      <c r="BA9" s="471"/>
      <c r="BB9" s="471"/>
      <c r="BC9" s="471"/>
      <c r="BD9" s="471"/>
      <c r="BE9" s="471"/>
      <c r="BF9" s="471"/>
      <c r="BG9" s="471"/>
      <c r="BH9" s="471"/>
      <c r="BI9" s="471"/>
      <c r="BJ9" s="471"/>
      <c r="BK9" s="471"/>
      <c r="BL9" s="471"/>
      <c r="BM9" s="489"/>
      <c r="BN9" s="473"/>
      <c r="BO9" s="473"/>
      <c r="BP9" s="473"/>
      <c r="BQ9" s="473"/>
      <c r="BR9" s="473"/>
      <c r="BS9" s="473"/>
      <c r="BT9" s="473"/>
      <c r="BU9" s="473"/>
      <c r="BV9" s="473"/>
      <c r="BW9" s="473"/>
      <c r="BX9" s="473"/>
      <c r="BY9" s="473"/>
      <c r="BZ9" s="473"/>
      <c r="CA9" s="473"/>
      <c r="CB9" s="473"/>
      <c r="CC9" s="473"/>
      <c r="CD9" s="473"/>
      <c r="CE9" s="473"/>
      <c r="CF9" s="473"/>
      <c r="CG9" s="473"/>
      <c r="CH9" s="473"/>
      <c r="CI9" s="473"/>
    </row>
    <row r="10" spans="1:87" ht="33.75" customHeight="1" x14ac:dyDescent="0.2">
      <c r="A10" s="494"/>
      <c r="B10" s="773" t="s">
        <v>12</v>
      </c>
      <c r="C10" s="738"/>
      <c r="D10" s="495" t="s">
        <v>13</v>
      </c>
      <c r="E10" s="773" t="s">
        <v>14</v>
      </c>
      <c r="F10" s="738"/>
      <c r="G10" s="773" t="s">
        <v>15</v>
      </c>
      <c r="H10" s="738"/>
      <c r="I10" s="496" t="s">
        <v>16</v>
      </c>
      <c r="J10" s="497"/>
      <c r="K10" s="498"/>
      <c r="L10" s="498"/>
      <c r="M10" s="498"/>
      <c r="N10" s="495" t="s">
        <v>17</v>
      </c>
      <c r="O10" s="495" t="s">
        <v>18</v>
      </c>
      <c r="P10" s="499" t="s">
        <v>19</v>
      </c>
      <c r="Q10" s="773" t="s">
        <v>20</v>
      </c>
      <c r="R10" s="738"/>
      <c r="S10" s="495" t="s">
        <v>21</v>
      </c>
      <c r="T10" s="500"/>
      <c r="U10" s="501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502"/>
      <c r="AI10" s="502"/>
      <c r="AJ10" s="502"/>
      <c r="AK10" s="502"/>
      <c r="AL10" s="502"/>
      <c r="AM10" s="471"/>
      <c r="AN10" s="503"/>
      <c r="AO10" s="473"/>
      <c r="AP10" s="488" t="s">
        <v>22</v>
      </c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1"/>
      <c r="BL10" s="471"/>
      <c r="BM10" s="489"/>
      <c r="BN10" s="473"/>
      <c r="BO10" s="473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</row>
    <row r="11" spans="1:87" ht="11.25" customHeight="1" x14ac:dyDescent="0.2">
      <c r="A11" s="494"/>
      <c r="B11" s="577"/>
      <c r="C11" s="577"/>
      <c r="D11" s="583"/>
      <c r="E11" s="776"/>
      <c r="F11" s="777"/>
      <c r="G11" s="577"/>
      <c r="H11" s="577"/>
      <c r="I11" s="577"/>
      <c r="J11" s="586"/>
      <c r="K11" s="587"/>
      <c r="L11" s="587"/>
      <c r="M11" s="587"/>
      <c r="N11" s="588">
        <v>0.4</v>
      </c>
      <c r="O11" s="583">
        <f t="shared" ref="O11:O16" ca="1" si="0">SUMIF(AJ$29:AJ$48,N11,$AM$29:AM47)</f>
        <v>0</v>
      </c>
      <c r="P11" s="589">
        <f t="shared" ref="P11:P16" si="1">SUMIF(AJ$29:AJ$48,N11,AN$29:AN$48)</f>
        <v>0</v>
      </c>
      <c r="Q11" s="776"/>
      <c r="R11" s="777"/>
      <c r="S11" s="577"/>
      <c r="T11" s="500"/>
      <c r="U11" s="501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502"/>
      <c r="AI11" s="502"/>
      <c r="AJ11" s="502"/>
      <c r="AK11" s="502"/>
      <c r="AL11" s="502"/>
      <c r="AM11" s="471"/>
      <c r="AN11" s="503"/>
      <c r="AO11" s="473"/>
      <c r="AP11" s="488"/>
      <c r="AQ11" s="471"/>
      <c r="AR11" s="471"/>
      <c r="AS11" s="471"/>
      <c r="AT11" s="471"/>
      <c r="AU11" s="471"/>
      <c r="AV11" s="471"/>
      <c r="AW11" s="471"/>
      <c r="AX11" s="471"/>
      <c r="AY11" s="471"/>
      <c r="AZ11" s="471"/>
      <c r="BA11" s="471"/>
      <c r="BB11" s="471"/>
      <c r="BC11" s="471"/>
      <c r="BD11" s="471"/>
      <c r="BE11" s="471"/>
      <c r="BF11" s="471"/>
      <c r="BG11" s="471"/>
      <c r="BH11" s="471"/>
      <c r="BI11" s="471"/>
      <c r="BJ11" s="471"/>
      <c r="BK11" s="471"/>
      <c r="BL11" s="471"/>
      <c r="BM11" s="489"/>
      <c r="BN11" s="473"/>
      <c r="BO11" s="473"/>
      <c r="BP11" s="504"/>
      <c r="BQ11" s="504"/>
      <c r="BR11" s="504"/>
      <c r="BS11" s="504"/>
      <c r="BT11" s="504"/>
      <c r="BU11" s="504"/>
      <c r="BV11" s="504"/>
      <c r="BW11" s="504"/>
      <c r="BX11" s="504"/>
      <c r="BY11" s="504"/>
      <c r="BZ11" s="504"/>
      <c r="CA11" s="504"/>
      <c r="CB11" s="504"/>
      <c r="CC11" s="504"/>
      <c r="CD11" s="504"/>
      <c r="CE11" s="504"/>
      <c r="CF11" s="504"/>
      <c r="CG11" s="504"/>
      <c r="CH11" s="504"/>
      <c r="CI11" s="504"/>
    </row>
    <row r="12" spans="1:87" ht="12.75" customHeight="1" x14ac:dyDescent="0.2">
      <c r="A12" s="471"/>
      <c r="B12" s="577"/>
      <c r="C12" s="577"/>
      <c r="D12" s="577"/>
      <c r="E12" s="776"/>
      <c r="F12" s="777"/>
      <c r="G12" s="577" t="s">
        <v>23</v>
      </c>
      <c r="H12" s="577">
        <v>25</v>
      </c>
      <c r="I12" s="590">
        <v>10</v>
      </c>
      <c r="J12" s="591"/>
      <c r="K12" s="592"/>
      <c r="L12" s="592"/>
      <c r="M12" s="592"/>
      <c r="N12" s="588">
        <v>0.5</v>
      </c>
      <c r="O12" s="583">
        <f t="shared" si="0"/>
        <v>0</v>
      </c>
      <c r="P12" s="589">
        <f t="shared" si="1"/>
        <v>0</v>
      </c>
      <c r="Q12" s="778" t="s">
        <v>24</v>
      </c>
      <c r="R12" s="777"/>
      <c r="S12" s="577">
        <f>ROUNDUP(AI49/6,0)</f>
        <v>0</v>
      </c>
      <c r="T12" s="500"/>
      <c r="U12" s="501"/>
      <c r="V12" s="471"/>
      <c r="W12" s="471"/>
      <c r="X12" s="471"/>
      <c r="Y12" s="471"/>
      <c r="Z12" s="471"/>
      <c r="AA12" s="471"/>
      <c r="AB12" s="471"/>
      <c r="AC12" s="475" t="s">
        <v>25</v>
      </c>
      <c r="AD12" s="471"/>
      <c r="AE12" s="471"/>
      <c r="AF12" s="471"/>
      <c r="AG12" s="471"/>
      <c r="AH12" s="502"/>
      <c r="AI12" s="502"/>
      <c r="AJ12" s="502"/>
      <c r="AK12" s="502"/>
      <c r="AL12" s="502"/>
      <c r="AM12" s="471"/>
      <c r="AN12" s="503"/>
      <c r="AO12" s="504"/>
      <c r="AP12" s="798" t="s">
        <v>26</v>
      </c>
      <c r="AQ12" s="775"/>
      <c r="AR12" s="775"/>
      <c r="AS12" s="799" t="s">
        <v>27</v>
      </c>
      <c r="AT12" s="775"/>
      <c r="AU12" s="775"/>
      <c r="AV12" s="774" t="s">
        <v>28</v>
      </c>
      <c r="AW12" s="775"/>
      <c r="AX12" s="774" t="s">
        <v>29</v>
      </c>
      <c r="AY12" s="775"/>
      <c r="AZ12" s="775"/>
      <c r="BA12" s="774" t="s">
        <v>30</v>
      </c>
      <c r="BB12" s="775"/>
      <c r="BC12" s="774" t="s">
        <v>31</v>
      </c>
      <c r="BD12" s="775"/>
      <c r="BE12" s="775"/>
      <c r="BF12" s="774" t="s">
        <v>32</v>
      </c>
      <c r="BG12" s="775"/>
      <c r="BH12" s="775"/>
      <c r="BI12" s="774" t="s">
        <v>33</v>
      </c>
      <c r="BJ12" s="775"/>
      <c r="BK12" s="775"/>
      <c r="BL12" s="774" t="s">
        <v>34</v>
      </c>
      <c r="BM12" s="793"/>
      <c r="BN12" s="504"/>
      <c r="BO12" s="504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</row>
    <row r="13" spans="1:87" ht="12.75" customHeight="1" thickBot="1" x14ac:dyDescent="0.25">
      <c r="A13" s="471"/>
      <c r="B13" s="577" t="s">
        <v>23</v>
      </c>
      <c r="C13" s="577">
        <v>25</v>
      </c>
      <c r="D13" s="577">
        <v>4</v>
      </c>
      <c r="E13" s="776">
        <v>0.5</v>
      </c>
      <c r="F13" s="777"/>
      <c r="G13" s="577">
        <v>26</v>
      </c>
      <c r="H13" s="577">
        <v>70</v>
      </c>
      <c r="I13" s="590">
        <v>16</v>
      </c>
      <c r="J13" s="591"/>
      <c r="K13" s="592"/>
      <c r="L13" s="592"/>
      <c r="M13" s="592"/>
      <c r="N13" s="588">
        <v>0.6</v>
      </c>
      <c r="O13" s="583">
        <f t="shared" si="0"/>
        <v>0</v>
      </c>
      <c r="P13" s="589">
        <f t="shared" si="1"/>
        <v>0</v>
      </c>
      <c r="Q13" s="778" t="s">
        <v>35</v>
      </c>
      <c r="R13" s="777"/>
      <c r="S13" s="593">
        <f>ROUNDUP(Z49,0)</f>
        <v>0</v>
      </c>
      <c r="T13" s="506"/>
      <c r="U13" s="501"/>
      <c r="V13" s="471"/>
      <c r="W13" s="471"/>
      <c r="X13" s="507"/>
      <c r="Y13" s="508"/>
      <c r="Z13" s="508"/>
      <c r="AA13" s="509" t="s">
        <v>233</v>
      </c>
      <c r="AB13" s="510" t="s">
        <v>234</v>
      </c>
      <c r="AC13" s="510"/>
      <c r="AD13" s="510"/>
      <c r="AE13" s="510"/>
      <c r="AF13" s="511"/>
      <c r="AG13" s="512"/>
      <c r="AH13" s="502"/>
      <c r="AI13" s="502"/>
      <c r="AJ13" s="502"/>
      <c r="AK13" s="502"/>
      <c r="AL13" s="502"/>
      <c r="AM13" s="471"/>
      <c r="AN13" s="503"/>
      <c r="AO13" s="473"/>
      <c r="AP13" s="513"/>
      <c r="AQ13" s="514"/>
      <c r="AR13" s="514"/>
      <c r="AS13" s="514"/>
      <c r="AT13" s="514"/>
      <c r="AU13" s="514"/>
      <c r="AV13" s="514"/>
      <c r="AW13" s="514"/>
      <c r="AX13" s="514"/>
      <c r="AY13" s="514"/>
      <c r="AZ13" s="514"/>
      <c r="BA13" s="514"/>
      <c r="BB13" s="514"/>
      <c r="BC13" s="514"/>
      <c r="BD13" s="514"/>
      <c r="BE13" s="514"/>
      <c r="BF13" s="514"/>
      <c r="BG13" s="514"/>
      <c r="BH13" s="514"/>
      <c r="BI13" s="514"/>
      <c r="BJ13" s="514"/>
      <c r="BK13" s="514"/>
      <c r="BL13" s="514"/>
      <c r="BM13" s="515"/>
      <c r="BN13" s="473"/>
      <c r="BO13" s="47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473"/>
      <c r="CB13" s="473"/>
      <c r="CC13" s="473"/>
      <c r="CD13" s="473"/>
      <c r="CE13" s="473"/>
      <c r="CF13" s="473"/>
      <c r="CG13" s="473"/>
      <c r="CH13" s="473"/>
      <c r="CI13" s="473"/>
    </row>
    <row r="14" spans="1:87" ht="12.75" customHeight="1" x14ac:dyDescent="0.2">
      <c r="A14" s="471"/>
      <c r="B14" s="577">
        <v>26</v>
      </c>
      <c r="C14" s="577">
        <v>65</v>
      </c>
      <c r="D14" s="577">
        <v>4</v>
      </c>
      <c r="E14" s="776">
        <v>0.5</v>
      </c>
      <c r="F14" s="777"/>
      <c r="G14" s="577">
        <v>71</v>
      </c>
      <c r="H14" s="577">
        <v>90</v>
      </c>
      <c r="I14" s="590">
        <v>20</v>
      </c>
      <c r="J14" s="591"/>
      <c r="K14" s="592"/>
      <c r="L14" s="592"/>
      <c r="M14" s="592"/>
      <c r="N14" s="588">
        <v>0.8</v>
      </c>
      <c r="O14" s="583">
        <f t="shared" si="0"/>
        <v>0</v>
      </c>
      <c r="P14" s="589">
        <f t="shared" si="1"/>
        <v>0</v>
      </c>
      <c r="Q14" s="778" t="s">
        <v>36</v>
      </c>
      <c r="R14" s="777"/>
      <c r="S14" s="593">
        <f>S12*2</f>
        <v>0</v>
      </c>
      <c r="T14" s="506"/>
      <c r="U14" s="501"/>
      <c r="V14" s="471"/>
      <c r="W14" s="471"/>
      <c r="X14" s="516"/>
      <c r="AA14" s="517"/>
      <c r="AB14" s="518"/>
      <c r="AC14" s="518"/>
      <c r="AD14" s="518"/>
      <c r="AE14" s="518"/>
      <c r="AF14" s="519"/>
      <c r="AG14" s="520"/>
      <c r="AH14" s="502"/>
      <c r="AI14" s="502"/>
      <c r="AJ14" s="502"/>
      <c r="AK14" s="502"/>
      <c r="AL14" s="502"/>
      <c r="AM14" s="471"/>
      <c r="AN14" s="503"/>
      <c r="AO14" s="473"/>
      <c r="AP14" s="473"/>
      <c r="AQ14" s="473"/>
      <c r="AR14" s="473"/>
      <c r="AS14" s="473"/>
      <c r="AT14" s="473"/>
      <c r="AU14" s="473"/>
      <c r="AV14" s="473"/>
      <c r="AW14" s="473"/>
      <c r="AX14" s="473"/>
      <c r="AY14" s="473"/>
      <c r="AZ14" s="473"/>
      <c r="BA14" s="473"/>
      <c r="BB14" s="473"/>
      <c r="BC14" s="473"/>
      <c r="BD14" s="473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3"/>
      <c r="BR14" s="473"/>
      <c r="BS14" s="473"/>
      <c r="BT14" s="473"/>
      <c r="BU14" s="473"/>
      <c r="BV14" s="473"/>
      <c r="BW14" s="473"/>
      <c r="BX14" s="473"/>
      <c r="BY14" s="473"/>
      <c r="BZ14" s="473"/>
      <c r="CA14" s="473"/>
      <c r="CB14" s="473"/>
      <c r="CC14" s="473"/>
      <c r="CD14" s="473"/>
      <c r="CE14" s="473"/>
      <c r="CF14" s="473"/>
      <c r="CG14" s="473"/>
      <c r="CH14" s="473"/>
      <c r="CI14" s="473"/>
    </row>
    <row r="15" spans="1:87" ht="12.75" customHeight="1" x14ac:dyDescent="0.2">
      <c r="A15" s="471"/>
      <c r="B15" s="577">
        <v>66</v>
      </c>
      <c r="C15" s="577">
        <v>75</v>
      </c>
      <c r="D15" s="577">
        <v>4.8</v>
      </c>
      <c r="E15" s="776">
        <v>0.6</v>
      </c>
      <c r="F15" s="777"/>
      <c r="G15" s="577">
        <v>91</v>
      </c>
      <c r="H15" s="577">
        <v>200</v>
      </c>
      <c r="I15" s="590">
        <v>25</v>
      </c>
      <c r="J15" s="591"/>
      <c r="K15" s="592"/>
      <c r="L15" s="592"/>
      <c r="M15" s="592"/>
      <c r="N15" s="588">
        <v>1</v>
      </c>
      <c r="O15" s="583">
        <f t="shared" si="0"/>
        <v>0</v>
      </c>
      <c r="P15" s="589">
        <f t="shared" si="1"/>
        <v>0</v>
      </c>
      <c r="Q15" s="778" t="s">
        <v>37</v>
      </c>
      <c r="R15" s="777"/>
      <c r="S15" s="590">
        <f>ROUNDUP(AI49/16,0)</f>
        <v>0</v>
      </c>
      <c r="T15" s="471"/>
      <c r="U15" s="501"/>
      <c r="V15" s="471"/>
      <c r="W15" s="471"/>
      <c r="X15" s="516"/>
      <c r="AA15" s="517"/>
      <c r="AB15" s="518"/>
      <c r="AC15" s="518"/>
      <c r="AD15" s="518"/>
      <c r="AE15" s="518"/>
      <c r="AF15" s="519"/>
      <c r="AG15" s="520"/>
      <c r="AH15" s="471"/>
      <c r="AI15" s="471"/>
      <c r="AJ15" s="471"/>
      <c r="AK15" s="471"/>
      <c r="AL15" s="471"/>
      <c r="AM15" s="471"/>
      <c r="AN15" s="503"/>
      <c r="AO15" s="473"/>
      <c r="AP15" s="473"/>
      <c r="AQ15" s="473"/>
      <c r="AR15" s="473"/>
      <c r="AS15" s="473"/>
      <c r="AT15" s="473"/>
      <c r="AU15" s="473"/>
      <c r="AV15" s="473"/>
      <c r="AW15" s="473"/>
      <c r="AX15" s="473"/>
      <c r="AY15" s="473"/>
      <c r="AZ15" s="473"/>
      <c r="BA15" s="473"/>
      <c r="BB15" s="473"/>
      <c r="BC15" s="473"/>
      <c r="BD15" s="473"/>
      <c r="BE15" s="473"/>
      <c r="BF15" s="473"/>
      <c r="BG15" s="473"/>
      <c r="BH15" s="473"/>
      <c r="BI15" s="473"/>
      <c r="BJ15" s="473"/>
      <c r="BK15" s="473"/>
      <c r="BL15" s="473"/>
      <c r="BM15" s="473"/>
      <c r="BN15" s="473"/>
      <c r="BO15" s="473"/>
      <c r="BP15" s="473"/>
      <c r="BQ15" s="473"/>
      <c r="BR15" s="473"/>
      <c r="BS15" s="473"/>
      <c r="BT15" s="473"/>
      <c r="BU15" s="473"/>
      <c r="BV15" s="473"/>
      <c r="BW15" s="473"/>
      <c r="BX15" s="473"/>
      <c r="BY15" s="473"/>
      <c r="BZ15" s="473"/>
      <c r="CA15" s="473"/>
      <c r="CB15" s="473"/>
      <c r="CC15" s="473"/>
      <c r="CD15" s="473"/>
      <c r="CE15" s="473"/>
      <c r="CF15" s="473"/>
      <c r="CG15" s="473"/>
      <c r="CH15" s="473"/>
      <c r="CI15" s="473"/>
    </row>
    <row r="16" spans="1:87" ht="12.75" customHeight="1" x14ac:dyDescent="0.2">
      <c r="A16" s="471"/>
      <c r="B16" s="577">
        <v>76</v>
      </c>
      <c r="C16" s="577">
        <v>100</v>
      </c>
      <c r="D16" s="577">
        <v>6.4</v>
      </c>
      <c r="E16" s="776">
        <v>0.8</v>
      </c>
      <c r="F16" s="777"/>
      <c r="G16" s="594"/>
      <c r="H16" s="594"/>
      <c r="I16" s="595"/>
      <c r="J16" s="594"/>
      <c r="K16" s="594"/>
      <c r="L16" s="594"/>
      <c r="M16" s="594"/>
      <c r="N16" s="596" t="s">
        <v>38</v>
      </c>
      <c r="O16" s="583">
        <f t="shared" si="0"/>
        <v>0</v>
      </c>
      <c r="P16" s="589">
        <f t="shared" si="1"/>
        <v>0</v>
      </c>
      <c r="Q16" s="778" t="s">
        <v>39</v>
      </c>
      <c r="R16" s="777"/>
      <c r="S16" s="577">
        <f>ROUNDUP(AI49/2,0)</f>
        <v>0</v>
      </c>
      <c r="T16" s="506"/>
      <c r="U16" s="501"/>
      <c r="V16" s="471"/>
      <c r="W16" s="471"/>
      <c r="X16" s="521"/>
      <c r="Y16" s="522"/>
      <c r="Z16" s="522"/>
      <c r="AA16" s="523"/>
      <c r="AB16" s="524"/>
      <c r="AC16" s="524"/>
      <c r="AD16" s="524"/>
      <c r="AE16" s="524"/>
      <c r="AF16" s="525"/>
      <c r="AG16" s="526"/>
      <c r="AH16" s="471"/>
      <c r="AI16" s="471"/>
      <c r="AJ16" s="471"/>
      <c r="AK16" s="471"/>
      <c r="AL16" s="471"/>
      <c r="AM16" s="471"/>
      <c r="AN16" s="503"/>
      <c r="AO16" s="527"/>
      <c r="AP16" s="527"/>
      <c r="AQ16" s="527"/>
      <c r="AR16" s="527"/>
      <c r="AS16" s="527"/>
      <c r="AT16" s="527"/>
      <c r="AU16" s="527"/>
      <c r="AV16" s="527"/>
      <c r="AW16" s="473"/>
      <c r="AX16" s="528"/>
      <c r="AY16" s="527"/>
      <c r="AZ16" s="527"/>
      <c r="BA16" s="527"/>
      <c r="BB16" s="527"/>
      <c r="BC16" s="527"/>
      <c r="BD16" s="529"/>
      <c r="BE16" s="473"/>
      <c r="BF16" s="527"/>
      <c r="BG16" s="527"/>
      <c r="BH16" s="473"/>
      <c r="BI16" s="527"/>
      <c r="BJ16" s="473"/>
      <c r="BK16" s="473"/>
      <c r="BL16" s="473"/>
      <c r="BM16" s="473"/>
      <c r="BN16" s="473"/>
      <c r="BO16" s="473"/>
      <c r="BP16" s="473"/>
      <c r="BQ16" s="473"/>
      <c r="BR16" s="473"/>
      <c r="BS16" s="473"/>
      <c r="BT16" s="473"/>
      <c r="BU16" s="473"/>
      <c r="BV16" s="473"/>
      <c r="BW16" s="473"/>
      <c r="BX16" s="473"/>
      <c r="BY16" s="473"/>
      <c r="BZ16" s="473"/>
      <c r="CA16" s="473"/>
      <c r="CB16" s="473"/>
      <c r="CC16" s="473"/>
      <c r="CD16" s="473"/>
      <c r="CE16" s="473"/>
      <c r="CF16" s="473"/>
      <c r="CG16" s="473"/>
      <c r="CH16" s="473"/>
      <c r="CI16" s="473"/>
    </row>
    <row r="17" spans="1:87" ht="12.75" customHeight="1" x14ac:dyDescent="0.2">
      <c r="A17" s="471"/>
      <c r="B17" s="577">
        <v>101</v>
      </c>
      <c r="C17" s="577">
        <v>120</v>
      </c>
      <c r="D17" s="577">
        <v>8</v>
      </c>
      <c r="E17" s="776">
        <v>1</v>
      </c>
      <c r="F17" s="777"/>
      <c r="G17" s="594"/>
      <c r="H17" s="594"/>
      <c r="I17" s="594"/>
      <c r="J17" s="594"/>
      <c r="K17" s="398"/>
      <c r="L17" s="398"/>
      <c r="M17" s="398"/>
      <c r="N17" s="588" t="s">
        <v>40</v>
      </c>
      <c r="O17" s="597">
        <f t="shared" ref="O17:P17" ca="1" si="2">SUM(O11:O16)</f>
        <v>0</v>
      </c>
      <c r="P17" s="598">
        <f t="shared" si="2"/>
        <v>0</v>
      </c>
      <c r="Q17" s="778" t="s">
        <v>41</v>
      </c>
      <c r="R17" s="777"/>
      <c r="S17" s="577">
        <f>ROUNDUP(AI49/6,0)</f>
        <v>0</v>
      </c>
      <c r="T17" s="506"/>
      <c r="U17" s="501"/>
      <c r="V17" s="471"/>
      <c r="W17" s="471"/>
      <c r="X17" s="502"/>
      <c r="Y17" s="502"/>
      <c r="Z17" s="502"/>
      <c r="AA17" s="502"/>
      <c r="AB17" s="502"/>
      <c r="AC17" s="502"/>
      <c r="AD17" s="502"/>
      <c r="AE17" s="502"/>
      <c r="AF17" s="502"/>
      <c r="AG17" s="502"/>
      <c r="AH17" s="471"/>
      <c r="AI17" s="471"/>
      <c r="AJ17" s="471"/>
      <c r="AK17" s="471"/>
      <c r="AL17" s="471"/>
      <c r="AM17" s="471"/>
      <c r="AN17" s="503"/>
      <c r="AO17" s="473"/>
      <c r="AP17" s="527"/>
      <c r="AQ17" s="527"/>
      <c r="AR17" s="527"/>
      <c r="AS17" s="527"/>
      <c r="AT17" s="527"/>
      <c r="AU17" s="527"/>
      <c r="AV17" s="527"/>
      <c r="AW17" s="527"/>
      <c r="AX17" s="527"/>
      <c r="AY17" s="527"/>
      <c r="AZ17" s="527"/>
      <c r="BA17" s="527"/>
      <c r="BB17" s="527"/>
      <c r="BC17" s="527"/>
      <c r="BD17" s="530"/>
      <c r="BE17" s="527"/>
      <c r="BF17" s="527"/>
      <c r="BG17" s="527"/>
      <c r="BH17" s="527"/>
      <c r="BI17" s="527"/>
      <c r="BJ17" s="527"/>
      <c r="BK17" s="529"/>
      <c r="BL17" s="527"/>
      <c r="BM17" s="527"/>
      <c r="BN17" s="527"/>
      <c r="BO17" s="527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</row>
    <row r="18" spans="1:87" ht="12.75" customHeight="1" x14ac:dyDescent="0.2">
      <c r="A18" s="471"/>
      <c r="B18" s="599">
        <v>121</v>
      </c>
      <c r="C18" s="599">
        <v>240</v>
      </c>
      <c r="D18" s="599">
        <v>8</v>
      </c>
      <c r="E18" s="779" t="s">
        <v>42</v>
      </c>
      <c r="F18" s="780"/>
      <c r="G18" s="594"/>
      <c r="H18" s="594"/>
      <c r="I18" s="594"/>
      <c r="J18" s="594"/>
      <c r="K18" s="600"/>
      <c r="L18" s="600"/>
      <c r="M18" s="600"/>
      <c r="N18" s="594"/>
      <c r="O18" s="594"/>
      <c r="P18" s="594"/>
      <c r="Q18" s="778" t="s">
        <v>43</v>
      </c>
      <c r="R18" s="777"/>
      <c r="S18" s="577">
        <f>ROUNDUP(AI49/1.5,0)</f>
        <v>0</v>
      </c>
      <c r="T18" s="506"/>
      <c r="U18" s="531"/>
      <c r="V18" s="471"/>
      <c r="W18" s="471"/>
      <c r="X18" s="471"/>
      <c r="Y18" s="471"/>
      <c r="Z18" s="471"/>
      <c r="AA18" s="471"/>
      <c r="AB18" s="471"/>
      <c r="AC18" s="532"/>
      <c r="AD18" s="532"/>
      <c r="AE18" s="532"/>
      <c r="AF18" s="532"/>
      <c r="AG18" s="532"/>
      <c r="AH18" s="532"/>
      <c r="AI18" s="532"/>
      <c r="AJ18" s="532"/>
      <c r="AK18" s="532"/>
      <c r="AL18" s="532"/>
      <c r="AM18" s="471"/>
      <c r="AN18" s="503"/>
      <c r="AO18" s="473"/>
      <c r="AP18" s="473"/>
      <c r="AQ18" s="473"/>
      <c r="AR18" s="473"/>
      <c r="AS18" s="473"/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3"/>
      <c r="BH18" s="473"/>
      <c r="BI18" s="473"/>
      <c r="BJ18" s="473"/>
      <c r="BK18" s="473"/>
      <c r="BL18" s="473"/>
      <c r="BM18" s="473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  <c r="CF18" s="473"/>
      <c r="CG18" s="473"/>
      <c r="CH18" s="473"/>
      <c r="CI18" s="473"/>
    </row>
    <row r="19" spans="1:87" ht="12.75" customHeight="1" x14ac:dyDescent="0.2">
      <c r="A19" s="471"/>
      <c r="B19" s="601" t="s">
        <v>44</v>
      </c>
      <c r="C19" s="601"/>
      <c r="D19" s="601"/>
      <c r="E19" s="601"/>
      <c r="F19" s="601"/>
      <c r="G19" s="602"/>
      <c r="H19" s="602"/>
      <c r="I19" s="594"/>
      <c r="J19" s="594"/>
      <c r="K19" s="594"/>
      <c r="L19" s="594"/>
      <c r="M19" s="600"/>
      <c r="N19" s="594"/>
      <c r="O19" s="594"/>
      <c r="P19" s="594"/>
      <c r="Q19" s="778" t="s">
        <v>45</v>
      </c>
      <c r="R19" s="777"/>
      <c r="S19" s="577">
        <f>ROUNDUP(AI49/3,0)</f>
        <v>0</v>
      </c>
      <c r="T19" s="533"/>
      <c r="U19" s="531"/>
      <c r="V19" s="471"/>
      <c r="W19" s="471"/>
      <c r="X19" s="471"/>
      <c r="Y19" s="471"/>
      <c r="Z19" s="471"/>
      <c r="AA19" s="471"/>
      <c r="AB19" s="471"/>
      <c r="AC19" s="532"/>
      <c r="AD19" s="532"/>
      <c r="AE19" s="532"/>
      <c r="AF19" s="532"/>
      <c r="AG19" s="532"/>
      <c r="AH19" s="532"/>
      <c r="AI19" s="532"/>
      <c r="AJ19" s="532"/>
      <c r="AK19" s="532"/>
      <c r="AL19" s="532"/>
      <c r="AM19" s="471"/>
      <c r="AN19" s="503"/>
      <c r="AO19" s="473"/>
      <c r="AP19" s="473"/>
      <c r="AQ19" s="473"/>
      <c r="AR19" s="473"/>
      <c r="AS19" s="473"/>
      <c r="AT19" s="473"/>
      <c r="AU19" s="473"/>
      <c r="AV19" s="473"/>
      <c r="AW19" s="473"/>
      <c r="AX19" s="473"/>
      <c r="AY19" s="473"/>
      <c r="AZ19" s="473"/>
      <c r="BA19" s="473"/>
      <c r="BB19" s="473"/>
      <c r="BC19" s="473"/>
      <c r="BD19" s="473"/>
      <c r="BE19" s="473"/>
      <c r="BF19" s="473"/>
      <c r="BG19" s="473"/>
      <c r="BH19" s="473"/>
      <c r="BI19" s="473"/>
      <c r="BJ19" s="473"/>
      <c r="BK19" s="473"/>
      <c r="BL19" s="473"/>
      <c r="BM19" s="473"/>
      <c r="BN19" s="473"/>
      <c r="BO19" s="473"/>
      <c r="BP19" s="473"/>
      <c r="BQ19" s="473"/>
      <c r="BR19" s="473"/>
      <c r="BS19" s="473"/>
      <c r="BT19" s="473"/>
      <c r="BU19" s="473"/>
      <c r="BV19" s="473"/>
      <c r="BW19" s="473"/>
      <c r="BX19" s="473"/>
      <c r="BY19" s="473"/>
      <c r="BZ19" s="473"/>
      <c r="CA19" s="473"/>
      <c r="CB19" s="473"/>
      <c r="CC19" s="473"/>
      <c r="CD19" s="473"/>
      <c r="CE19" s="473"/>
      <c r="CF19" s="473"/>
      <c r="CG19" s="473"/>
      <c r="CH19" s="473"/>
      <c r="CI19" s="473"/>
    </row>
    <row r="20" spans="1:87" ht="12.75" customHeight="1" x14ac:dyDescent="0.2">
      <c r="A20" s="471"/>
      <c r="B20" s="781" t="s">
        <v>44</v>
      </c>
      <c r="C20" s="782"/>
      <c r="D20" s="782"/>
      <c r="E20" s="782"/>
      <c r="F20" s="782"/>
      <c r="G20" s="782"/>
      <c r="H20" s="782"/>
      <c r="I20" s="782"/>
      <c r="J20" s="782"/>
      <c r="K20" s="777"/>
      <c r="L20" s="603"/>
      <c r="M20" s="600"/>
      <c r="N20" s="594"/>
      <c r="O20" s="594"/>
      <c r="P20" s="594"/>
      <c r="Q20" s="783" t="s">
        <v>46</v>
      </c>
      <c r="R20" s="604" t="s">
        <v>47</v>
      </c>
      <c r="S20" s="577">
        <f>AI49+AH49</f>
        <v>0</v>
      </c>
      <c r="T20" s="533"/>
      <c r="U20" s="471"/>
      <c r="V20" s="471"/>
      <c r="W20" s="471"/>
      <c r="X20" s="471"/>
      <c r="Y20" s="471"/>
      <c r="Z20" s="471"/>
      <c r="AA20" s="471"/>
      <c r="AB20" s="471"/>
      <c r="AC20" s="532"/>
      <c r="AD20" s="532"/>
      <c r="AE20" s="532"/>
      <c r="AF20" s="532"/>
      <c r="AG20" s="532"/>
      <c r="AH20" s="532"/>
      <c r="AI20" s="532"/>
      <c r="AJ20" s="532"/>
      <c r="AK20" s="532"/>
      <c r="AL20" s="532"/>
      <c r="AM20" s="532"/>
      <c r="AN20" s="534"/>
      <c r="AO20" s="473"/>
      <c r="AP20" s="473"/>
      <c r="AQ20" s="473"/>
      <c r="AR20" s="473"/>
      <c r="AS20" s="473"/>
      <c r="AT20" s="473"/>
      <c r="AU20" s="473"/>
      <c r="AV20" s="473"/>
      <c r="AW20" s="473"/>
      <c r="AX20" s="473"/>
      <c r="AY20" s="473"/>
      <c r="AZ20" s="473"/>
      <c r="BA20" s="473"/>
      <c r="BB20" s="473"/>
      <c r="BC20" s="473"/>
      <c r="BD20" s="473"/>
      <c r="BE20" s="473"/>
      <c r="BF20" s="473"/>
      <c r="BG20" s="473"/>
      <c r="BH20" s="473"/>
      <c r="BI20" s="473"/>
      <c r="BJ20" s="473"/>
      <c r="BK20" s="473"/>
      <c r="BL20" s="473"/>
      <c r="BM20" s="473"/>
      <c r="BN20" s="473"/>
      <c r="BO20" s="473"/>
      <c r="BP20" s="473"/>
      <c r="BQ20" s="473"/>
      <c r="BR20" s="473"/>
      <c r="BS20" s="473"/>
      <c r="BT20" s="473"/>
      <c r="BU20" s="473"/>
      <c r="BV20" s="473"/>
      <c r="BW20" s="473"/>
      <c r="BX20" s="473"/>
      <c r="BY20" s="473"/>
      <c r="BZ20" s="473"/>
      <c r="CA20" s="473"/>
      <c r="CB20" s="473"/>
      <c r="CC20" s="473"/>
      <c r="CD20" s="473"/>
      <c r="CE20" s="473"/>
      <c r="CF20" s="473"/>
      <c r="CG20" s="473"/>
      <c r="CH20" s="473"/>
      <c r="CI20" s="473"/>
    </row>
    <row r="21" spans="1:87" ht="12.75" customHeight="1" x14ac:dyDescent="0.2">
      <c r="A21" s="471"/>
      <c r="B21" s="784" t="s">
        <v>48</v>
      </c>
      <c r="C21" s="785"/>
      <c r="D21" s="788" t="s">
        <v>14</v>
      </c>
      <c r="E21" s="398"/>
      <c r="F21" s="398"/>
      <c r="G21" s="398"/>
      <c r="H21" s="398"/>
      <c r="I21" s="594"/>
      <c r="J21" s="594"/>
      <c r="K21" s="594"/>
      <c r="L21" s="594"/>
      <c r="M21" s="600"/>
      <c r="N21" s="594"/>
      <c r="O21" s="594"/>
      <c r="P21" s="594"/>
      <c r="Q21" s="772"/>
      <c r="R21" s="604" t="s">
        <v>49</v>
      </c>
      <c r="S21" s="577">
        <f>ROUNDUP(S20*0.062,0)</f>
        <v>0</v>
      </c>
      <c r="T21" s="471"/>
      <c r="U21" s="471"/>
      <c r="V21" s="471"/>
      <c r="W21" s="471"/>
      <c r="X21" s="471"/>
      <c r="Y21" s="471"/>
      <c r="Z21" s="471"/>
      <c r="AA21" s="471"/>
      <c r="AB21" s="471"/>
      <c r="AC21" s="532"/>
      <c r="AD21" s="532"/>
      <c r="AE21" s="532"/>
      <c r="AF21" s="532"/>
      <c r="AG21" s="471"/>
      <c r="AH21" s="471"/>
      <c r="AI21" s="471"/>
      <c r="AJ21" s="471"/>
      <c r="AK21" s="471"/>
      <c r="AL21" s="471"/>
      <c r="AM21" s="532"/>
      <c r="AN21" s="471"/>
      <c r="AO21" s="473"/>
      <c r="AP21" s="535">
        <v>1</v>
      </c>
      <c r="AQ21" s="535">
        <v>2</v>
      </c>
      <c r="AR21" s="535">
        <v>3</v>
      </c>
      <c r="AS21" s="535">
        <v>4</v>
      </c>
      <c r="AT21" s="535">
        <v>5</v>
      </c>
      <c r="AU21" s="535">
        <v>6</v>
      </c>
      <c r="AV21" s="535">
        <v>7</v>
      </c>
      <c r="AW21" s="535">
        <v>8</v>
      </c>
      <c r="AX21" s="535">
        <v>9</v>
      </c>
      <c r="AY21" s="535">
        <v>10</v>
      </c>
      <c r="AZ21" s="535">
        <v>11</v>
      </c>
      <c r="BA21" s="535">
        <v>12</v>
      </c>
      <c r="BB21" s="535">
        <v>13</v>
      </c>
      <c r="BC21" s="535">
        <v>14</v>
      </c>
      <c r="BD21" s="535">
        <v>15</v>
      </c>
      <c r="BE21" s="535">
        <v>16</v>
      </c>
      <c r="BF21" s="535">
        <v>17</v>
      </c>
      <c r="BG21" s="535">
        <v>18</v>
      </c>
      <c r="BH21" s="535">
        <v>19</v>
      </c>
      <c r="BI21" s="535">
        <v>20</v>
      </c>
      <c r="BJ21" s="535">
        <v>21</v>
      </c>
      <c r="BK21" s="535">
        <v>22</v>
      </c>
      <c r="BL21" s="535">
        <v>23</v>
      </c>
      <c r="BM21" s="535">
        <v>24</v>
      </c>
      <c r="BN21" s="535">
        <v>25</v>
      </c>
      <c r="BO21" s="535">
        <v>26</v>
      </c>
      <c r="BP21" s="473"/>
      <c r="BQ21" s="473"/>
      <c r="BR21" s="473"/>
      <c r="BS21" s="473"/>
      <c r="BT21" s="473"/>
      <c r="BU21" s="473"/>
      <c r="BV21" s="473"/>
      <c r="BW21" s="473"/>
      <c r="BX21" s="473"/>
      <c r="BY21" s="473"/>
      <c r="BZ21" s="473"/>
      <c r="CA21" s="473"/>
      <c r="CB21" s="473"/>
      <c r="CC21" s="473"/>
      <c r="CD21" s="473"/>
      <c r="CE21" s="473"/>
      <c r="CF21" s="473"/>
      <c r="CG21" s="473"/>
      <c r="CH21" s="473"/>
      <c r="CI21" s="473"/>
    </row>
    <row r="22" spans="1:87" ht="12.75" customHeight="1" x14ac:dyDescent="0.2">
      <c r="A22" s="471"/>
      <c r="B22" s="786"/>
      <c r="C22" s="787"/>
      <c r="D22" s="772"/>
      <c r="E22" s="398"/>
      <c r="F22" s="398"/>
      <c r="G22" s="398"/>
      <c r="H22" s="398"/>
      <c r="I22" s="594"/>
      <c r="J22" s="594"/>
      <c r="K22" s="594"/>
      <c r="L22" s="594"/>
      <c r="M22" s="600"/>
      <c r="N22" s="594"/>
      <c r="O22" s="594"/>
      <c r="P22" s="594"/>
      <c r="Q22" s="771" t="s">
        <v>50</v>
      </c>
      <c r="R22" s="604" t="s">
        <v>51</v>
      </c>
      <c r="S22" s="593">
        <f>ROUNDUP(Y49,0)</f>
        <v>0</v>
      </c>
      <c r="T22" s="471"/>
      <c r="U22" s="471"/>
      <c r="V22" s="471"/>
      <c r="W22" s="471"/>
      <c r="X22" s="471"/>
      <c r="Y22" s="471"/>
      <c r="Z22" s="471"/>
      <c r="AA22" s="471"/>
      <c r="AB22" s="471"/>
      <c r="AC22" s="532"/>
      <c r="AD22" s="532"/>
      <c r="AE22" s="532"/>
      <c r="AF22" s="532"/>
      <c r="AG22" s="471"/>
      <c r="AH22" s="471"/>
      <c r="AI22" s="471"/>
      <c r="AJ22" s="471"/>
      <c r="AK22" s="471"/>
      <c r="AL22" s="471"/>
      <c r="AM22" s="532"/>
      <c r="AN22" s="534"/>
      <c r="AO22" s="473"/>
      <c r="AP22" s="535"/>
      <c r="AQ22" s="535"/>
      <c r="AR22" s="535"/>
      <c r="AS22" s="535"/>
      <c r="AT22" s="535"/>
      <c r="AU22" s="535"/>
      <c r="AV22" s="535"/>
      <c r="AW22" s="535"/>
      <c r="AX22" s="535"/>
      <c r="AY22" s="535"/>
      <c r="AZ22" s="535"/>
      <c r="BA22" s="535"/>
      <c r="BB22" s="535"/>
      <c r="BC22" s="535"/>
      <c r="BD22" s="535"/>
      <c r="BE22" s="535"/>
      <c r="BF22" s="535"/>
      <c r="BG22" s="535"/>
      <c r="BH22" s="535"/>
      <c r="BI22" s="535"/>
      <c r="BJ22" s="535"/>
      <c r="BK22" s="535"/>
      <c r="BL22" s="535"/>
      <c r="BM22" s="535"/>
      <c r="BN22" s="535"/>
      <c r="BO22" s="535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473"/>
      <c r="CB22" s="473"/>
      <c r="CC22" s="473"/>
      <c r="CD22" s="473"/>
      <c r="CE22" s="473"/>
      <c r="CF22" s="473"/>
      <c r="CG22" s="473"/>
      <c r="CH22" s="473"/>
      <c r="CI22" s="473"/>
    </row>
    <row r="23" spans="1:87" ht="12.75" customHeight="1" x14ac:dyDescent="0.2">
      <c r="A23" s="471"/>
      <c r="B23" s="577" t="s">
        <v>23</v>
      </c>
      <c r="C23" s="577">
        <v>36</v>
      </c>
      <c r="D23" s="577">
        <v>0.5</v>
      </c>
      <c r="E23" s="398"/>
      <c r="F23" s="398"/>
      <c r="G23" s="398"/>
      <c r="H23" s="398"/>
      <c r="I23" s="594"/>
      <c r="J23" s="594"/>
      <c r="K23" s="594"/>
      <c r="L23" s="594"/>
      <c r="M23" s="398"/>
      <c r="N23" s="594"/>
      <c r="O23" s="594"/>
      <c r="P23" s="594"/>
      <c r="Q23" s="772"/>
      <c r="R23" s="604" t="s">
        <v>49</v>
      </c>
      <c r="S23" s="605">
        <f>ROUNDUP(5.3*100*D15/10000*S22,0)</f>
        <v>0</v>
      </c>
      <c r="T23" s="536"/>
      <c r="U23" s="471"/>
      <c r="V23" s="471"/>
      <c r="W23" s="471"/>
      <c r="X23" s="471"/>
      <c r="Y23" s="471"/>
      <c r="Z23" s="471"/>
      <c r="AA23" s="471"/>
      <c r="AB23" s="471"/>
      <c r="AC23" s="537"/>
      <c r="AD23" s="532"/>
      <c r="AE23" s="532"/>
      <c r="AF23" s="532"/>
      <c r="AG23" s="538"/>
      <c r="AH23" s="532"/>
      <c r="AI23" s="532"/>
      <c r="AJ23" s="532"/>
      <c r="AK23" s="532"/>
      <c r="AL23" s="532"/>
      <c r="AM23" s="532"/>
      <c r="AN23" s="471"/>
      <c r="AO23" s="473"/>
      <c r="AP23" s="473"/>
      <c r="AQ23" s="473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473"/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</row>
    <row r="24" spans="1:87" ht="12.75" customHeight="1" x14ac:dyDescent="0.2">
      <c r="A24" s="471"/>
      <c r="B24" s="577">
        <v>37</v>
      </c>
      <c r="C24" s="577">
        <v>66</v>
      </c>
      <c r="D24" s="577">
        <v>0.6</v>
      </c>
      <c r="E24" s="594"/>
      <c r="F24" s="594"/>
      <c r="G24" s="594"/>
      <c r="H24" s="594"/>
      <c r="I24" s="594"/>
      <c r="J24" s="606"/>
      <c r="K24" s="594"/>
      <c r="L24" s="594"/>
      <c r="M24" s="594"/>
      <c r="N24" s="594"/>
      <c r="O24" s="398"/>
      <c r="P24" s="398"/>
      <c r="Q24" s="771" t="s">
        <v>52</v>
      </c>
      <c r="R24" s="604" t="s">
        <v>47</v>
      </c>
      <c r="S24" s="593">
        <f>ROUNDUP(X49,0)</f>
        <v>0</v>
      </c>
      <c r="T24" s="471"/>
      <c r="U24" s="471"/>
      <c r="V24" s="471"/>
      <c r="W24" s="471"/>
      <c r="X24" s="471"/>
      <c r="Y24" s="471"/>
      <c r="Z24" s="471"/>
      <c r="AA24" s="539"/>
      <c r="AB24" s="471"/>
      <c r="AC24" s="471"/>
      <c r="AD24" s="471"/>
      <c r="AE24" s="471"/>
      <c r="AF24" s="471"/>
      <c r="AG24" s="532"/>
      <c r="AH24" s="532"/>
      <c r="AI24" s="532"/>
      <c r="AJ24" s="532"/>
      <c r="AK24" s="532"/>
      <c r="AL24" s="540"/>
      <c r="AM24" s="540"/>
      <c r="AN24" s="471"/>
      <c r="AO24" s="505"/>
      <c r="AP24" s="505"/>
      <c r="AQ24" s="505"/>
      <c r="AR24" s="505"/>
      <c r="AS24" s="505"/>
      <c r="AT24" s="473"/>
      <c r="AU24" s="473"/>
      <c r="AV24" s="473"/>
      <c r="AW24" s="473"/>
      <c r="AX24" s="473"/>
      <c r="AY24" s="541"/>
      <c r="AZ24" s="473"/>
      <c r="BA24" s="473"/>
      <c r="BB24" s="473"/>
      <c r="BC24" s="473"/>
      <c r="BD24" s="473"/>
      <c r="BE24" s="473"/>
      <c r="BF24" s="473"/>
      <c r="BG24" s="473"/>
      <c r="BH24" s="473"/>
      <c r="BI24" s="473"/>
      <c r="BJ24" s="473"/>
      <c r="BK24" s="473"/>
      <c r="BL24" s="473"/>
      <c r="BM24" s="473"/>
      <c r="BN24" s="473"/>
      <c r="BO24" s="473"/>
      <c r="BP24" s="473"/>
      <c r="BQ24" s="473"/>
      <c r="BR24" s="473"/>
      <c r="BS24" s="473"/>
      <c r="BT24" s="473"/>
      <c r="BU24" s="473"/>
      <c r="BV24" s="473"/>
      <c r="BW24" s="473"/>
      <c r="BX24" s="473"/>
      <c r="BY24" s="473"/>
      <c r="BZ24" s="473"/>
      <c r="CA24" s="473"/>
      <c r="CB24" s="473"/>
      <c r="CC24" s="473"/>
      <c r="CD24" s="473"/>
      <c r="CE24" s="473"/>
      <c r="CF24" s="473"/>
      <c r="CG24" s="473"/>
      <c r="CH24" s="473"/>
      <c r="CI24" s="473"/>
    </row>
    <row r="25" spans="1:87" ht="12.75" customHeight="1" x14ac:dyDescent="0.2">
      <c r="A25" s="471"/>
      <c r="B25" s="577">
        <v>67</v>
      </c>
      <c r="C25" s="577">
        <v>91</v>
      </c>
      <c r="D25" s="577">
        <v>0.8</v>
      </c>
      <c r="E25" s="594"/>
      <c r="F25" s="594"/>
      <c r="G25" s="594"/>
      <c r="H25" s="594"/>
      <c r="I25" s="594"/>
      <c r="J25" s="606"/>
      <c r="K25" s="594"/>
      <c r="L25" s="594"/>
      <c r="M25" s="594"/>
      <c r="N25" s="594"/>
      <c r="O25" s="398"/>
      <c r="P25" s="398"/>
      <c r="Q25" s="772"/>
      <c r="R25" s="604" t="s">
        <v>49</v>
      </c>
      <c r="S25" s="605">
        <f>ROUNDUP(5.7*100*D16/10000*S24,0)</f>
        <v>0</v>
      </c>
      <c r="T25" s="471"/>
      <c r="U25" s="471"/>
      <c r="V25" s="471"/>
      <c r="W25" s="471"/>
      <c r="X25" s="471"/>
      <c r="Y25" s="471"/>
      <c r="Z25" s="471"/>
      <c r="AA25" s="539"/>
      <c r="AB25" s="542"/>
      <c r="AC25" s="543"/>
      <c r="AD25" s="532"/>
      <c r="AE25" s="532"/>
      <c r="AF25" s="532"/>
      <c r="AG25" s="544"/>
      <c r="AH25" s="544"/>
      <c r="AI25" s="544"/>
      <c r="AJ25" s="544"/>
      <c r="AK25" s="544"/>
      <c r="AL25" s="540"/>
      <c r="AM25" s="540"/>
      <c r="AN25" s="471"/>
      <c r="AO25" s="505"/>
      <c r="AP25" s="505"/>
      <c r="AQ25" s="505"/>
      <c r="AR25" s="505"/>
      <c r="AS25" s="505"/>
      <c r="AT25" s="473"/>
      <c r="AU25" s="473"/>
      <c r="AV25" s="473"/>
      <c r="AW25" s="473"/>
      <c r="AX25" s="473"/>
      <c r="AY25" s="541"/>
      <c r="AZ25" s="473"/>
      <c r="BA25" s="473"/>
      <c r="BB25" s="473"/>
      <c r="BC25" s="473"/>
      <c r="BD25" s="473"/>
      <c r="BE25" s="473"/>
      <c r="BF25" s="473"/>
      <c r="BG25" s="473"/>
      <c r="BH25" s="473"/>
      <c r="BI25" s="473"/>
      <c r="BJ25" s="473"/>
      <c r="BK25" s="473"/>
      <c r="BL25" s="473"/>
      <c r="BM25" s="473"/>
      <c r="BN25" s="473"/>
      <c r="BO25" s="473"/>
      <c r="BP25" s="473"/>
      <c r="BQ25" s="473"/>
      <c r="BR25" s="473"/>
      <c r="BS25" s="473"/>
      <c r="BT25" s="473"/>
      <c r="BU25" s="473"/>
      <c r="BV25" s="473"/>
      <c r="BW25" s="473"/>
      <c r="BX25" s="473"/>
      <c r="BY25" s="473"/>
      <c r="BZ25" s="473"/>
      <c r="CA25" s="473"/>
      <c r="CB25" s="473"/>
      <c r="CC25" s="473"/>
      <c r="CD25" s="473"/>
      <c r="CE25" s="473"/>
      <c r="CF25" s="473"/>
      <c r="CG25" s="473"/>
      <c r="CH25" s="473"/>
      <c r="CI25" s="473"/>
    </row>
    <row r="26" spans="1:87" ht="12.75" customHeight="1" x14ac:dyDescent="0.2">
      <c r="A26" s="471"/>
      <c r="B26" s="577">
        <v>92</v>
      </c>
      <c r="C26" s="577">
        <v>1520</v>
      </c>
      <c r="D26" s="577">
        <v>1</v>
      </c>
      <c r="E26" s="594"/>
      <c r="F26" s="594"/>
      <c r="G26" s="594"/>
      <c r="H26" s="594"/>
      <c r="I26" s="594"/>
      <c r="J26" s="594"/>
      <c r="K26" s="594"/>
      <c r="L26" s="594"/>
      <c r="M26" s="398"/>
      <c r="N26" s="398"/>
      <c r="O26" s="398"/>
      <c r="P26" s="398"/>
      <c r="Q26" s="607"/>
      <c r="R26" s="608"/>
      <c r="S26" s="609"/>
      <c r="T26" s="503"/>
      <c r="U26" s="545"/>
      <c r="V26" s="534"/>
      <c r="W26" s="534"/>
      <c r="X26" s="534"/>
      <c r="Y26" s="534"/>
      <c r="Z26" s="534"/>
      <c r="AA26" s="503"/>
      <c r="AB26" s="503"/>
      <c r="AC26" s="540"/>
      <c r="AD26" s="540"/>
      <c r="AE26" s="540"/>
      <c r="AF26" s="540"/>
      <c r="AG26" s="540"/>
      <c r="AH26" s="540"/>
      <c r="AI26" s="540"/>
      <c r="AJ26" s="540"/>
      <c r="AK26" s="540"/>
      <c r="AL26" s="540"/>
      <c r="AM26" s="540"/>
      <c r="AN26" s="471"/>
      <c r="AO26" s="505"/>
      <c r="AP26" s="505"/>
      <c r="AQ26" s="505"/>
      <c r="AR26" s="473"/>
      <c r="AS26" s="473"/>
      <c r="AT26" s="473"/>
      <c r="AU26" s="473"/>
      <c r="AV26" s="473"/>
      <c r="AW26" s="473"/>
      <c r="AX26" s="473"/>
      <c r="AY26" s="473"/>
      <c r="AZ26" s="473"/>
      <c r="BA26" s="473"/>
      <c r="BB26" s="473"/>
      <c r="BC26" s="473"/>
      <c r="BD26" s="473"/>
      <c r="BE26" s="473"/>
      <c r="BF26" s="473"/>
      <c r="BG26" s="473"/>
      <c r="BH26" s="473"/>
      <c r="BI26" s="473"/>
      <c r="BJ26" s="473"/>
      <c r="BK26" s="473"/>
      <c r="BL26" s="473"/>
      <c r="BM26" s="473"/>
      <c r="BN26" s="473"/>
      <c r="BO26" s="473"/>
      <c r="BP26" s="473"/>
      <c r="BQ26" s="473"/>
      <c r="BR26" s="473"/>
      <c r="BS26" s="473"/>
      <c r="BT26" s="473"/>
      <c r="BU26" s="473"/>
      <c r="BV26" s="473"/>
      <c r="BW26" s="473"/>
      <c r="BX26" s="473"/>
      <c r="BY26" s="473"/>
      <c r="BZ26" s="473"/>
      <c r="CA26" s="473"/>
      <c r="CB26" s="473"/>
      <c r="CC26" s="473"/>
      <c r="CD26" s="473"/>
      <c r="CE26" s="473"/>
      <c r="CF26" s="473"/>
      <c r="CG26" s="473"/>
      <c r="CH26" s="473"/>
      <c r="CI26" s="473"/>
    </row>
    <row r="27" spans="1:87" ht="12.75" customHeight="1" x14ac:dyDescent="0.2">
      <c r="A27" s="471"/>
      <c r="B27" s="471"/>
      <c r="C27" s="471"/>
      <c r="D27" s="471"/>
      <c r="E27" s="471"/>
      <c r="F27" s="471"/>
      <c r="G27" s="471"/>
      <c r="H27" s="471"/>
      <c r="I27" s="471"/>
      <c r="J27" s="546" t="s">
        <v>53</v>
      </c>
      <c r="K27" s="546" t="s">
        <v>54</v>
      </c>
      <c r="L27" s="546" t="s">
        <v>55</v>
      </c>
      <c r="M27" s="546" t="s">
        <v>56</v>
      </c>
      <c r="N27" s="471"/>
      <c r="O27" s="471"/>
      <c r="P27" s="471"/>
      <c r="Q27" s="546" t="s">
        <v>57</v>
      </c>
      <c r="R27" s="546" t="s">
        <v>58</v>
      </c>
      <c r="S27" s="546" t="s">
        <v>59</v>
      </c>
      <c r="T27" s="471"/>
      <c r="U27" s="471"/>
      <c r="V27" s="471"/>
      <c r="W27" s="471"/>
      <c r="X27" s="471"/>
      <c r="Y27" s="471"/>
      <c r="Z27" s="471"/>
      <c r="AA27" s="471"/>
      <c r="AB27" s="471"/>
      <c r="AC27" s="532"/>
      <c r="AD27" s="532"/>
      <c r="AE27" s="532"/>
      <c r="AF27" s="532"/>
      <c r="AG27" s="532"/>
      <c r="AH27" s="532"/>
      <c r="AI27" s="532"/>
      <c r="AJ27" s="532"/>
      <c r="AK27" s="532"/>
      <c r="AL27" s="532"/>
      <c r="AM27" s="532"/>
      <c r="AN27" s="471"/>
      <c r="AO27" s="473"/>
      <c r="AP27" s="473"/>
      <c r="AQ27" s="473"/>
      <c r="AR27" s="473"/>
      <c r="AS27" s="473"/>
      <c r="AT27" s="473"/>
      <c r="AU27" s="473"/>
      <c r="AV27" s="473"/>
      <c r="AW27" s="473"/>
      <c r="AX27" s="473"/>
      <c r="AY27" s="473"/>
      <c r="AZ27" s="473"/>
      <c r="BA27" s="473"/>
      <c r="BB27" s="473"/>
      <c r="BC27" s="473"/>
      <c r="BD27" s="473"/>
      <c r="BE27" s="473"/>
      <c r="BF27" s="473"/>
      <c r="BG27" s="473"/>
      <c r="BH27" s="473"/>
      <c r="BI27" s="473"/>
      <c r="BJ27" s="473"/>
      <c r="BK27" s="473"/>
      <c r="BL27" s="473"/>
      <c r="BM27" s="473"/>
      <c r="BN27" s="473"/>
      <c r="BO27" s="473"/>
      <c r="BP27" s="473"/>
      <c r="BQ27" s="473"/>
      <c r="BR27" s="473"/>
      <c r="BS27" s="473"/>
      <c r="BT27" s="473"/>
      <c r="BU27" s="473"/>
      <c r="BV27" s="473"/>
      <c r="BW27" s="473"/>
      <c r="BX27" s="473"/>
      <c r="BY27" s="473"/>
      <c r="BZ27" s="473"/>
      <c r="CA27" s="473"/>
      <c r="CB27" s="473"/>
      <c r="CC27" s="473"/>
      <c r="CD27" s="473"/>
      <c r="CE27" s="473"/>
      <c r="CF27" s="473"/>
      <c r="CG27" s="473"/>
      <c r="CH27" s="473"/>
      <c r="CI27" s="473"/>
    </row>
    <row r="28" spans="1:87" ht="33.75" customHeight="1" x14ac:dyDescent="0.2">
      <c r="A28" s="495" t="s">
        <v>60</v>
      </c>
      <c r="B28" s="499" t="s">
        <v>61</v>
      </c>
      <c r="C28" s="499" t="s">
        <v>60</v>
      </c>
      <c r="D28" s="773" t="s">
        <v>62</v>
      </c>
      <c r="E28" s="738"/>
      <c r="F28" s="773" t="s">
        <v>63</v>
      </c>
      <c r="G28" s="749"/>
      <c r="H28" s="738"/>
      <c r="I28" s="495" t="s">
        <v>21</v>
      </c>
      <c r="J28" s="495" t="s">
        <v>64</v>
      </c>
      <c r="K28" s="495" t="s">
        <v>65</v>
      </c>
      <c r="L28" s="495" t="s">
        <v>66</v>
      </c>
      <c r="M28" s="495" t="s">
        <v>67</v>
      </c>
      <c r="N28" s="773" t="s">
        <v>68</v>
      </c>
      <c r="O28" s="749"/>
      <c r="P28" s="738"/>
      <c r="Q28" s="495" t="s">
        <v>64</v>
      </c>
      <c r="R28" s="547" t="s">
        <v>65</v>
      </c>
      <c r="S28" s="495" t="s">
        <v>69</v>
      </c>
      <c r="T28" s="548" t="s">
        <v>70</v>
      </c>
      <c r="U28" s="548" t="s">
        <v>70</v>
      </c>
      <c r="V28" s="548" t="s">
        <v>71</v>
      </c>
      <c r="W28" s="549" t="s">
        <v>72</v>
      </c>
      <c r="X28" s="550" t="s">
        <v>73</v>
      </c>
      <c r="Y28" s="550" t="s">
        <v>74</v>
      </c>
      <c r="Z28" s="550" t="s">
        <v>75</v>
      </c>
      <c r="AA28" s="773" t="s">
        <v>76</v>
      </c>
      <c r="AB28" s="738"/>
      <c r="AC28" s="773" t="s">
        <v>77</v>
      </c>
      <c r="AD28" s="738"/>
      <c r="AE28" s="551" t="s">
        <v>78</v>
      </c>
      <c r="AF28" s="499" t="s">
        <v>79</v>
      </c>
      <c r="AG28" s="550" t="s">
        <v>80</v>
      </c>
      <c r="AH28" s="550" t="s">
        <v>81</v>
      </c>
      <c r="AI28" s="550" t="s">
        <v>82</v>
      </c>
      <c r="AJ28" s="769" t="s">
        <v>14</v>
      </c>
      <c r="AK28" s="770"/>
      <c r="AL28" s="552" t="s">
        <v>83</v>
      </c>
      <c r="AM28" s="495" t="s">
        <v>84</v>
      </c>
      <c r="AN28" s="495" t="s">
        <v>49</v>
      </c>
      <c r="AO28" s="610">
        <v>1</v>
      </c>
      <c r="AP28" s="611" t="s">
        <v>85</v>
      </c>
      <c r="AQ28" s="611" t="s">
        <v>86</v>
      </c>
      <c r="AR28" s="611" t="s">
        <v>87</v>
      </c>
      <c r="AS28" s="611" t="s">
        <v>88</v>
      </c>
      <c r="AT28" s="611" t="s">
        <v>89</v>
      </c>
      <c r="AU28" s="611" t="s">
        <v>90</v>
      </c>
      <c r="AV28" s="611" t="s">
        <v>91</v>
      </c>
      <c r="AW28" s="611" t="s">
        <v>92</v>
      </c>
      <c r="AX28" s="611" t="s">
        <v>93</v>
      </c>
      <c r="AY28" s="611" t="s">
        <v>94</v>
      </c>
      <c r="AZ28" s="611" t="s">
        <v>95</v>
      </c>
      <c r="BA28" s="611" t="s">
        <v>96</v>
      </c>
      <c r="BB28" s="611" t="s">
        <v>97</v>
      </c>
      <c r="BC28" s="611" t="s">
        <v>98</v>
      </c>
      <c r="BD28" s="612" t="s">
        <v>99</v>
      </c>
      <c r="BE28" s="611" t="s">
        <v>100</v>
      </c>
      <c r="BF28" s="611" t="s">
        <v>101</v>
      </c>
      <c r="BG28" s="611" t="s">
        <v>34</v>
      </c>
      <c r="BH28" s="611" t="s">
        <v>102</v>
      </c>
      <c r="BI28" s="611" t="s">
        <v>103</v>
      </c>
      <c r="BJ28" s="611" t="s">
        <v>104</v>
      </c>
      <c r="BK28" s="611" t="s">
        <v>105</v>
      </c>
      <c r="BL28" s="611" t="s">
        <v>106</v>
      </c>
      <c r="BM28" s="611" t="s">
        <v>107</v>
      </c>
      <c r="BN28" s="611" t="s">
        <v>108</v>
      </c>
      <c r="BO28" s="611" t="s">
        <v>109</v>
      </c>
      <c r="BP28" s="554"/>
      <c r="BQ28" s="504"/>
      <c r="BR28" s="504"/>
      <c r="BS28" s="504"/>
      <c r="BT28" s="504"/>
      <c r="BU28" s="504"/>
      <c r="BV28" s="504"/>
      <c r="BW28" s="504"/>
      <c r="BX28" s="504"/>
      <c r="BY28" s="504"/>
      <c r="BZ28" s="504"/>
      <c r="CA28" s="527"/>
      <c r="CB28" s="504"/>
      <c r="CC28" s="504"/>
      <c r="CD28" s="504"/>
      <c r="CE28" s="504"/>
      <c r="CF28" s="504"/>
      <c r="CG28" s="504"/>
      <c r="CH28" s="504"/>
      <c r="CI28" s="504"/>
    </row>
    <row r="29" spans="1:87" ht="15" customHeight="1" x14ac:dyDescent="0.2">
      <c r="A29" s="546">
        <v>1</v>
      </c>
      <c r="B29" s="555"/>
      <c r="C29" s="466"/>
      <c r="D29" s="748"/>
      <c r="E29" s="738"/>
      <c r="F29" s="748"/>
      <c r="G29" s="749"/>
      <c r="H29" s="738"/>
      <c r="I29" s="466"/>
      <c r="J29" s="466"/>
      <c r="K29" s="466"/>
      <c r="L29" s="466"/>
      <c r="M29" s="466"/>
      <c r="N29" s="737"/>
      <c r="O29" s="749"/>
      <c r="P29" s="738"/>
      <c r="Q29" s="466"/>
      <c r="R29" s="466"/>
      <c r="S29" s="466"/>
      <c r="T29" s="466"/>
      <c r="U29" s="466"/>
      <c r="V29" s="467"/>
      <c r="W29" s="468"/>
      <c r="X29" s="466"/>
      <c r="Y29" s="466"/>
      <c r="Z29" s="469"/>
      <c r="AA29" s="737"/>
      <c r="AB29" s="738"/>
      <c r="AC29" s="737"/>
      <c r="AD29" s="738"/>
      <c r="AE29" s="556" t="b">
        <v>0</v>
      </c>
      <c r="AF29" s="577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78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78">
        <f t="shared" ref="AH29:AH48" si="5">IF(F29&lt;&gt;C$78,IF(AA29="TDF",4,0)+IF(AC29="TDF",4,0)+IF(AND(F29=C$78,AF29&gt;1,J29&gt;25,K29&gt;25),8*AG29,0),0)</f>
        <v>0</v>
      </c>
      <c r="AI29" s="579">
        <f t="shared" ref="AI29:AI48" si="6">IF(F29=C$78,IF(AA29="TDF",4,0)+IF(AC29="TDF",4,0)+IF(AND(F29=C$78,AF29&gt;1,J29&gt;25,K29&gt;25),8*AG29,0),0)</f>
        <v>0</v>
      </c>
      <c r="AJ29" s="580" t="str">
        <f>IF(F29&lt;&gt;"Ducto Cilindrico",IF(AE29=TRUE,0.5,AL29),"")</f>
        <v/>
      </c>
      <c r="AK29" s="581" t="str">
        <f>IF(F29="Ducto Cilindrico",IF(T29&lt;=C23,D23,IF(T29&lt;=C24,D24,IF(T29&lt;=C25,D25,IF(T29&lt;=C26,D26)))),"")</f>
        <v/>
      </c>
      <c r="AL29" s="582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83" t="str">
        <f t="shared" ref="AM29:AM48" si="8">IF(F29="","",IF(ISERROR(HLOOKUP(F29,AP$28:BO$48,AO29)),"",IF(HLOOKUP(F29,AP$28:BO$48,AO29)="N/D","",HLOOKUP(F29,AP$28:BO$48,AO29))))</f>
        <v/>
      </c>
      <c r="AN29" s="583" t="str">
        <f t="shared" ref="AN29:AN48" si="9">IF(ISERROR(AM29*(IF(AJ29=1,8,IF(AJ29=0.8,6.4,IF(AJ29=0.6,4.8,IF(AJ29=0.5,4)))))),"",AM29*(IF(AJ29=1,8,IF(AJ29=0.8,6.4,IF(AJ29=0.6,4.8,IF(AJ29=0.5,4))))))</f>
        <v/>
      </c>
      <c r="AO29" s="610">
        <v>2</v>
      </c>
      <c r="AP29" s="613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13" t="str">
        <f t="shared" ref="AQ29:AQ48" si="11">IF(F29="Caja Difusora",((PI()*(2*AY$57/10+J29)^2)/2+J29*(1+PI()/2)*(2*AX$57/10+K29)-PI()*T29+(PI()*T29+(AX$55+AY$55)/10)*10)/10000*I29,"N/D")</f>
        <v>N/D</v>
      </c>
      <c r="AR29" s="613" t="str">
        <f t="shared" ref="AR29:AR48" si="12">IF(F29="Caja Difusora Esp.",((2*S29*100+J29)*(K29+2*AX$57/10)-PI()*((T29/2)^2-(T29+(AX$55+AY$55)/10)*12)+2*(S29*100+AY$57/10)*(K29+2*AY$57/10))/10000*I29,"N/D")</f>
        <v>N/D</v>
      </c>
      <c r="AS29" s="613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13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13" t="str">
        <f t="shared" ref="AU29:AU48" si="14">IF(F29="Collarín",((PI()*T29+AX$55/10+AY$55/10)*S29*100)/10000*I29,"N/D")</f>
        <v>N/D</v>
      </c>
      <c r="AV29" s="613" t="str">
        <f t="shared" ref="AV29:AV48" si="15">IF(F29="Collarín c/ Templador",((PI()*T29+AX$55/10+AY$55/10)*S29*100+PI()*(T29/2)^2)/10000*I29,"N/D")</f>
        <v>N/D</v>
      </c>
      <c r="AW29" s="613" t="str">
        <f t="shared" ref="AW29:AW48" si="16">IF(F29="Cono",(PI()*((U29+AX$55/10)/2+(T29+AY$55/10)/2)*SQRT((S29*100)^2+((U29+AX$55/10)/2-(T29+AY$55/10)/2)^2))/10000*I29,"N/D")</f>
        <v>N/D</v>
      </c>
      <c r="AX29" s="613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13" t="str">
        <f t="shared" ref="AY29:AY48" si="18">IF(F29="Cuello Presentación",((J29+J29+AX$57/10+K29+K29+AY$57/10)*(S29*100+IF(AA29="Triple",AT$61/10,0)+IF(AC29="Pestaña 30",AT$56/10,0)))/10000*I29,"N/D")</f>
        <v>N/D</v>
      </c>
      <c r="AZ29" s="613" t="str">
        <f t="shared" ref="AZ29:AZ48" si="19">IF(F29="Curva con Casquete",(PI()^2*T29*SQRT(2*(IF(V29=90,12,IF(V29=45,20))+(T29+(AX$55+AY$55)/10)/2)^2))/10000*I29,"N/D")</f>
        <v>N/D</v>
      </c>
      <c r="BA29" s="613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13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13" t="str">
        <f t="shared" ref="BC29:BC48" si="22">IF(F29="Ducto Cilindrico",((PI()*T29+AX$55/10+AY$55/10)*S29*100)/10000*I29,"N/D")</f>
        <v>N/D</v>
      </c>
      <c r="BD29" s="613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13" t="str">
        <f t="shared" ref="BE29:BE48" si="24">IF(F29="Codo",AS29/2,"N/D")</f>
        <v>N/D</v>
      </c>
      <c r="BF29" s="613" t="str">
        <f t="shared" ref="BF29:BF48" si="25">IF(F29="Pleno",((K29+2*AX$57/10)*(2*S29*100+J29)+2*(J29+2*AY$57/10)*(S29*100+AY$57/10)+2*(J29+K29)*(VLOOKUP(AA29,AS$55:AT$71,2))/10)/10000*I29,"N/D")</f>
        <v>N/D</v>
      </c>
      <c r="BG29" s="613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13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13" t="str">
        <f t="shared" ref="BI29:BI48" si="26">IF(F29="Tapa",J29*K29/10000*I29,"N/D")</f>
        <v>N/D</v>
      </c>
      <c r="BJ29" s="613" t="str">
        <f t="shared" ref="BJ29:BJ48" si="27">IF(F29="Transf. Red - Cuad",(((S29*100+BC$56/10)*(J29+2*AX$55/10+2*AY$55/10+K29+PI()*T29/2))/10000*I29)*1.041,"N/D")</f>
        <v>N/D</v>
      </c>
      <c r="BK29" s="613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13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13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13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13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57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527"/>
      <c r="CB29" s="473"/>
      <c r="CC29" s="473"/>
      <c r="CD29" s="473"/>
      <c r="CE29" s="473"/>
      <c r="CF29" s="473"/>
      <c r="CG29" s="473"/>
      <c r="CH29" s="473"/>
      <c r="CI29" s="473"/>
    </row>
    <row r="30" spans="1:87" ht="15" customHeight="1" x14ac:dyDescent="0.2">
      <c r="A30" s="546">
        <v>2</v>
      </c>
      <c r="B30" s="555"/>
      <c r="C30" s="466"/>
      <c r="D30" s="748"/>
      <c r="E30" s="738"/>
      <c r="F30" s="748"/>
      <c r="G30" s="749"/>
      <c r="H30" s="738"/>
      <c r="I30" s="466"/>
      <c r="J30" s="466"/>
      <c r="K30" s="466"/>
      <c r="L30" s="466"/>
      <c r="M30" s="466"/>
      <c r="N30" s="737"/>
      <c r="O30" s="749"/>
      <c r="P30" s="738"/>
      <c r="Q30" s="466"/>
      <c r="R30" s="466"/>
      <c r="S30" s="466"/>
      <c r="T30" s="466"/>
      <c r="U30" s="466"/>
      <c r="V30" s="467"/>
      <c r="W30" s="468"/>
      <c r="X30" s="466"/>
      <c r="Y30" s="466"/>
      <c r="Z30" s="469"/>
      <c r="AA30" s="737"/>
      <c r="AB30" s="738"/>
      <c r="AC30" s="737"/>
      <c r="AD30" s="738"/>
      <c r="AE30" s="558" t="b">
        <v>0</v>
      </c>
      <c r="AF30" s="577" t="str">
        <f t="shared" si="3"/>
        <v/>
      </c>
      <c r="AG30" s="578">
        <f t="shared" si="4"/>
        <v>0</v>
      </c>
      <c r="AH30" s="578">
        <f t="shared" si="5"/>
        <v>0</v>
      </c>
      <c r="AI30" s="579">
        <f t="shared" si="6"/>
        <v>0</v>
      </c>
      <c r="AJ30" s="580" t="str">
        <f t="shared" ref="AJ30:AJ48" si="32">IF(AE30=TRUE,0.5,AL30)</f>
        <v/>
      </c>
      <c r="AK30" s="581"/>
      <c r="AL30" s="582" t="str">
        <f t="shared" si="7"/>
        <v/>
      </c>
      <c r="AM30" s="583" t="str">
        <f t="shared" si="8"/>
        <v/>
      </c>
      <c r="AN30" s="583" t="str">
        <f t="shared" si="9"/>
        <v/>
      </c>
      <c r="AO30" s="610">
        <v>3</v>
      </c>
      <c r="AP30" s="613" t="str">
        <f t="shared" si="10"/>
        <v>N/D</v>
      </c>
      <c r="AQ30" s="613" t="str">
        <f t="shared" si="11"/>
        <v>N/D</v>
      </c>
      <c r="AR30" s="613" t="str">
        <f t="shared" si="12"/>
        <v>N/D</v>
      </c>
      <c r="AS30" s="613" t="str">
        <f t="shared" si="13"/>
        <v>N/D</v>
      </c>
      <c r="AT30" s="613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13" t="str">
        <f t="shared" si="14"/>
        <v>N/D</v>
      </c>
      <c r="AV30" s="613" t="str">
        <f t="shared" si="15"/>
        <v>N/D</v>
      </c>
      <c r="AW30" s="613" t="str">
        <f t="shared" si="16"/>
        <v>N/D</v>
      </c>
      <c r="AX30" s="613" t="str">
        <f t="shared" si="17"/>
        <v>N/D</v>
      </c>
      <c r="AY30" s="613" t="str">
        <f t="shared" si="18"/>
        <v>N/D</v>
      </c>
      <c r="AZ30" s="613" t="str">
        <f t="shared" si="19"/>
        <v>N/D</v>
      </c>
      <c r="BA30" s="613" t="str">
        <f t="shared" si="20"/>
        <v>N/D</v>
      </c>
      <c r="BB30" s="613" t="str">
        <f t="shared" si="21"/>
        <v>N/D</v>
      </c>
      <c r="BC30" s="613" t="str">
        <f t="shared" si="22"/>
        <v>N/D</v>
      </c>
      <c r="BD30" s="613" t="str">
        <f t="shared" si="23"/>
        <v>N/D</v>
      </c>
      <c r="BE30" s="613" t="str">
        <f t="shared" si="24"/>
        <v>N/D</v>
      </c>
      <c r="BF30" s="613" t="str">
        <f t="shared" si="25"/>
        <v>N/D</v>
      </c>
      <c r="BG30" s="613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13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13" t="str">
        <f t="shared" si="26"/>
        <v>N/D</v>
      </c>
      <c r="BJ30" s="613" t="str">
        <f t="shared" si="27"/>
        <v>N/D</v>
      </c>
      <c r="BK30" s="613" t="str">
        <f t="shared" si="28"/>
        <v>N/D</v>
      </c>
      <c r="BL30" s="613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13" t="str">
        <f t="shared" si="29"/>
        <v>N/D</v>
      </c>
      <c r="BN30" s="613" t="str">
        <f t="shared" si="30"/>
        <v>N/D</v>
      </c>
      <c r="BO30" s="613" t="str">
        <f t="shared" si="31"/>
        <v>N/D</v>
      </c>
      <c r="BP30" s="557"/>
      <c r="BQ30" s="473"/>
      <c r="BR30" s="473"/>
      <c r="BS30" s="473"/>
      <c r="BT30" s="473"/>
      <c r="BU30" s="473"/>
      <c r="BV30" s="473"/>
      <c r="BW30" s="473"/>
      <c r="BX30" s="473"/>
      <c r="BY30" s="473"/>
      <c r="BZ30" s="473"/>
      <c r="CA30" s="527"/>
      <c r="CB30" s="473"/>
      <c r="CC30" s="473"/>
      <c r="CD30" s="473"/>
      <c r="CE30" s="473"/>
      <c r="CF30" s="473"/>
      <c r="CG30" s="473"/>
      <c r="CH30" s="473"/>
      <c r="CI30" s="473"/>
    </row>
    <row r="31" spans="1:87" ht="15" customHeight="1" x14ac:dyDescent="0.2">
      <c r="A31" s="546">
        <v>3</v>
      </c>
      <c r="B31" s="555"/>
      <c r="C31" s="466"/>
      <c r="D31" s="748"/>
      <c r="E31" s="738"/>
      <c r="F31" s="748"/>
      <c r="G31" s="749"/>
      <c r="H31" s="738"/>
      <c r="I31" s="466"/>
      <c r="J31" s="466"/>
      <c r="K31" s="466"/>
      <c r="L31" s="466"/>
      <c r="M31" s="466"/>
      <c r="N31" s="737"/>
      <c r="O31" s="749"/>
      <c r="P31" s="738"/>
      <c r="Q31" s="466"/>
      <c r="R31" s="466"/>
      <c r="S31" s="466"/>
      <c r="T31" s="466"/>
      <c r="U31" s="466"/>
      <c r="V31" s="467"/>
      <c r="W31" s="468"/>
      <c r="X31" s="466"/>
      <c r="Y31" s="466"/>
      <c r="Z31" s="469"/>
      <c r="AA31" s="737"/>
      <c r="AB31" s="738"/>
      <c r="AC31" s="737"/>
      <c r="AD31" s="738"/>
      <c r="AE31" s="558" t="b">
        <v>0</v>
      </c>
      <c r="AF31" s="577" t="str">
        <f t="shared" si="3"/>
        <v/>
      </c>
      <c r="AG31" s="578">
        <f t="shared" si="4"/>
        <v>0</v>
      </c>
      <c r="AH31" s="578">
        <f t="shared" si="5"/>
        <v>0</v>
      </c>
      <c r="AI31" s="579">
        <f t="shared" si="6"/>
        <v>0</v>
      </c>
      <c r="AJ31" s="580" t="str">
        <f t="shared" si="32"/>
        <v/>
      </c>
      <c r="AK31" s="581"/>
      <c r="AL31" s="582" t="str">
        <f t="shared" si="7"/>
        <v/>
      </c>
      <c r="AM31" s="583" t="str">
        <f t="shared" si="8"/>
        <v/>
      </c>
      <c r="AN31" s="583" t="str">
        <f t="shared" si="9"/>
        <v/>
      </c>
      <c r="AO31" s="610">
        <v>4</v>
      </c>
      <c r="AP31" s="613" t="str">
        <f t="shared" si="10"/>
        <v>N/D</v>
      </c>
      <c r="AQ31" s="613" t="str">
        <f t="shared" si="11"/>
        <v>N/D</v>
      </c>
      <c r="AR31" s="613" t="str">
        <f t="shared" si="12"/>
        <v>N/D</v>
      </c>
      <c r="AS31" s="613" t="str">
        <f t="shared" si="13"/>
        <v>N/D</v>
      </c>
      <c r="AT31" s="613" t="str">
        <f t="shared" si="33"/>
        <v>N/D</v>
      </c>
      <c r="AU31" s="613" t="str">
        <f t="shared" si="14"/>
        <v>N/D</v>
      </c>
      <c r="AV31" s="613" t="str">
        <f t="shared" si="15"/>
        <v>N/D</v>
      </c>
      <c r="AW31" s="613" t="str">
        <f t="shared" si="16"/>
        <v>N/D</v>
      </c>
      <c r="AX31" s="613" t="str">
        <f t="shared" si="17"/>
        <v>N/D</v>
      </c>
      <c r="AY31" s="613" t="str">
        <f t="shared" si="18"/>
        <v>N/D</v>
      </c>
      <c r="AZ31" s="613" t="str">
        <f t="shared" si="19"/>
        <v>N/D</v>
      </c>
      <c r="BA31" s="613" t="str">
        <f t="shared" si="20"/>
        <v>N/D</v>
      </c>
      <c r="BB31" s="613" t="str">
        <f t="shared" si="21"/>
        <v>N/D</v>
      </c>
      <c r="BC31" s="613" t="str">
        <f t="shared" si="22"/>
        <v>N/D</v>
      </c>
      <c r="BD31" s="613" t="str">
        <f t="shared" si="23"/>
        <v>N/D</v>
      </c>
      <c r="BE31" s="613" t="str">
        <f t="shared" si="24"/>
        <v>N/D</v>
      </c>
      <c r="BF31" s="613" t="str">
        <f t="shared" si="25"/>
        <v>N/D</v>
      </c>
      <c r="BG31" s="613" t="str">
        <f t="shared" si="34"/>
        <v>N/D</v>
      </c>
      <c r="BH31" s="613" t="str">
        <f t="shared" si="35"/>
        <v>N/D</v>
      </c>
      <c r="BI31" s="613" t="str">
        <f t="shared" si="26"/>
        <v>N/D</v>
      </c>
      <c r="BJ31" s="613" t="str">
        <f t="shared" si="27"/>
        <v>N/D</v>
      </c>
      <c r="BK31" s="613" t="str">
        <f t="shared" si="28"/>
        <v>N/D</v>
      </c>
      <c r="BL31" s="613" t="str">
        <f t="shared" si="36"/>
        <v>N/D</v>
      </c>
      <c r="BM31" s="613" t="str">
        <f t="shared" si="29"/>
        <v>N/D</v>
      </c>
      <c r="BN31" s="613" t="str">
        <f t="shared" si="30"/>
        <v>N/D</v>
      </c>
      <c r="BO31" s="613" t="str">
        <f t="shared" si="31"/>
        <v>N/D</v>
      </c>
      <c r="BP31" s="557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527"/>
      <c r="CB31" s="473"/>
      <c r="CC31" s="473"/>
      <c r="CD31" s="473"/>
      <c r="CE31" s="473"/>
      <c r="CF31" s="473"/>
      <c r="CG31" s="473"/>
      <c r="CH31" s="473"/>
      <c r="CI31" s="473"/>
    </row>
    <row r="32" spans="1:87" ht="15" customHeight="1" x14ac:dyDescent="0.2">
      <c r="A32" s="546">
        <v>4</v>
      </c>
      <c r="B32" s="555"/>
      <c r="C32" s="466"/>
      <c r="D32" s="748"/>
      <c r="E32" s="738"/>
      <c r="F32" s="748"/>
      <c r="G32" s="749"/>
      <c r="H32" s="738"/>
      <c r="I32" s="466"/>
      <c r="J32" s="466"/>
      <c r="K32" s="466"/>
      <c r="L32" s="466"/>
      <c r="M32" s="466"/>
      <c r="N32" s="737"/>
      <c r="O32" s="749"/>
      <c r="P32" s="738"/>
      <c r="Q32" s="466"/>
      <c r="R32" s="466"/>
      <c r="S32" s="466"/>
      <c r="T32" s="466"/>
      <c r="U32" s="466"/>
      <c r="V32" s="467"/>
      <c r="W32" s="468"/>
      <c r="X32" s="466"/>
      <c r="Y32" s="466"/>
      <c r="Z32" s="469"/>
      <c r="AA32" s="737"/>
      <c r="AB32" s="738"/>
      <c r="AC32" s="737"/>
      <c r="AD32" s="738"/>
      <c r="AE32" s="558"/>
      <c r="AF32" s="577" t="str">
        <f t="shared" si="3"/>
        <v/>
      </c>
      <c r="AG32" s="578">
        <f t="shared" si="4"/>
        <v>0</v>
      </c>
      <c r="AH32" s="578">
        <f t="shared" si="5"/>
        <v>0</v>
      </c>
      <c r="AI32" s="579">
        <f t="shared" si="6"/>
        <v>0</v>
      </c>
      <c r="AJ32" s="580" t="str">
        <f t="shared" si="32"/>
        <v/>
      </c>
      <c r="AK32" s="581"/>
      <c r="AL32" s="582" t="str">
        <f t="shared" si="7"/>
        <v/>
      </c>
      <c r="AM32" s="583" t="str">
        <f t="shared" si="8"/>
        <v/>
      </c>
      <c r="AN32" s="583" t="str">
        <f t="shared" si="9"/>
        <v/>
      </c>
      <c r="AO32" s="610">
        <v>5</v>
      </c>
      <c r="AP32" s="613" t="str">
        <f t="shared" si="10"/>
        <v>N/D</v>
      </c>
      <c r="AQ32" s="613" t="str">
        <f t="shared" si="11"/>
        <v>N/D</v>
      </c>
      <c r="AR32" s="613" t="str">
        <f t="shared" si="12"/>
        <v>N/D</v>
      </c>
      <c r="AS32" s="613" t="str">
        <f t="shared" si="13"/>
        <v>N/D</v>
      </c>
      <c r="AT32" s="613" t="str">
        <f t="shared" si="33"/>
        <v>N/D</v>
      </c>
      <c r="AU32" s="613" t="str">
        <f t="shared" si="14"/>
        <v>N/D</v>
      </c>
      <c r="AV32" s="613" t="str">
        <f t="shared" si="15"/>
        <v>N/D</v>
      </c>
      <c r="AW32" s="613" t="str">
        <f t="shared" si="16"/>
        <v>N/D</v>
      </c>
      <c r="AX32" s="613" t="str">
        <f t="shared" si="17"/>
        <v>N/D</v>
      </c>
      <c r="AY32" s="613" t="str">
        <f t="shared" si="18"/>
        <v>N/D</v>
      </c>
      <c r="AZ32" s="613" t="str">
        <f t="shared" si="19"/>
        <v>N/D</v>
      </c>
      <c r="BA32" s="613" t="str">
        <f t="shared" si="20"/>
        <v>N/D</v>
      </c>
      <c r="BB32" s="613" t="str">
        <f t="shared" si="21"/>
        <v>N/D</v>
      </c>
      <c r="BC32" s="613" t="str">
        <f t="shared" si="22"/>
        <v>N/D</v>
      </c>
      <c r="BD32" s="613" t="str">
        <f t="shared" si="23"/>
        <v>N/D</v>
      </c>
      <c r="BE32" s="613" t="str">
        <f t="shared" si="24"/>
        <v>N/D</v>
      </c>
      <c r="BF32" s="613" t="str">
        <f t="shared" si="25"/>
        <v>N/D</v>
      </c>
      <c r="BG32" s="613" t="str">
        <f t="shared" si="34"/>
        <v>N/D</v>
      </c>
      <c r="BH32" s="613" t="str">
        <f t="shared" si="35"/>
        <v>N/D</v>
      </c>
      <c r="BI32" s="613" t="str">
        <f t="shared" si="26"/>
        <v>N/D</v>
      </c>
      <c r="BJ32" s="613" t="str">
        <f t="shared" si="27"/>
        <v>N/D</v>
      </c>
      <c r="BK32" s="613" t="str">
        <f t="shared" si="28"/>
        <v>N/D</v>
      </c>
      <c r="BL32" s="613" t="str">
        <f t="shared" si="36"/>
        <v>N/D</v>
      </c>
      <c r="BM32" s="613" t="str">
        <f t="shared" si="29"/>
        <v>N/D</v>
      </c>
      <c r="BN32" s="613" t="str">
        <f t="shared" si="30"/>
        <v>N/D</v>
      </c>
      <c r="BO32" s="613" t="str">
        <f t="shared" si="31"/>
        <v>N/D</v>
      </c>
      <c r="BP32" s="557"/>
      <c r="BQ32" s="473"/>
      <c r="BR32" s="473"/>
      <c r="BS32" s="473"/>
      <c r="BT32" s="473"/>
      <c r="BU32" s="473"/>
      <c r="BV32" s="473"/>
      <c r="BW32" s="473"/>
      <c r="BX32" s="473"/>
      <c r="BY32" s="473"/>
      <c r="BZ32" s="473"/>
      <c r="CA32" s="527"/>
      <c r="CB32" s="473"/>
      <c r="CC32" s="473"/>
      <c r="CD32" s="473"/>
      <c r="CE32" s="473"/>
      <c r="CF32" s="473"/>
      <c r="CG32" s="473"/>
      <c r="CH32" s="473"/>
      <c r="CI32" s="473"/>
    </row>
    <row r="33" spans="1:87" ht="15" customHeight="1" x14ac:dyDescent="0.2">
      <c r="A33" s="546">
        <v>5</v>
      </c>
      <c r="B33" s="555"/>
      <c r="C33" s="466"/>
      <c r="D33" s="748"/>
      <c r="E33" s="738"/>
      <c r="F33" s="748"/>
      <c r="G33" s="749"/>
      <c r="H33" s="738"/>
      <c r="I33" s="466"/>
      <c r="J33" s="466"/>
      <c r="K33" s="466"/>
      <c r="L33" s="466"/>
      <c r="M33" s="466"/>
      <c r="N33" s="737"/>
      <c r="O33" s="749"/>
      <c r="P33" s="738"/>
      <c r="Q33" s="466"/>
      <c r="R33" s="466"/>
      <c r="S33" s="466"/>
      <c r="T33" s="466"/>
      <c r="U33" s="466"/>
      <c r="V33" s="467"/>
      <c r="W33" s="468"/>
      <c r="X33" s="466"/>
      <c r="Y33" s="466"/>
      <c r="Z33" s="469"/>
      <c r="AA33" s="737"/>
      <c r="AB33" s="738"/>
      <c r="AC33" s="737"/>
      <c r="AD33" s="738"/>
      <c r="AE33" s="558"/>
      <c r="AF33" s="577" t="str">
        <f t="shared" si="3"/>
        <v/>
      </c>
      <c r="AG33" s="578">
        <f t="shared" si="4"/>
        <v>0</v>
      </c>
      <c r="AH33" s="578">
        <f t="shared" si="5"/>
        <v>0</v>
      </c>
      <c r="AI33" s="579">
        <f t="shared" si="6"/>
        <v>0</v>
      </c>
      <c r="AJ33" s="580" t="str">
        <f t="shared" si="32"/>
        <v/>
      </c>
      <c r="AK33" s="581"/>
      <c r="AL33" s="582" t="str">
        <f t="shared" si="7"/>
        <v/>
      </c>
      <c r="AM33" s="583" t="str">
        <f t="shared" si="8"/>
        <v/>
      </c>
      <c r="AN33" s="583" t="str">
        <f t="shared" si="9"/>
        <v/>
      </c>
      <c r="AO33" s="610">
        <v>6</v>
      </c>
      <c r="AP33" s="613" t="str">
        <f t="shared" si="10"/>
        <v>N/D</v>
      </c>
      <c r="AQ33" s="613" t="str">
        <f t="shared" si="11"/>
        <v>N/D</v>
      </c>
      <c r="AR33" s="613" t="str">
        <f t="shared" si="12"/>
        <v>N/D</v>
      </c>
      <c r="AS33" s="613" t="str">
        <f t="shared" si="13"/>
        <v>N/D</v>
      </c>
      <c r="AT33" s="613" t="str">
        <f t="shared" si="33"/>
        <v>N/D</v>
      </c>
      <c r="AU33" s="613" t="str">
        <f t="shared" si="14"/>
        <v>N/D</v>
      </c>
      <c r="AV33" s="613" t="str">
        <f t="shared" si="15"/>
        <v>N/D</v>
      </c>
      <c r="AW33" s="613" t="str">
        <f t="shared" si="16"/>
        <v>N/D</v>
      </c>
      <c r="AX33" s="613" t="str">
        <f t="shared" si="17"/>
        <v>N/D</v>
      </c>
      <c r="AY33" s="613" t="str">
        <f t="shared" si="18"/>
        <v>N/D</v>
      </c>
      <c r="AZ33" s="613" t="str">
        <f t="shared" si="19"/>
        <v>N/D</v>
      </c>
      <c r="BA33" s="613" t="str">
        <f t="shared" si="20"/>
        <v>N/D</v>
      </c>
      <c r="BB33" s="613" t="str">
        <f t="shared" si="21"/>
        <v>N/D</v>
      </c>
      <c r="BC33" s="613" t="str">
        <f t="shared" si="22"/>
        <v>N/D</v>
      </c>
      <c r="BD33" s="613" t="str">
        <f t="shared" si="23"/>
        <v>N/D</v>
      </c>
      <c r="BE33" s="613" t="str">
        <f t="shared" si="24"/>
        <v>N/D</v>
      </c>
      <c r="BF33" s="613" t="str">
        <f t="shared" si="25"/>
        <v>N/D</v>
      </c>
      <c r="BG33" s="613" t="str">
        <f t="shared" si="34"/>
        <v>N/D</v>
      </c>
      <c r="BH33" s="613" t="str">
        <f t="shared" si="35"/>
        <v>N/D</v>
      </c>
      <c r="BI33" s="613" t="str">
        <f t="shared" si="26"/>
        <v>N/D</v>
      </c>
      <c r="BJ33" s="613" t="str">
        <f t="shared" si="27"/>
        <v>N/D</v>
      </c>
      <c r="BK33" s="613" t="str">
        <f t="shared" si="28"/>
        <v>N/D</v>
      </c>
      <c r="BL33" s="613" t="str">
        <f t="shared" si="36"/>
        <v>N/D</v>
      </c>
      <c r="BM33" s="613" t="str">
        <f t="shared" si="29"/>
        <v>N/D</v>
      </c>
      <c r="BN33" s="613" t="str">
        <f t="shared" si="30"/>
        <v>N/D</v>
      </c>
      <c r="BO33" s="613" t="str">
        <f t="shared" si="31"/>
        <v>N/D</v>
      </c>
      <c r="BP33" s="557"/>
      <c r="BQ33" s="473"/>
      <c r="BR33" s="473"/>
      <c r="BS33" s="473"/>
      <c r="BT33" s="473"/>
      <c r="BU33" s="473"/>
      <c r="BV33" s="473"/>
      <c r="BW33" s="473"/>
      <c r="BX33" s="473"/>
      <c r="BY33" s="473"/>
      <c r="BZ33" s="473"/>
      <c r="CA33" s="527"/>
      <c r="CB33" s="473"/>
      <c r="CC33" s="473"/>
      <c r="CD33" s="473"/>
      <c r="CE33" s="473"/>
      <c r="CF33" s="473"/>
      <c r="CG33" s="473"/>
      <c r="CH33" s="473"/>
      <c r="CI33" s="473"/>
    </row>
    <row r="34" spans="1:87" ht="15" customHeight="1" x14ac:dyDescent="0.2">
      <c r="A34" s="546">
        <v>6</v>
      </c>
      <c r="B34" s="555"/>
      <c r="C34" s="466"/>
      <c r="D34" s="748"/>
      <c r="E34" s="738"/>
      <c r="F34" s="748"/>
      <c r="G34" s="749"/>
      <c r="H34" s="738"/>
      <c r="I34" s="466"/>
      <c r="J34" s="466"/>
      <c r="K34" s="466"/>
      <c r="L34" s="466"/>
      <c r="M34" s="466"/>
      <c r="N34" s="737"/>
      <c r="O34" s="749"/>
      <c r="P34" s="738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37"/>
      <c r="AB34" s="738"/>
      <c r="AC34" s="737"/>
      <c r="AD34" s="738"/>
      <c r="AE34" s="558"/>
      <c r="AF34" s="577" t="str">
        <f t="shared" si="3"/>
        <v/>
      </c>
      <c r="AG34" s="578">
        <f t="shared" si="4"/>
        <v>0</v>
      </c>
      <c r="AH34" s="578">
        <f t="shared" si="5"/>
        <v>0</v>
      </c>
      <c r="AI34" s="579">
        <f t="shared" si="6"/>
        <v>0</v>
      </c>
      <c r="AJ34" s="580" t="str">
        <f t="shared" si="32"/>
        <v/>
      </c>
      <c r="AK34" s="581"/>
      <c r="AL34" s="582" t="str">
        <f t="shared" si="7"/>
        <v/>
      </c>
      <c r="AM34" s="583" t="str">
        <f t="shared" si="8"/>
        <v/>
      </c>
      <c r="AN34" s="583" t="str">
        <f t="shared" si="9"/>
        <v/>
      </c>
      <c r="AO34" s="610">
        <v>7</v>
      </c>
      <c r="AP34" s="613" t="str">
        <f t="shared" si="10"/>
        <v>N/D</v>
      </c>
      <c r="AQ34" s="613" t="str">
        <f t="shared" si="11"/>
        <v>N/D</v>
      </c>
      <c r="AR34" s="613" t="str">
        <f t="shared" si="12"/>
        <v>N/D</v>
      </c>
      <c r="AS34" s="613" t="str">
        <f t="shared" si="13"/>
        <v>N/D</v>
      </c>
      <c r="AT34" s="613" t="str">
        <f t="shared" si="33"/>
        <v>N/D</v>
      </c>
      <c r="AU34" s="613" t="str">
        <f t="shared" si="14"/>
        <v>N/D</v>
      </c>
      <c r="AV34" s="613" t="str">
        <f t="shared" si="15"/>
        <v>N/D</v>
      </c>
      <c r="AW34" s="613" t="str">
        <f t="shared" si="16"/>
        <v>N/D</v>
      </c>
      <c r="AX34" s="613" t="str">
        <f t="shared" si="17"/>
        <v>N/D</v>
      </c>
      <c r="AY34" s="613" t="str">
        <f t="shared" si="18"/>
        <v>N/D</v>
      </c>
      <c r="AZ34" s="613" t="str">
        <f t="shared" si="19"/>
        <v>N/D</v>
      </c>
      <c r="BA34" s="613" t="str">
        <f t="shared" si="20"/>
        <v>N/D</v>
      </c>
      <c r="BB34" s="613" t="str">
        <f t="shared" si="21"/>
        <v>N/D</v>
      </c>
      <c r="BC34" s="613" t="str">
        <f t="shared" si="22"/>
        <v>N/D</v>
      </c>
      <c r="BD34" s="613" t="str">
        <f t="shared" si="23"/>
        <v>N/D</v>
      </c>
      <c r="BE34" s="613" t="str">
        <f t="shared" si="24"/>
        <v>N/D</v>
      </c>
      <c r="BF34" s="613" t="str">
        <f t="shared" si="25"/>
        <v>N/D</v>
      </c>
      <c r="BG34" s="613" t="str">
        <f t="shared" si="34"/>
        <v>N/D</v>
      </c>
      <c r="BH34" s="613" t="str">
        <f t="shared" si="35"/>
        <v>N/D</v>
      </c>
      <c r="BI34" s="613" t="str">
        <f t="shared" si="26"/>
        <v>N/D</v>
      </c>
      <c r="BJ34" s="613" t="str">
        <f t="shared" si="27"/>
        <v>N/D</v>
      </c>
      <c r="BK34" s="613" t="str">
        <f t="shared" si="28"/>
        <v>N/D</v>
      </c>
      <c r="BL34" s="613" t="str">
        <f t="shared" si="36"/>
        <v>N/D</v>
      </c>
      <c r="BM34" s="613" t="str">
        <f t="shared" si="29"/>
        <v>N/D</v>
      </c>
      <c r="BN34" s="613" t="str">
        <f t="shared" si="30"/>
        <v>N/D</v>
      </c>
      <c r="BO34" s="613" t="str">
        <f t="shared" si="31"/>
        <v>N/D</v>
      </c>
      <c r="BP34" s="557"/>
      <c r="BQ34" s="473"/>
      <c r="BR34" s="473"/>
      <c r="BS34" s="473"/>
      <c r="BT34" s="473"/>
      <c r="BU34" s="473"/>
      <c r="BV34" s="473"/>
      <c r="BW34" s="473"/>
      <c r="BX34" s="473"/>
      <c r="BY34" s="473"/>
      <c r="BZ34" s="473"/>
      <c r="CA34" s="527"/>
      <c r="CB34" s="473"/>
      <c r="CC34" s="473"/>
      <c r="CD34" s="473"/>
      <c r="CE34" s="473"/>
      <c r="CF34" s="473"/>
      <c r="CG34" s="473"/>
      <c r="CH34" s="473"/>
      <c r="CI34" s="473"/>
    </row>
    <row r="35" spans="1:87" ht="15" customHeight="1" x14ac:dyDescent="0.2">
      <c r="A35" s="546">
        <v>7</v>
      </c>
      <c r="B35" s="555"/>
      <c r="C35" s="466"/>
      <c r="D35" s="748"/>
      <c r="E35" s="738"/>
      <c r="F35" s="748"/>
      <c r="G35" s="749"/>
      <c r="H35" s="738"/>
      <c r="I35" s="466"/>
      <c r="J35" s="466"/>
      <c r="K35" s="466"/>
      <c r="L35" s="466"/>
      <c r="M35" s="466"/>
      <c r="N35" s="737"/>
      <c r="O35" s="749"/>
      <c r="P35" s="738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37"/>
      <c r="AB35" s="738"/>
      <c r="AC35" s="737"/>
      <c r="AD35" s="738"/>
      <c r="AE35" s="558" t="b">
        <v>0</v>
      </c>
      <c r="AF35" s="577" t="str">
        <f t="shared" si="3"/>
        <v/>
      </c>
      <c r="AG35" s="578">
        <f t="shared" si="4"/>
        <v>0</v>
      </c>
      <c r="AH35" s="578">
        <f t="shared" si="5"/>
        <v>0</v>
      </c>
      <c r="AI35" s="579">
        <f t="shared" si="6"/>
        <v>0</v>
      </c>
      <c r="AJ35" s="580" t="str">
        <f t="shared" si="32"/>
        <v/>
      </c>
      <c r="AK35" s="581"/>
      <c r="AL35" s="582" t="str">
        <f t="shared" si="7"/>
        <v/>
      </c>
      <c r="AM35" s="583" t="str">
        <f t="shared" si="8"/>
        <v/>
      </c>
      <c r="AN35" s="583" t="str">
        <f t="shared" si="9"/>
        <v/>
      </c>
      <c r="AO35" s="610">
        <v>8</v>
      </c>
      <c r="AP35" s="613" t="str">
        <f t="shared" si="10"/>
        <v>N/D</v>
      </c>
      <c r="AQ35" s="613" t="str">
        <f t="shared" si="11"/>
        <v>N/D</v>
      </c>
      <c r="AR35" s="613" t="str">
        <f t="shared" si="12"/>
        <v>N/D</v>
      </c>
      <c r="AS35" s="613" t="str">
        <f t="shared" si="13"/>
        <v>N/D</v>
      </c>
      <c r="AT35" s="613" t="str">
        <f t="shared" si="33"/>
        <v>N/D</v>
      </c>
      <c r="AU35" s="613" t="str">
        <f t="shared" si="14"/>
        <v>N/D</v>
      </c>
      <c r="AV35" s="613" t="str">
        <f t="shared" si="15"/>
        <v>N/D</v>
      </c>
      <c r="AW35" s="613" t="str">
        <f t="shared" si="16"/>
        <v>N/D</v>
      </c>
      <c r="AX35" s="613" t="str">
        <f t="shared" si="17"/>
        <v>N/D</v>
      </c>
      <c r="AY35" s="613" t="str">
        <f t="shared" si="18"/>
        <v>N/D</v>
      </c>
      <c r="AZ35" s="613" t="str">
        <f t="shared" si="19"/>
        <v>N/D</v>
      </c>
      <c r="BA35" s="613" t="str">
        <f t="shared" si="20"/>
        <v>N/D</v>
      </c>
      <c r="BB35" s="613" t="str">
        <f t="shared" si="21"/>
        <v>N/D</v>
      </c>
      <c r="BC35" s="613" t="str">
        <f t="shared" si="22"/>
        <v>N/D</v>
      </c>
      <c r="BD35" s="613" t="str">
        <f t="shared" si="23"/>
        <v>N/D</v>
      </c>
      <c r="BE35" s="613" t="str">
        <f t="shared" si="24"/>
        <v>N/D</v>
      </c>
      <c r="BF35" s="613" t="str">
        <f t="shared" si="25"/>
        <v>N/D</v>
      </c>
      <c r="BG35" s="613" t="str">
        <f t="shared" si="34"/>
        <v>N/D</v>
      </c>
      <c r="BH35" s="613" t="str">
        <f t="shared" si="35"/>
        <v>N/D</v>
      </c>
      <c r="BI35" s="613" t="str">
        <f t="shared" si="26"/>
        <v>N/D</v>
      </c>
      <c r="BJ35" s="613" t="str">
        <f t="shared" si="27"/>
        <v>N/D</v>
      </c>
      <c r="BK35" s="613" t="str">
        <f t="shared" si="28"/>
        <v>N/D</v>
      </c>
      <c r="BL35" s="613" t="str">
        <f t="shared" si="36"/>
        <v>N/D</v>
      </c>
      <c r="BM35" s="613" t="str">
        <f t="shared" si="29"/>
        <v>N/D</v>
      </c>
      <c r="BN35" s="613" t="str">
        <f t="shared" si="30"/>
        <v>N/D</v>
      </c>
      <c r="BO35" s="613" t="str">
        <f t="shared" si="31"/>
        <v>N/D</v>
      </c>
      <c r="BP35" s="557"/>
      <c r="BQ35" s="473"/>
      <c r="BR35" s="473"/>
      <c r="BS35" s="473"/>
      <c r="BT35" s="473"/>
      <c r="BU35" s="473"/>
      <c r="BV35" s="473"/>
      <c r="BW35" s="473"/>
      <c r="BX35" s="473"/>
      <c r="BY35" s="473"/>
      <c r="BZ35" s="473"/>
      <c r="CA35" s="527"/>
      <c r="CB35" s="473"/>
      <c r="CC35" s="473"/>
      <c r="CD35" s="473"/>
      <c r="CE35" s="473"/>
      <c r="CF35" s="473"/>
      <c r="CG35" s="473"/>
      <c r="CH35" s="473"/>
      <c r="CI35" s="473"/>
    </row>
    <row r="36" spans="1:87" ht="15" customHeight="1" x14ac:dyDescent="0.2">
      <c r="A36" s="546">
        <v>8</v>
      </c>
      <c r="B36" s="555"/>
      <c r="C36" s="466"/>
      <c r="D36" s="748"/>
      <c r="E36" s="738"/>
      <c r="F36" s="748"/>
      <c r="G36" s="749"/>
      <c r="H36" s="738"/>
      <c r="I36" s="466"/>
      <c r="J36" s="466"/>
      <c r="K36" s="466"/>
      <c r="L36" s="466"/>
      <c r="M36" s="466"/>
      <c r="N36" s="737"/>
      <c r="O36" s="749"/>
      <c r="P36" s="738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37"/>
      <c r="AB36" s="738"/>
      <c r="AC36" s="737"/>
      <c r="AD36" s="738"/>
      <c r="AE36" s="558"/>
      <c r="AF36" s="577" t="str">
        <f t="shared" si="3"/>
        <v/>
      </c>
      <c r="AG36" s="578">
        <f t="shared" si="4"/>
        <v>0</v>
      </c>
      <c r="AH36" s="578">
        <f t="shared" si="5"/>
        <v>0</v>
      </c>
      <c r="AI36" s="579">
        <f t="shared" si="6"/>
        <v>0</v>
      </c>
      <c r="AJ36" s="580" t="str">
        <f t="shared" si="32"/>
        <v/>
      </c>
      <c r="AK36" s="581"/>
      <c r="AL36" s="582" t="str">
        <f t="shared" si="7"/>
        <v/>
      </c>
      <c r="AM36" s="583" t="str">
        <f t="shared" si="8"/>
        <v/>
      </c>
      <c r="AN36" s="583" t="str">
        <f t="shared" si="9"/>
        <v/>
      </c>
      <c r="AO36" s="610">
        <v>9</v>
      </c>
      <c r="AP36" s="613" t="str">
        <f t="shared" si="10"/>
        <v>N/D</v>
      </c>
      <c r="AQ36" s="613" t="str">
        <f t="shared" si="11"/>
        <v>N/D</v>
      </c>
      <c r="AR36" s="613" t="str">
        <f t="shared" si="12"/>
        <v>N/D</v>
      </c>
      <c r="AS36" s="613" t="str">
        <f t="shared" si="13"/>
        <v>N/D</v>
      </c>
      <c r="AT36" s="613" t="str">
        <f t="shared" si="33"/>
        <v>N/D</v>
      </c>
      <c r="AU36" s="613" t="str">
        <f t="shared" si="14"/>
        <v>N/D</v>
      </c>
      <c r="AV36" s="613" t="str">
        <f t="shared" si="15"/>
        <v>N/D</v>
      </c>
      <c r="AW36" s="613" t="str">
        <f t="shared" si="16"/>
        <v>N/D</v>
      </c>
      <c r="AX36" s="613" t="str">
        <f t="shared" si="17"/>
        <v>N/D</v>
      </c>
      <c r="AY36" s="613" t="str">
        <f t="shared" si="18"/>
        <v>N/D</v>
      </c>
      <c r="AZ36" s="613" t="str">
        <f t="shared" si="19"/>
        <v>N/D</v>
      </c>
      <c r="BA36" s="613" t="str">
        <f t="shared" si="20"/>
        <v>N/D</v>
      </c>
      <c r="BB36" s="613" t="str">
        <f t="shared" si="21"/>
        <v>N/D</v>
      </c>
      <c r="BC36" s="613" t="str">
        <f t="shared" si="22"/>
        <v>N/D</v>
      </c>
      <c r="BD36" s="613" t="str">
        <f t="shared" si="23"/>
        <v>N/D</v>
      </c>
      <c r="BE36" s="613" t="str">
        <f t="shared" si="24"/>
        <v>N/D</v>
      </c>
      <c r="BF36" s="613" t="str">
        <f t="shared" si="25"/>
        <v>N/D</v>
      </c>
      <c r="BG36" s="613" t="str">
        <f t="shared" si="34"/>
        <v>N/D</v>
      </c>
      <c r="BH36" s="613" t="str">
        <f t="shared" si="35"/>
        <v>N/D</v>
      </c>
      <c r="BI36" s="613" t="str">
        <f t="shared" si="26"/>
        <v>N/D</v>
      </c>
      <c r="BJ36" s="613" t="str">
        <f t="shared" si="27"/>
        <v>N/D</v>
      </c>
      <c r="BK36" s="613" t="str">
        <f t="shared" si="28"/>
        <v>N/D</v>
      </c>
      <c r="BL36" s="613" t="str">
        <f t="shared" si="36"/>
        <v>N/D</v>
      </c>
      <c r="BM36" s="613" t="str">
        <f t="shared" si="29"/>
        <v>N/D</v>
      </c>
      <c r="BN36" s="613" t="str">
        <f t="shared" si="30"/>
        <v>N/D</v>
      </c>
      <c r="BO36" s="613" t="str">
        <f t="shared" si="31"/>
        <v>N/D</v>
      </c>
      <c r="BP36" s="557"/>
      <c r="BQ36" s="473"/>
      <c r="BR36" s="473"/>
      <c r="BS36" s="473"/>
      <c r="BT36" s="473"/>
      <c r="BU36" s="473"/>
      <c r="BV36" s="473"/>
      <c r="BW36" s="473"/>
      <c r="BX36" s="473"/>
      <c r="BY36" s="473"/>
      <c r="BZ36" s="473"/>
      <c r="CA36" s="527"/>
      <c r="CB36" s="473"/>
      <c r="CC36" s="473"/>
      <c r="CD36" s="473"/>
      <c r="CE36" s="473"/>
      <c r="CF36" s="473"/>
      <c r="CG36" s="473"/>
      <c r="CH36" s="473"/>
      <c r="CI36" s="473"/>
    </row>
    <row r="37" spans="1:87" ht="15" customHeight="1" x14ac:dyDescent="0.2">
      <c r="A37" s="546">
        <v>9</v>
      </c>
      <c r="B37" s="555"/>
      <c r="C37" s="466"/>
      <c r="D37" s="748"/>
      <c r="E37" s="738"/>
      <c r="F37" s="748"/>
      <c r="G37" s="749"/>
      <c r="H37" s="738"/>
      <c r="I37" s="466"/>
      <c r="J37" s="466"/>
      <c r="K37" s="466"/>
      <c r="L37" s="466"/>
      <c r="M37" s="466"/>
      <c r="N37" s="737"/>
      <c r="O37" s="749"/>
      <c r="P37" s="738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37"/>
      <c r="AB37" s="738"/>
      <c r="AC37" s="737"/>
      <c r="AD37" s="738"/>
      <c r="AE37" s="558"/>
      <c r="AF37" s="577" t="str">
        <f t="shared" si="3"/>
        <v/>
      </c>
      <c r="AG37" s="578">
        <f t="shared" si="4"/>
        <v>0</v>
      </c>
      <c r="AH37" s="578">
        <f t="shared" si="5"/>
        <v>0</v>
      </c>
      <c r="AI37" s="579">
        <f t="shared" si="6"/>
        <v>0</v>
      </c>
      <c r="AJ37" s="580" t="str">
        <f t="shared" si="32"/>
        <v/>
      </c>
      <c r="AK37" s="581"/>
      <c r="AL37" s="582" t="str">
        <f t="shared" si="7"/>
        <v/>
      </c>
      <c r="AM37" s="583" t="str">
        <f t="shared" si="8"/>
        <v/>
      </c>
      <c r="AN37" s="583" t="str">
        <f t="shared" si="9"/>
        <v/>
      </c>
      <c r="AO37" s="610">
        <v>10</v>
      </c>
      <c r="AP37" s="613" t="str">
        <f t="shared" si="10"/>
        <v>N/D</v>
      </c>
      <c r="AQ37" s="613" t="str">
        <f t="shared" si="11"/>
        <v>N/D</v>
      </c>
      <c r="AR37" s="613" t="str">
        <f t="shared" si="12"/>
        <v>N/D</v>
      </c>
      <c r="AS37" s="613" t="str">
        <f t="shared" si="13"/>
        <v>N/D</v>
      </c>
      <c r="AT37" s="613" t="str">
        <f t="shared" si="33"/>
        <v>N/D</v>
      </c>
      <c r="AU37" s="613" t="str">
        <f t="shared" si="14"/>
        <v>N/D</v>
      </c>
      <c r="AV37" s="613" t="str">
        <f t="shared" si="15"/>
        <v>N/D</v>
      </c>
      <c r="AW37" s="613" t="str">
        <f t="shared" si="16"/>
        <v>N/D</v>
      </c>
      <c r="AX37" s="613" t="str">
        <f t="shared" si="17"/>
        <v>N/D</v>
      </c>
      <c r="AY37" s="613" t="str">
        <f t="shared" si="18"/>
        <v>N/D</v>
      </c>
      <c r="AZ37" s="613" t="str">
        <f t="shared" si="19"/>
        <v>N/D</v>
      </c>
      <c r="BA37" s="613" t="str">
        <f t="shared" si="20"/>
        <v>N/D</v>
      </c>
      <c r="BB37" s="613" t="str">
        <f t="shared" si="21"/>
        <v>N/D</v>
      </c>
      <c r="BC37" s="613" t="str">
        <f t="shared" si="22"/>
        <v>N/D</v>
      </c>
      <c r="BD37" s="613" t="str">
        <f t="shared" si="23"/>
        <v>N/D</v>
      </c>
      <c r="BE37" s="613" t="str">
        <f t="shared" si="24"/>
        <v>N/D</v>
      </c>
      <c r="BF37" s="613" t="str">
        <f t="shared" si="25"/>
        <v>N/D</v>
      </c>
      <c r="BG37" s="613" t="str">
        <f t="shared" si="34"/>
        <v>N/D</v>
      </c>
      <c r="BH37" s="613" t="str">
        <f t="shared" si="35"/>
        <v>N/D</v>
      </c>
      <c r="BI37" s="613" t="str">
        <f t="shared" si="26"/>
        <v>N/D</v>
      </c>
      <c r="BJ37" s="613" t="str">
        <f t="shared" si="27"/>
        <v>N/D</v>
      </c>
      <c r="BK37" s="613" t="str">
        <f t="shared" si="28"/>
        <v>N/D</v>
      </c>
      <c r="BL37" s="613" t="str">
        <f t="shared" si="36"/>
        <v>N/D</v>
      </c>
      <c r="BM37" s="613" t="str">
        <f t="shared" si="29"/>
        <v>N/D</v>
      </c>
      <c r="BN37" s="613" t="str">
        <f t="shared" si="30"/>
        <v>N/D</v>
      </c>
      <c r="BO37" s="613" t="str">
        <f t="shared" si="31"/>
        <v>N/D</v>
      </c>
      <c r="BP37" s="557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527"/>
      <c r="CB37" s="473"/>
      <c r="CC37" s="473"/>
      <c r="CD37" s="473"/>
      <c r="CE37" s="473"/>
      <c r="CF37" s="473"/>
      <c r="CG37" s="473"/>
      <c r="CH37" s="473"/>
      <c r="CI37" s="473"/>
    </row>
    <row r="38" spans="1:87" ht="15" customHeight="1" x14ac:dyDescent="0.2">
      <c r="A38" s="546">
        <v>10</v>
      </c>
      <c r="B38" s="555"/>
      <c r="C38" s="466"/>
      <c r="D38" s="748"/>
      <c r="E38" s="738"/>
      <c r="F38" s="748"/>
      <c r="G38" s="749"/>
      <c r="H38" s="738"/>
      <c r="I38" s="466"/>
      <c r="J38" s="466"/>
      <c r="K38" s="466"/>
      <c r="L38" s="466"/>
      <c r="M38" s="466"/>
      <c r="N38" s="737"/>
      <c r="O38" s="749"/>
      <c r="P38" s="738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37"/>
      <c r="AB38" s="738"/>
      <c r="AC38" s="737"/>
      <c r="AD38" s="738"/>
      <c r="AE38" s="558"/>
      <c r="AF38" s="577" t="str">
        <f t="shared" si="3"/>
        <v/>
      </c>
      <c r="AG38" s="578">
        <f t="shared" si="4"/>
        <v>0</v>
      </c>
      <c r="AH38" s="578">
        <f t="shared" si="5"/>
        <v>0</v>
      </c>
      <c r="AI38" s="579">
        <f t="shared" si="6"/>
        <v>0</v>
      </c>
      <c r="AJ38" s="580" t="str">
        <f t="shared" si="32"/>
        <v/>
      </c>
      <c r="AK38" s="581"/>
      <c r="AL38" s="582" t="str">
        <f t="shared" si="7"/>
        <v/>
      </c>
      <c r="AM38" s="583" t="str">
        <f t="shared" si="8"/>
        <v/>
      </c>
      <c r="AN38" s="583" t="str">
        <f t="shared" si="9"/>
        <v/>
      </c>
      <c r="AO38" s="610">
        <v>11</v>
      </c>
      <c r="AP38" s="613" t="str">
        <f t="shared" si="10"/>
        <v>N/D</v>
      </c>
      <c r="AQ38" s="613" t="str">
        <f t="shared" si="11"/>
        <v>N/D</v>
      </c>
      <c r="AR38" s="613" t="str">
        <f t="shared" si="12"/>
        <v>N/D</v>
      </c>
      <c r="AS38" s="613" t="str">
        <f t="shared" si="13"/>
        <v>N/D</v>
      </c>
      <c r="AT38" s="613" t="str">
        <f t="shared" si="33"/>
        <v>N/D</v>
      </c>
      <c r="AU38" s="613" t="str">
        <f t="shared" si="14"/>
        <v>N/D</v>
      </c>
      <c r="AV38" s="613" t="str">
        <f t="shared" si="15"/>
        <v>N/D</v>
      </c>
      <c r="AW38" s="613" t="str">
        <f t="shared" si="16"/>
        <v>N/D</v>
      </c>
      <c r="AX38" s="613" t="str">
        <f t="shared" si="17"/>
        <v>N/D</v>
      </c>
      <c r="AY38" s="613" t="str">
        <f t="shared" si="18"/>
        <v>N/D</v>
      </c>
      <c r="AZ38" s="613" t="str">
        <f t="shared" si="19"/>
        <v>N/D</v>
      </c>
      <c r="BA38" s="613" t="str">
        <f t="shared" si="20"/>
        <v>N/D</v>
      </c>
      <c r="BB38" s="613" t="str">
        <f t="shared" si="21"/>
        <v>N/D</v>
      </c>
      <c r="BC38" s="613" t="str">
        <f t="shared" si="22"/>
        <v>N/D</v>
      </c>
      <c r="BD38" s="613" t="str">
        <f t="shared" si="23"/>
        <v>N/D</v>
      </c>
      <c r="BE38" s="613" t="str">
        <f t="shared" si="24"/>
        <v>N/D</v>
      </c>
      <c r="BF38" s="613" t="str">
        <f t="shared" si="25"/>
        <v>N/D</v>
      </c>
      <c r="BG38" s="613" t="str">
        <f t="shared" si="34"/>
        <v>N/D</v>
      </c>
      <c r="BH38" s="613" t="str">
        <f t="shared" si="35"/>
        <v>N/D</v>
      </c>
      <c r="BI38" s="613" t="str">
        <f t="shared" si="26"/>
        <v>N/D</v>
      </c>
      <c r="BJ38" s="613" t="str">
        <f t="shared" si="27"/>
        <v>N/D</v>
      </c>
      <c r="BK38" s="613" t="str">
        <f t="shared" si="28"/>
        <v>N/D</v>
      </c>
      <c r="BL38" s="613" t="str">
        <f t="shared" si="36"/>
        <v>N/D</v>
      </c>
      <c r="BM38" s="613" t="str">
        <f t="shared" si="29"/>
        <v>N/D</v>
      </c>
      <c r="BN38" s="613" t="str">
        <f t="shared" si="30"/>
        <v>N/D</v>
      </c>
      <c r="BO38" s="613" t="str">
        <f t="shared" si="31"/>
        <v>N/D</v>
      </c>
      <c r="BP38" s="557"/>
      <c r="BQ38" s="473"/>
      <c r="BR38" s="473"/>
      <c r="BS38" s="473"/>
      <c r="BT38" s="473"/>
      <c r="BU38" s="473"/>
      <c r="BV38" s="473"/>
      <c r="BW38" s="473"/>
      <c r="BX38" s="473"/>
      <c r="BY38" s="473"/>
      <c r="BZ38" s="473"/>
      <c r="CA38" s="527"/>
      <c r="CB38" s="473"/>
      <c r="CC38" s="473"/>
      <c r="CD38" s="473"/>
      <c r="CE38" s="473"/>
      <c r="CF38" s="473"/>
      <c r="CG38" s="473"/>
      <c r="CH38" s="473"/>
      <c r="CI38" s="473"/>
    </row>
    <row r="39" spans="1:87" ht="15" customHeight="1" x14ac:dyDescent="0.2">
      <c r="A39" s="546">
        <v>11</v>
      </c>
      <c r="B39" s="555"/>
      <c r="C39" s="466"/>
      <c r="D39" s="748"/>
      <c r="E39" s="738"/>
      <c r="F39" s="748"/>
      <c r="G39" s="749"/>
      <c r="H39" s="738"/>
      <c r="I39" s="466"/>
      <c r="J39" s="466"/>
      <c r="K39" s="466"/>
      <c r="L39" s="466"/>
      <c r="M39" s="466"/>
      <c r="N39" s="737"/>
      <c r="O39" s="749"/>
      <c r="P39" s="738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37"/>
      <c r="AB39" s="738"/>
      <c r="AC39" s="737"/>
      <c r="AD39" s="738"/>
      <c r="AE39" s="558"/>
      <c r="AF39" s="577" t="str">
        <f t="shared" si="3"/>
        <v/>
      </c>
      <c r="AG39" s="578">
        <f t="shared" si="4"/>
        <v>0</v>
      </c>
      <c r="AH39" s="578">
        <f t="shared" si="5"/>
        <v>0</v>
      </c>
      <c r="AI39" s="579">
        <f t="shared" si="6"/>
        <v>0</v>
      </c>
      <c r="AJ39" s="580" t="str">
        <f t="shared" si="32"/>
        <v/>
      </c>
      <c r="AK39" s="581"/>
      <c r="AL39" s="582" t="str">
        <f t="shared" si="7"/>
        <v/>
      </c>
      <c r="AM39" s="583" t="str">
        <f t="shared" si="8"/>
        <v/>
      </c>
      <c r="AN39" s="583" t="str">
        <f t="shared" si="9"/>
        <v/>
      </c>
      <c r="AO39" s="610">
        <v>12</v>
      </c>
      <c r="AP39" s="613" t="str">
        <f t="shared" si="10"/>
        <v>N/D</v>
      </c>
      <c r="AQ39" s="613" t="str">
        <f t="shared" si="11"/>
        <v>N/D</v>
      </c>
      <c r="AR39" s="613" t="str">
        <f t="shared" si="12"/>
        <v>N/D</v>
      </c>
      <c r="AS39" s="613" t="str">
        <f t="shared" si="13"/>
        <v>N/D</v>
      </c>
      <c r="AT39" s="613" t="str">
        <f t="shared" si="33"/>
        <v>N/D</v>
      </c>
      <c r="AU39" s="613" t="str">
        <f t="shared" si="14"/>
        <v>N/D</v>
      </c>
      <c r="AV39" s="613" t="str">
        <f t="shared" si="15"/>
        <v>N/D</v>
      </c>
      <c r="AW39" s="613" t="str">
        <f t="shared" si="16"/>
        <v>N/D</v>
      </c>
      <c r="AX39" s="613" t="str">
        <f t="shared" si="17"/>
        <v>N/D</v>
      </c>
      <c r="AY39" s="613" t="str">
        <f t="shared" si="18"/>
        <v>N/D</v>
      </c>
      <c r="AZ39" s="613" t="str">
        <f t="shared" si="19"/>
        <v>N/D</v>
      </c>
      <c r="BA39" s="613" t="str">
        <f t="shared" si="20"/>
        <v>N/D</v>
      </c>
      <c r="BB39" s="613" t="str">
        <f t="shared" si="21"/>
        <v>N/D</v>
      </c>
      <c r="BC39" s="613" t="str">
        <f t="shared" si="22"/>
        <v>N/D</v>
      </c>
      <c r="BD39" s="613" t="str">
        <f t="shared" si="23"/>
        <v>N/D</v>
      </c>
      <c r="BE39" s="613" t="str">
        <f t="shared" si="24"/>
        <v>N/D</v>
      </c>
      <c r="BF39" s="613" t="str">
        <f t="shared" si="25"/>
        <v>N/D</v>
      </c>
      <c r="BG39" s="613" t="str">
        <f t="shared" si="34"/>
        <v>N/D</v>
      </c>
      <c r="BH39" s="613" t="str">
        <f t="shared" si="35"/>
        <v>N/D</v>
      </c>
      <c r="BI39" s="613" t="str">
        <f t="shared" si="26"/>
        <v>N/D</v>
      </c>
      <c r="BJ39" s="613" t="str">
        <f t="shared" si="27"/>
        <v>N/D</v>
      </c>
      <c r="BK39" s="613" t="str">
        <f t="shared" si="28"/>
        <v>N/D</v>
      </c>
      <c r="BL39" s="613" t="str">
        <f t="shared" si="36"/>
        <v>N/D</v>
      </c>
      <c r="BM39" s="613" t="str">
        <f t="shared" si="29"/>
        <v>N/D</v>
      </c>
      <c r="BN39" s="613" t="str">
        <f t="shared" si="30"/>
        <v>N/D</v>
      </c>
      <c r="BO39" s="613" t="str">
        <f t="shared" si="31"/>
        <v>N/D</v>
      </c>
      <c r="BP39" s="557"/>
      <c r="BQ39" s="473"/>
      <c r="BR39" s="473"/>
      <c r="BS39" s="473"/>
      <c r="BT39" s="473"/>
      <c r="BU39" s="473"/>
      <c r="BV39" s="473"/>
      <c r="BW39" s="473"/>
      <c r="BX39" s="473"/>
      <c r="BY39" s="473"/>
      <c r="BZ39" s="473"/>
      <c r="CA39" s="527"/>
      <c r="CB39" s="473"/>
      <c r="CC39" s="473"/>
      <c r="CD39" s="473"/>
      <c r="CE39" s="473"/>
      <c r="CF39" s="473"/>
      <c r="CG39" s="473"/>
      <c r="CH39" s="473"/>
      <c r="CI39" s="473"/>
    </row>
    <row r="40" spans="1:87" ht="15" customHeight="1" x14ac:dyDescent="0.2">
      <c r="A40" s="546">
        <v>12</v>
      </c>
      <c r="B40" s="555"/>
      <c r="C40" s="466"/>
      <c r="D40" s="748"/>
      <c r="E40" s="738"/>
      <c r="F40" s="748"/>
      <c r="G40" s="749"/>
      <c r="H40" s="738"/>
      <c r="I40" s="466"/>
      <c r="J40" s="466"/>
      <c r="K40" s="466"/>
      <c r="L40" s="466"/>
      <c r="M40" s="466"/>
      <c r="N40" s="737"/>
      <c r="O40" s="749"/>
      <c r="P40" s="738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37"/>
      <c r="AB40" s="738"/>
      <c r="AC40" s="737"/>
      <c r="AD40" s="738"/>
      <c r="AE40" s="558"/>
      <c r="AF40" s="577" t="str">
        <f t="shared" si="3"/>
        <v/>
      </c>
      <c r="AG40" s="578">
        <f t="shared" si="4"/>
        <v>0</v>
      </c>
      <c r="AH40" s="578">
        <f t="shared" si="5"/>
        <v>0</v>
      </c>
      <c r="AI40" s="579">
        <f t="shared" si="6"/>
        <v>0</v>
      </c>
      <c r="AJ40" s="580" t="str">
        <f t="shared" si="32"/>
        <v/>
      </c>
      <c r="AK40" s="581"/>
      <c r="AL40" s="582" t="str">
        <f t="shared" si="7"/>
        <v/>
      </c>
      <c r="AM40" s="583" t="str">
        <f t="shared" si="8"/>
        <v/>
      </c>
      <c r="AN40" s="583" t="str">
        <f t="shared" si="9"/>
        <v/>
      </c>
      <c r="AO40" s="610">
        <v>13</v>
      </c>
      <c r="AP40" s="613" t="str">
        <f t="shared" si="10"/>
        <v>N/D</v>
      </c>
      <c r="AQ40" s="613" t="str">
        <f t="shared" si="11"/>
        <v>N/D</v>
      </c>
      <c r="AR40" s="613" t="str">
        <f t="shared" si="12"/>
        <v>N/D</v>
      </c>
      <c r="AS40" s="613" t="str">
        <f t="shared" si="13"/>
        <v>N/D</v>
      </c>
      <c r="AT40" s="613" t="str">
        <f t="shared" si="33"/>
        <v>N/D</v>
      </c>
      <c r="AU40" s="613" t="str">
        <f t="shared" si="14"/>
        <v>N/D</v>
      </c>
      <c r="AV40" s="613" t="str">
        <f t="shared" si="15"/>
        <v>N/D</v>
      </c>
      <c r="AW40" s="613" t="str">
        <f t="shared" si="16"/>
        <v>N/D</v>
      </c>
      <c r="AX40" s="613" t="str">
        <f t="shared" si="17"/>
        <v>N/D</v>
      </c>
      <c r="AY40" s="613" t="str">
        <f t="shared" si="18"/>
        <v>N/D</v>
      </c>
      <c r="AZ40" s="613" t="str">
        <f t="shared" si="19"/>
        <v>N/D</v>
      </c>
      <c r="BA40" s="613" t="str">
        <f t="shared" si="20"/>
        <v>N/D</v>
      </c>
      <c r="BB40" s="613" t="str">
        <f t="shared" si="21"/>
        <v>N/D</v>
      </c>
      <c r="BC40" s="613" t="str">
        <f t="shared" si="22"/>
        <v>N/D</v>
      </c>
      <c r="BD40" s="613" t="str">
        <f t="shared" si="23"/>
        <v>N/D</v>
      </c>
      <c r="BE40" s="613" t="str">
        <f t="shared" si="24"/>
        <v>N/D</v>
      </c>
      <c r="BF40" s="613" t="str">
        <f t="shared" si="25"/>
        <v>N/D</v>
      </c>
      <c r="BG40" s="613" t="str">
        <f t="shared" si="34"/>
        <v>N/D</v>
      </c>
      <c r="BH40" s="613" t="str">
        <f t="shared" si="35"/>
        <v>N/D</v>
      </c>
      <c r="BI40" s="613" t="str">
        <f t="shared" si="26"/>
        <v>N/D</v>
      </c>
      <c r="BJ40" s="613" t="str">
        <f t="shared" si="27"/>
        <v>N/D</v>
      </c>
      <c r="BK40" s="613" t="str">
        <f t="shared" si="28"/>
        <v>N/D</v>
      </c>
      <c r="BL40" s="613" t="str">
        <f t="shared" si="36"/>
        <v>N/D</v>
      </c>
      <c r="BM40" s="613" t="str">
        <f t="shared" si="29"/>
        <v>N/D</v>
      </c>
      <c r="BN40" s="613" t="str">
        <f t="shared" si="30"/>
        <v>N/D</v>
      </c>
      <c r="BO40" s="613" t="str">
        <f t="shared" si="31"/>
        <v>N/D</v>
      </c>
      <c r="BP40" s="557"/>
      <c r="BQ40" s="473"/>
      <c r="BR40" s="473"/>
      <c r="BS40" s="473"/>
      <c r="BT40" s="473"/>
      <c r="BU40" s="473"/>
      <c r="BV40" s="473"/>
      <c r="BW40" s="473"/>
      <c r="BX40" s="473"/>
      <c r="BY40" s="473"/>
      <c r="BZ40" s="473"/>
      <c r="CA40" s="527"/>
      <c r="CB40" s="473"/>
      <c r="CC40" s="473"/>
      <c r="CD40" s="473"/>
      <c r="CE40" s="473"/>
      <c r="CF40" s="473"/>
      <c r="CG40" s="473"/>
      <c r="CH40" s="473"/>
      <c r="CI40" s="473"/>
    </row>
    <row r="41" spans="1:87" ht="15" customHeight="1" x14ac:dyDescent="0.2">
      <c r="A41" s="546">
        <v>13</v>
      </c>
      <c r="B41" s="555"/>
      <c r="C41" s="466"/>
      <c r="D41" s="748"/>
      <c r="E41" s="738"/>
      <c r="F41" s="748"/>
      <c r="G41" s="749"/>
      <c r="H41" s="738"/>
      <c r="I41" s="466"/>
      <c r="J41" s="466"/>
      <c r="K41" s="466"/>
      <c r="L41" s="466"/>
      <c r="M41" s="466"/>
      <c r="N41" s="737"/>
      <c r="O41" s="749"/>
      <c r="P41" s="738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37"/>
      <c r="AB41" s="738"/>
      <c r="AC41" s="737"/>
      <c r="AD41" s="738"/>
      <c r="AE41" s="558"/>
      <c r="AF41" s="577" t="str">
        <f t="shared" si="3"/>
        <v/>
      </c>
      <c r="AG41" s="578">
        <f t="shared" si="4"/>
        <v>0</v>
      </c>
      <c r="AH41" s="578">
        <f t="shared" si="5"/>
        <v>0</v>
      </c>
      <c r="AI41" s="579">
        <f t="shared" si="6"/>
        <v>0</v>
      </c>
      <c r="AJ41" s="580" t="str">
        <f t="shared" si="32"/>
        <v/>
      </c>
      <c r="AK41" s="581"/>
      <c r="AL41" s="582" t="str">
        <f t="shared" si="7"/>
        <v/>
      </c>
      <c r="AM41" s="583" t="str">
        <f t="shared" si="8"/>
        <v/>
      </c>
      <c r="AN41" s="583" t="str">
        <f t="shared" si="9"/>
        <v/>
      </c>
      <c r="AO41" s="610">
        <v>14</v>
      </c>
      <c r="AP41" s="613" t="str">
        <f t="shared" si="10"/>
        <v>N/D</v>
      </c>
      <c r="AQ41" s="613" t="str">
        <f t="shared" si="11"/>
        <v>N/D</v>
      </c>
      <c r="AR41" s="613" t="str">
        <f t="shared" si="12"/>
        <v>N/D</v>
      </c>
      <c r="AS41" s="613" t="str">
        <f t="shared" si="13"/>
        <v>N/D</v>
      </c>
      <c r="AT41" s="613" t="str">
        <f t="shared" si="33"/>
        <v>N/D</v>
      </c>
      <c r="AU41" s="613" t="str">
        <f t="shared" si="14"/>
        <v>N/D</v>
      </c>
      <c r="AV41" s="613" t="str">
        <f t="shared" si="15"/>
        <v>N/D</v>
      </c>
      <c r="AW41" s="613" t="str">
        <f t="shared" si="16"/>
        <v>N/D</v>
      </c>
      <c r="AX41" s="613" t="str">
        <f t="shared" si="17"/>
        <v>N/D</v>
      </c>
      <c r="AY41" s="613" t="str">
        <f t="shared" si="18"/>
        <v>N/D</v>
      </c>
      <c r="AZ41" s="613" t="str">
        <f t="shared" si="19"/>
        <v>N/D</v>
      </c>
      <c r="BA41" s="613" t="str">
        <f t="shared" si="20"/>
        <v>N/D</v>
      </c>
      <c r="BB41" s="613" t="str">
        <f t="shared" si="21"/>
        <v>N/D</v>
      </c>
      <c r="BC41" s="613" t="str">
        <f t="shared" si="22"/>
        <v>N/D</v>
      </c>
      <c r="BD41" s="613" t="str">
        <f t="shared" si="23"/>
        <v>N/D</v>
      </c>
      <c r="BE41" s="613" t="str">
        <f t="shared" si="24"/>
        <v>N/D</v>
      </c>
      <c r="BF41" s="613" t="str">
        <f t="shared" si="25"/>
        <v>N/D</v>
      </c>
      <c r="BG41" s="613" t="str">
        <f t="shared" si="34"/>
        <v>N/D</v>
      </c>
      <c r="BH41" s="613" t="str">
        <f t="shared" si="35"/>
        <v>N/D</v>
      </c>
      <c r="BI41" s="613" t="str">
        <f t="shared" si="26"/>
        <v>N/D</v>
      </c>
      <c r="BJ41" s="613" t="str">
        <f t="shared" si="27"/>
        <v>N/D</v>
      </c>
      <c r="BK41" s="613" t="str">
        <f t="shared" si="28"/>
        <v>N/D</v>
      </c>
      <c r="BL41" s="613" t="str">
        <f t="shared" si="36"/>
        <v>N/D</v>
      </c>
      <c r="BM41" s="613" t="str">
        <f t="shared" si="29"/>
        <v>N/D</v>
      </c>
      <c r="BN41" s="613" t="str">
        <f t="shared" si="30"/>
        <v>N/D</v>
      </c>
      <c r="BO41" s="613" t="str">
        <f t="shared" si="31"/>
        <v>N/D</v>
      </c>
      <c r="BP41" s="557"/>
      <c r="BQ41" s="473"/>
      <c r="BR41" s="473"/>
      <c r="BS41" s="473"/>
      <c r="BT41" s="473"/>
      <c r="BU41" s="473"/>
      <c r="BV41" s="473"/>
      <c r="BW41" s="473"/>
      <c r="BX41" s="473"/>
      <c r="BY41" s="473"/>
      <c r="BZ41" s="473"/>
      <c r="CA41" s="527"/>
      <c r="CB41" s="473"/>
      <c r="CC41" s="473"/>
      <c r="CD41" s="473"/>
      <c r="CE41" s="473"/>
      <c r="CF41" s="473"/>
      <c r="CG41" s="473"/>
      <c r="CH41" s="473"/>
      <c r="CI41" s="473"/>
    </row>
    <row r="42" spans="1:87" ht="15" customHeight="1" x14ac:dyDescent="0.2">
      <c r="A42" s="546">
        <v>14</v>
      </c>
      <c r="B42" s="555"/>
      <c r="C42" s="466"/>
      <c r="D42" s="748"/>
      <c r="E42" s="738"/>
      <c r="F42" s="748"/>
      <c r="G42" s="749"/>
      <c r="H42" s="738"/>
      <c r="I42" s="466"/>
      <c r="J42" s="466"/>
      <c r="K42" s="466"/>
      <c r="L42" s="466"/>
      <c r="M42" s="466"/>
      <c r="N42" s="737"/>
      <c r="O42" s="749"/>
      <c r="P42" s="738"/>
      <c r="Q42" s="466"/>
      <c r="R42" s="466"/>
      <c r="S42" s="466"/>
      <c r="T42" s="466"/>
      <c r="U42" s="466"/>
      <c r="V42" s="467"/>
      <c r="W42" s="468"/>
      <c r="X42" s="466"/>
      <c r="Y42" s="466"/>
      <c r="Z42" s="469"/>
      <c r="AA42" s="737"/>
      <c r="AB42" s="738"/>
      <c r="AC42" s="737"/>
      <c r="AD42" s="738"/>
      <c r="AE42" s="558"/>
      <c r="AF42" s="577" t="str">
        <f t="shared" si="3"/>
        <v/>
      </c>
      <c r="AG42" s="578">
        <f t="shared" si="4"/>
        <v>0</v>
      </c>
      <c r="AH42" s="578">
        <f t="shared" si="5"/>
        <v>0</v>
      </c>
      <c r="AI42" s="579">
        <f t="shared" si="6"/>
        <v>0</v>
      </c>
      <c r="AJ42" s="580" t="str">
        <f t="shared" si="32"/>
        <v/>
      </c>
      <c r="AK42" s="581"/>
      <c r="AL42" s="582" t="str">
        <f t="shared" si="7"/>
        <v/>
      </c>
      <c r="AM42" s="583" t="str">
        <f t="shared" si="8"/>
        <v/>
      </c>
      <c r="AN42" s="583" t="str">
        <f t="shared" si="9"/>
        <v/>
      </c>
      <c r="AO42" s="610">
        <v>15</v>
      </c>
      <c r="AP42" s="613" t="str">
        <f t="shared" si="10"/>
        <v>N/D</v>
      </c>
      <c r="AQ42" s="613" t="str">
        <f t="shared" si="11"/>
        <v>N/D</v>
      </c>
      <c r="AR42" s="613" t="str">
        <f t="shared" si="12"/>
        <v>N/D</v>
      </c>
      <c r="AS42" s="613" t="str">
        <f t="shared" si="13"/>
        <v>N/D</v>
      </c>
      <c r="AT42" s="613" t="str">
        <f t="shared" si="33"/>
        <v>N/D</v>
      </c>
      <c r="AU42" s="613" t="str">
        <f t="shared" si="14"/>
        <v>N/D</v>
      </c>
      <c r="AV42" s="613" t="str">
        <f t="shared" si="15"/>
        <v>N/D</v>
      </c>
      <c r="AW42" s="613" t="str">
        <f t="shared" si="16"/>
        <v>N/D</v>
      </c>
      <c r="AX42" s="613" t="str">
        <f t="shared" si="17"/>
        <v>N/D</v>
      </c>
      <c r="AY42" s="613" t="str">
        <f t="shared" si="18"/>
        <v>N/D</v>
      </c>
      <c r="AZ42" s="613" t="str">
        <f t="shared" si="19"/>
        <v>N/D</v>
      </c>
      <c r="BA42" s="613" t="str">
        <f t="shared" si="20"/>
        <v>N/D</v>
      </c>
      <c r="BB42" s="613" t="str">
        <f t="shared" si="21"/>
        <v>N/D</v>
      </c>
      <c r="BC42" s="613" t="str">
        <f t="shared" si="22"/>
        <v>N/D</v>
      </c>
      <c r="BD42" s="613" t="str">
        <f t="shared" si="23"/>
        <v>N/D</v>
      </c>
      <c r="BE42" s="613" t="str">
        <f t="shared" si="24"/>
        <v>N/D</v>
      </c>
      <c r="BF42" s="613" t="str">
        <f t="shared" si="25"/>
        <v>N/D</v>
      </c>
      <c r="BG42" s="613" t="str">
        <f t="shared" si="34"/>
        <v>N/D</v>
      </c>
      <c r="BH42" s="613" t="str">
        <f t="shared" si="35"/>
        <v>N/D</v>
      </c>
      <c r="BI42" s="613" t="str">
        <f t="shared" si="26"/>
        <v>N/D</v>
      </c>
      <c r="BJ42" s="613" t="str">
        <f t="shared" si="27"/>
        <v>N/D</v>
      </c>
      <c r="BK42" s="613" t="str">
        <f t="shared" si="28"/>
        <v>N/D</v>
      </c>
      <c r="BL42" s="613" t="str">
        <f t="shared" si="36"/>
        <v>N/D</v>
      </c>
      <c r="BM42" s="613" t="str">
        <f t="shared" si="29"/>
        <v>N/D</v>
      </c>
      <c r="BN42" s="613" t="str">
        <f t="shared" si="30"/>
        <v>N/D</v>
      </c>
      <c r="BO42" s="613" t="str">
        <f t="shared" si="31"/>
        <v>N/D</v>
      </c>
      <c r="BP42" s="557"/>
      <c r="BQ42" s="473"/>
      <c r="BR42" s="473"/>
      <c r="BS42" s="473"/>
      <c r="BT42" s="473"/>
      <c r="BU42" s="473"/>
      <c r="BV42" s="473"/>
      <c r="BW42" s="473"/>
      <c r="BX42" s="473"/>
      <c r="BY42" s="473"/>
      <c r="BZ42" s="473"/>
      <c r="CA42" s="527"/>
      <c r="CB42" s="473"/>
      <c r="CC42" s="473"/>
      <c r="CD42" s="473"/>
      <c r="CE42" s="473"/>
      <c r="CF42" s="473"/>
      <c r="CG42" s="473"/>
      <c r="CH42" s="473"/>
      <c r="CI42" s="473"/>
    </row>
    <row r="43" spans="1:87" ht="15" customHeight="1" x14ac:dyDescent="0.2">
      <c r="A43" s="546">
        <v>15</v>
      </c>
      <c r="B43" s="555"/>
      <c r="C43" s="466"/>
      <c r="D43" s="748"/>
      <c r="E43" s="738"/>
      <c r="F43" s="748"/>
      <c r="G43" s="749"/>
      <c r="H43" s="738"/>
      <c r="I43" s="466"/>
      <c r="J43" s="466"/>
      <c r="K43" s="466"/>
      <c r="L43" s="466"/>
      <c r="M43" s="466"/>
      <c r="N43" s="737"/>
      <c r="O43" s="749"/>
      <c r="P43" s="738"/>
      <c r="Q43" s="466"/>
      <c r="R43" s="466"/>
      <c r="S43" s="466"/>
      <c r="T43" s="466"/>
      <c r="U43" s="466"/>
      <c r="V43" s="467"/>
      <c r="W43" s="468"/>
      <c r="X43" s="466"/>
      <c r="Y43" s="466"/>
      <c r="Z43" s="469"/>
      <c r="AA43" s="737"/>
      <c r="AB43" s="738"/>
      <c r="AC43" s="737"/>
      <c r="AD43" s="738"/>
      <c r="AE43" s="558"/>
      <c r="AF43" s="577" t="str">
        <f t="shared" si="3"/>
        <v/>
      </c>
      <c r="AG43" s="578">
        <f t="shared" si="4"/>
        <v>0</v>
      </c>
      <c r="AH43" s="578">
        <f t="shared" si="5"/>
        <v>0</v>
      </c>
      <c r="AI43" s="579">
        <f t="shared" si="6"/>
        <v>0</v>
      </c>
      <c r="AJ43" s="580" t="str">
        <f t="shared" si="32"/>
        <v/>
      </c>
      <c r="AK43" s="581"/>
      <c r="AL43" s="582" t="str">
        <f t="shared" si="7"/>
        <v/>
      </c>
      <c r="AM43" s="583" t="str">
        <f t="shared" si="8"/>
        <v/>
      </c>
      <c r="AN43" s="583" t="str">
        <f t="shared" si="9"/>
        <v/>
      </c>
      <c r="AO43" s="610">
        <v>16</v>
      </c>
      <c r="AP43" s="613" t="str">
        <f t="shared" si="10"/>
        <v>N/D</v>
      </c>
      <c r="AQ43" s="613" t="str">
        <f t="shared" si="11"/>
        <v>N/D</v>
      </c>
      <c r="AR43" s="613" t="str">
        <f t="shared" si="12"/>
        <v>N/D</v>
      </c>
      <c r="AS43" s="613" t="str">
        <f t="shared" si="13"/>
        <v>N/D</v>
      </c>
      <c r="AT43" s="613" t="str">
        <f t="shared" si="33"/>
        <v>N/D</v>
      </c>
      <c r="AU43" s="613" t="str">
        <f t="shared" si="14"/>
        <v>N/D</v>
      </c>
      <c r="AV43" s="613" t="str">
        <f t="shared" si="15"/>
        <v>N/D</v>
      </c>
      <c r="AW43" s="613" t="str">
        <f t="shared" si="16"/>
        <v>N/D</v>
      </c>
      <c r="AX43" s="613" t="str">
        <f t="shared" si="17"/>
        <v>N/D</v>
      </c>
      <c r="AY43" s="613" t="str">
        <f t="shared" si="18"/>
        <v>N/D</v>
      </c>
      <c r="AZ43" s="613" t="str">
        <f t="shared" si="19"/>
        <v>N/D</v>
      </c>
      <c r="BA43" s="613" t="str">
        <f t="shared" si="20"/>
        <v>N/D</v>
      </c>
      <c r="BB43" s="613" t="str">
        <f t="shared" si="21"/>
        <v>N/D</v>
      </c>
      <c r="BC43" s="613" t="str">
        <f t="shared" si="22"/>
        <v>N/D</v>
      </c>
      <c r="BD43" s="613" t="str">
        <f t="shared" si="23"/>
        <v>N/D</v>
      </c>
      <c r="BE43" s="613" t="str">
        <f t="shared" si="24"/>
        <v>N/D</v>
      </c>
      <c r="BF43" s="613" t="str">
        <f t="shared" si="25"/>
        <v>N/D</v>
      </c>
      <c r="BG43" s="613" t="str">
        <f t="shared" si="34"/>
        <v>N/D</v>
      </c>
      <c r="BH43" s="613" t="str">
        <f t="shared" si="35"/>
        <v>N/D</v>
      </c>
      <c r="BI43" s="613" t="str">
        <f t="shared" si="26"/>
        <v>N/D</v>
      </c>
      <c r="BJ43" s="613" t="str">
        <f t="shared" si="27"/>
        <v>N/D</v>
      </c>
      <c r="BK43" s="613" t="str">
        <f t="shared" si="28"/>
        <v>N/D</v>
      </c>
      <c r="BL43" s="613" t="str">
        <f t="shared" si="36"/>
        <v>N/D</v>
      </c>
      <c r="BM43" s="613" t="str">
        <f t="shared" si="29"/>
        <v>N/D</v>
      </c>
      <c r="BN43" s="613" t="str">
        <f t="shared" si="30"/>
        <v>N/D</v>
      </c>
      <c r="BO43" s="613" t="str">
        <f t="shared" si="31"/>
        <v>N/D</v>
      </c>
      <c r="BP43" s="557"/>
      <c r="BQ43" s="473"/>
      <c r="BR43" s="473"/>
      <c r="BS43" s="473"/>
      <c r="BT43" s="473"/>
      <c r="BU43" s="473"/>
      <c r="BV43" s="473"/>
      <c r="BW43" s="473"/>
      <c r="BX43" s="473"/>
      <c r="BY43" s="473"/>
      <c r="BZ43" s="473"/>
      <c r="CA43" s="527"/>
      <c r="CB43" s="473"/>
      <c r="CC43" s="473"/>
      <c r="CD43" s="473"/>
      <c r="CE43" s="473"/>
      <c r="CF43" s="473"/>
      <c r="CG43" s="473"/>
      <c r="CH43" s="473"/>
      <c r="CI43" s="473"/>
    </row>
    <row r="44" spans="1:87" ht="15" customHeight="1" x14ac:dyDescent="0.2">
      <c r="A44" s="546">
        <v>16</v>
      </c>
      <c r="B44" s="555"/>
      <c r="C44" s="466"/>
      <c r="D44" s="748"/>
      <c r="E44" s="738"/>
      <c r="F44" s="748"/>
      <c r="G44" s="749"/>
      <c r="H44" s="738"/>
      <c r="I44" s="466"/>
      <c r="J44" s="466"/>
      <c r="K44" s="466"/>
      <c r="L44" s="466"/>
      <c r="M44" s="466"/>
      <c r="N44" s="737"/>
      <c r="O44" s="749"/>
      <c r="P44" s="738"/>
      <c r="Q44" s="466"/>
      <c r="R44" s="466"/>
      <c r="S44" s="466"/>
      <c r="T44" s="466"/>
      <c r="U44" s="466"/>
      <c r="V44" s="467"/>
      <c r="W44" s="468"/>
      <c r="X44" s="466"/>
      <c r="Y44" s="466"/>
      <c r="Z44" s="469"/>
      <c r="AA44" s="737"/>
      <c r="AB44" s="738"/>
      <c r="AC44" s="737"/>
      <c r="AD44" s="738"/>
      <c r="AE44" s="558"/>
      <c r="AF44" s="577" t="str">
        <f t="shared" si="3"/>
        <v/>
      </c>
      <c r="AG44" s="578">
        <f t="shared" si="4"/>
        <v>0</v>
      </c>
      <c r="AH44" s="578">
        <f t="shared" si="5"/>
        <v>0</v>
      </c>
      <c r="AI44" s="579">
        <f t="shared" si="6"/>
        <v>0</v>
      </c>
      <c r="AJ44" s="580" t="str">
        <f t="shared" si="32"/>
        <v/>
      </c>
      <c r="AK44" s="581"/>
      <c r="AL44" s="582" t="str">
        <f t="shared" si="7"/>
        <v/>
      </c>
      <c r="AM44" s="583" t="str">
        <f t="shared" si="8"/>
        <v/>
      </c>
      <c r="AN44" s="583" t="str">
        <f t="shared" si="9"/>
        <v/>
      </c>
      <c r="AO44" s="610">
        <v>17</v>
      </c>
      <c r="AP44" s="613" t="str">
        <f t="shared" si="10"/>
        <v>N/D</v>
      </c>
      <c r="AQ44" s="613" t="str">
        <f t="shared" si="11"/>
        <v>N/D</v>
      </c>
      <c r="AR44" s="613" t="str">
        <f t="shared" si="12"/>
        <v>N/D</v>
      </c>
      <c r="AS44" s="613" t="str">
        <f t="shared" si="13"/>
        <v>N/D</v>
      </c>
      <c r="AT44" s="613" t="str">
        <f t="shared" si="33"/>
        <v>N/D</v>
      </c>
      <c r="AU44" s="613" t="str">
        <f t="shared" si="14"/>
        <v>N/D</v>
      </c>
      <c r="AV44" s="613" t="str">
        <f t="shared" si="15"/>
        <v>N/D</v>
      </c>
      <c r="AW44" s="613" t="str">
        <f t="shared" si="16"/>
        <v>N/D</v>
      </c>
      <c r="AX44" s="613" t="str">
        <f t="shared" si="17"/>
        <v>N/D</v>
      </c>
      <c r="AY44" s="613" t="str">
        <f t="shared" si="18"/>
        <v>N/D</v>
      </c>
      <c r="AZ44" s="613" t="str">
        <f t="shared" si="19"/>
        <v>N/D</v>
      </c>
      <c r="BA44" s="613" t="str">
        <f t="shared" si="20"/>
        <v>N/D</v>
      </c>
      <c r="BB44" s="613" t="str">
        <f t="shared" si="21"/>
        <v>N/D</v>
      </c>
      <c r="BC44" s="613" t="str">
        <f t="shared" si="22"/>
        <v>N/D</v>
      </c>
      <c r="BD44" s="613" t="str">
        <f t="shared" si="23"/>
        <v>N/D</v>
      </c>
      <c r="BE44" s="613" t="str">
        <f t="shared" si="24"/>
        <v>N/D</v>
      </c>
      <c r="BF44" s="613" t="str">
        <f t="shared" si="25"/>
        <v>N/D</v>
      </c>
      <c r="BG44" s="613" t="str">
        <f t="shared" si="34"/>
        <v>N/D</v>
      </c>
      <c r="BH44" s="613" t="str">
        <f t="shared" si="35"/>
        <v>N/D</v>
      </c>
      <c r="BI44" s="613" t="str">
        <f t="shared" si="26"/>
        <v>N/D</v>
      </c>
      <c r="BJ44" s="613" t="str">
        <f t="shared" si="27"/>
        <v>N/D</v>
      </c>
      <c r="BK44" s="613" t="str">
        <f t="shared" si="28"/>
        <v>N/D</v>
      </c>
      <c r="BL44" s="613" t="str">
        <f t="shared" si="36"/>
        <v>N/D</v>
      </c>
      <c r="BM44" s="613" t="str">
        <f t="shared" si="29"/>
        <v>N/D</v>
      </c>
      <c r="BN44" s="613" t="str">
        <f t="shared" si="30"/>
        <v>N/D</v>
      </c>
      <c r="BO44" s="613" t="str">
        <f t="shared" si="31"/>
        <v>N/D</v>
      </c>
      <c r="BP44" s="557"/>
      <c r="BQ44" s="473"/>
      <c r="BR44" s="473"/>
      <c r="BS44" s="473"/>
      <c r="BT44" s="473"/>
      <c r="BU44" s="473"/>
      <c r="BV44" s="473"/>
      <c r="BW44" s="473"/>
      <c r="BX44" s="473"/>
      <c r="BY44" s="473"/>
      <c r="BZ44" s="473"/>
      <c r="CA44" s="527"/>
      <c r="CB44" s="473"/>
      <c r="CC44" s="473"/>
      <c r="CD44" s="473"/>
      <c r="CE44" s="473"/>
      <c r="CF44" s="473"/>
      <c r="CG44" s="473"/>
      <c r="CH44" s="473"/>
      <c r="CI44" s="473"/>
    </row>
    <row r="45" spans="1:87" ht="15" customHeight="1" x14ac:dyDescent="0.2">
      <c r="A45" s="546">
        <v>17</v>
      </c>
      <c r="B45" s="555"/>
      <c r="C45" s="466"/>
      <c r="D45" s="748"/>
      <c r="E45" s="738"/>
      <c r="F45" s="748"/>
      <c r="G45" s="749"/>
      <c r="H45" s="738"/>
      <c r="I45" s="466"/>
      <c r="J45" s="466"/>
      <c r="K45" s="466"/>
      <c r="L45" s="466"/>
      <c r="M45" s="466"/>
      <c r="N45" s="737"/>
      <c r="O45" s="749"/>
      <c r="P45" s="738"/>
      <c r="Q45" s="466"/>
      <c r="R45" s="466"/>
      <c r="S45" s="466"/>
      <c r="T45" s="466"/>
      <c r="U45" s="466"/>
      <c r="V45" s="467"/>
      <c r="W45" s="468"/>
      <c r="X45" s="466"/>
      <c r="Y45" s="466"/>
      <c r="Z45" s="469"/>
      <c r="AA45" s="737"/>
      <c r="AB45" s="738"/>
      <c r="AC45" s="737"/>
      <c r="AD45" s="738"/>
      <c r="AE45" s="558" t="b">
        <v>0</v>
      </c>
      <c r="AF45" s="577" t="str">
        <f t="shared" si="3"/>
        <v/>
      </c>
      <c r="AG45" s="578">
        <f t="shared" si="4"/>
        <v>0</v>
      </c>
      <c r="AH45" s="578">
        <f t="shared" si="5"/>
        <v>0</v>
      </c>
      <c r="AI45" s="579">
        <f t="shared" si="6"/>
        <v>0</v>
      </c>
      <c r="AJ45" s="580" t="str">
        <f t="shared" si="32"/>
        <v/>
      </c>
      <c r="AK45" s="581"/>
      <c r="AL45" s="582" t="str">
        <f t="shared" si="7"/>
        <v/>
      </c>
      <c r="AM45" s="583" t="str">
        <f t="shared" si="8"/>
        <v/>
      </c>
      <c r="AN45" s="583" t="str">
        <f t="shared" si="9"/>
        <v/>
      </c>
      <c r="AO45" s="610">
        <v>18</v>
      </c>
      <c r="AP45" s="613" t="str">
        <f t="shared" si="10"/>
        <v>N/D</v>
      </c>
      <c r="AQ45" s="613" t="str">
        <f t="shared" si="11"/>
        <v>N/D</v>
      </c>
      <c r="AR45" s="613" t="str">
        <f t="shared" si="12"/>
        <v>N/D</v>
      </c>
      <c r="AS45" s="613" t="str">
        <f t="shared" si="13"/>
        <v>N/D</v>
      </c>
      <c r="AT45" s="613" t="str">
        <f t="shared" si="33"/>
        <v>N/D</v>
      </c>
      <c r="AU45" s="613" t="str">
        <f t="shared" si="14"/>
        <v>N/D</v>
      </c>
      <c r="AV45" s="613" t="str">
        <f t="shared" si="15"/>
        <v>N/D</v>
      </c>
      <c r="AW45" s="613" t="str">
        <f t="shared" si="16"/>
        <v>N/D</v>
      </c>
      <c r="AX45" s="613" t="str">
        <f t="shared" si="17"/>
        <v>N/D</v>
      </c>
      <c r="AY45" s="613" t="str">
        <f t="shared" si="18"/>
        <v>N/D</v>
      </c>
      <c r="AZ45" s="613" t="str">
        <f t="shared" si="19"/>
        <v>N/D</v>
      </c>
      <c r="BA45" s="613" t="str">
        <f t="shared" si="20"/>
        <v>N/D</v>
      </c>
      <c r="BB45" s="613" t="str">
        <f t="shared" si="21"/>
        <v>N/D</v>
      </c>
      <c r="BC45" s="613" t="str">
        <f t="shared" si="22"/>
        <v>N/D</v>
      </c>
      <c r="BD45" s="613" t="str">
        <f t="shared" si="23"/>
        <v>N/D</v>
      </c>
      <c r="BE45" s="613" t="str">
        <f t="shared" si="24"/>
        <v>N/D</v>
      </c>
      <c r="BF45" s="613" t="str">
        <f t="shared" si="25"/>
        <v>N/D</v>
      </c>
      <c r="BG45" s="613" t="str">
        <f t="shared" si="34"/>
        <v>N/D</v>
      </c>
      <c r="BH45" s="613" t="str">
        <f t="shared" si="35"/>
        <v>N/D</v>
      </c>
      <c r="BI45" s="613" t="str">
        <f t="shared" si="26"/>
        <v>N/D</v>
      </c>
      <c r="BJ45" s="613" t="str">
        <f t="shared" si="27"/>
        <v>N/D</v>
      </c>
      <c r="BK45" s="613" t="str">
        <f t="shared" si="28"/>
        <v>N/D</v>
      </c>
      <c r="BL45" s="613" t="str">
        <f t="shared" si="36"/>
        <v>N/D</v>
      </c>
      <c r="BM45" s="613" t="str">
        <f t="shared" si="29"/>
        <v>N/D</v>
      </c>
      <c r="BN45" s="613" t="str">
        <f t="shared" si="30"/>
        <v>N/D</v>
      </c>
      <c r="BO45" s="613" t="str">
        <f t="shared" si="31"/>
        <v>N/D</v>
      </c>
      <c r="BP45" s="557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527"/>
      <c r="CB45" s="473"/>
      <c r="CC45" s="473"/>
      <c r="CD45" s="473"/>
      <c r="CE45" s="473"/>
      <c r="CF45" s="473"/>
      <c r="CG45" s="473"/>
      <c r="CH45" s="473"/>
      <c r="CI45" s="473"/>
    </row>
    <row r="46" spans="1:87" ht="15" customHeight="1" x14ac:dyDescent="0.2">
      <c r="A46" s="546">
        <v>18</v>
      </c>
      <c r="B46" s="555"/>
      <c r="C46" s="466"/>
      <c r="D46" s="748"/>
      <c r="E46" s="738"/>
      <c r="F46" s="748"/>
      <c r="G46" s="749"/>
      <c r="H46" s="738"/>
      <c r="I46" s="466"/>
      <c r="J46" s="466"/>
      <c r="K46" s="466"/>
      <c r="L46" s="466"/>
      <c r="M46" s="466"/>
      <c r="N46" s="737"/>
      <c r="O46" s="749"/>
      <c r="P46" s="738"/>
      <c r="Q46" s="466"/>
      <c r="R46" s="466"/>
      <c r="S46" s="466"/>
      <c r="T46" s="466"/>
      <c r="U46" s="466"/>
      <c r="V46" s="467"/>
      <c r="W46" s="468"/>
      <c r="X46" s="466"/>
      <c r="Y46" s="466"/>
      <c r="Z46" s="469"/>
      <c r="AA46" s="737"/>
      <c r="AB46" s="738"/>
      <c r="AC46" s="737"/>
      <c r="AD46" s="738"/>
      <c r="AE46" s="558"/>
      <c r="AF46" s="577" t="str">
        <f t="shared" si="3"/>
        <v/>
      </c>
      <c r="AG46" s="578">
        <f t="shared" si="4"/>
        <v>0</v>
      </c>
      <c r="AH46" s="578">
        <f t="shared" si="5"/>
        <v>0</v>
      </c>
      <c r="AI46" s="579">
        <f t="shared" si="6"/>
        <v>0</v>
      </c>
      <c r="AJ46" s="580" t="str">
        <f t="shared" si="32"/>
        <v/>
      </c>
      <c r="AK46" s="581"/>
      <c r="AL46" s="582" t="str">
        <f t="shared" si="7"/>
        <v/>
      </c>
      <c r="AM46" s="583" t="str">
        <f t="shared" si="8"/>
        <v/>
      </c>
      <c r="AN46" s="583" t="str">
        <f t="shared" si="9"/>
        <v/>
      </c>
      <c r="AO46" s="610">
        <v>19</v>
      </c>
      <c r="AP46" s="613" t="str">
        <f t="shared" si="10"/>
        <v>N/D</v>
      </c>
      <c r="AQ46" s="613" t="str">
        <f t="shared" si="11"/>
        <v>N/D</v>
      </c>
      <c r="AR46" s="613" t="str">
        <f t="shared" si="12"/>
        <v>N/D</v>
      </c>
      <c r="AS46" s="613" t="str">
        <f t="shared" si="13"/>
        <v>N/D</v>
      </c>
      <c r="AT46" s="613" t="str">
        <f t="shared" si="33"/>
        <v>N/D</v>
      </c>
      <c r="AU46" s="613" t="str">
        <f t="shared" si="14"/>
        <v>N/D</v>
      </c>
      <c r="AV46" s="613" t="str">
        <f t="shared" si="15"/>
        <v>N/D</v>
      </c>
      <c r="AW46" s="613" t="str">
        <f t="shared" si="16"/>
        <v>N/D</v>
      </c>
      <c r="AX46" s="613" t="str">
        <f t="shared" si="17"/>
        <v>N/D</v>
      </c>
      <c r="AY46" s="613" t="str">
        <f t="shared" si="18"/>
        <v>N/D</v>
      </c>
      <c r="AZ46" s="613" t="str">
        <f t="shared" si="19"/>
        <v>N/D</v>
      </c>
      <c r="BA46" s="613" t="str">
        <f t="shared" si="20"/>
        <v>N/D</v>
      </c>
      <c r="BB46" s="613" t="str">
        <f t="shared" si="21"/>
        <v>N/D</v>
      </c>
      <c r="BC46" s="613" t="str">
        <f t="shared" si="22"/>
        <v>N/D</v>
      </c>
      <c r="BD46" s="613" t="str">
        <f t="shared" si="23"/>
        <v>N/D</v>
      </c>
      <c r="BE46" s="613" t="str">
        <f t="shared" si="24"/>
        <v>N/D</v>
      </c>
      <c r="BF46" s="613" t="str">
        <f t="shared" si="25"/>
        <v>N/D</v>
      </c>
      <c r="BG46" s="613" t="str">
        <f t="shared" si="34"/>
        <v>N/D</v>
      </c>
      <c r="BH46" s="613" t="str">
        <f t="shared" si="35"/>
        <v>N/D</v>
      </c>
      <c r="BI46" s="613" t="str">
        <f t="shared" si="26"/>
        <v>N/D</v>
      </c>
      <c r="BJ46" s="613" t="str">
        <f t="shared" si="27"/>
        <v>N/D</v>
      </c>
      <c r="BK46" s="613" t="str">
        <f t="shared" si="28"/>
        <v>N/D</v>
      </c>
      <c r="BL46" s="613" t="str">
        <f t="shared" si="36"/>
        <v>N/D</v>
      </c>
      <c r="BM46" s="613" t="str">
        <f t="shared" si="29"/>
        <v>N/D</v>
      </c>
      <c r="BN46" s="613" t="str">
        <f t="shared" si="30"/>
        <v>N/D</v>
      </c>
      <c r="BO46" s="613" t="str">
        <f t="shared" si="31"/>
        <v>N/D</v>
      </c>
      <c r="BP46" s="557"/>
      <c r="BQ46" s="473"/>
      <c r="BR46" s="473"/>
      <c r="BS46" s="473"/>
      <c r="BT46" s="473"/>
      <c r="BU46" s="473"/>
      <c r="BV46" s="473"/>
      <c r="BW46" s="473"/>
      <c r="BX46" s="473"/>
      <c r="BY46" s="473"/>
      <c r="BZ46" s="473"/>
      <c r="CA46" s="527"/>
      <c r="CB46" s="473"/>
      <c r="CC46" s="473"/>
      <c r="CD46" s="473"/>
      <c r="CE46" s="473"/>
      <c r="CF46" s="473"/>
      <c r="CG46" s="473"/>
      <c r="CH46" s="473"/>
      <c r="CI46" s="473"/>
    </row>
    <row r="47" spans="1:87" ht="15" customHeight="1" x14ac:dyDescent="0.2">
      <c r="A47" s="546">
        <v>19</v>
      </c>
      <c r="B47" s="555"/>
      <c r="C47" s="466"/>
      <c r="D47" s="748"/>
      <c r="E47" s="738"/>
      <c r="F47" s="748"/>
      <c r="G47" s="749"/>
      <c r="H47" s="738"/>
      <c r="I47" s="466"/>
      <c r="J47" s="466"/>
      <c r="K47" s="466"/>
      <c r="L47" s="466"/>
      <c r="M47" s="466"/>
      <c r="N47" s="737"/>
      <c r="O47" s="749"/>
      <c r="P47" s="738"/>
      <c r="Q47" s="466"/>
      <c r="R47" s="466"/>
      <c r="S47" s="466"/>
      <c r="T47" s="466"/>
      <c r="U47" s="466"/>
      <c r="V47" s="467"/>
      <c r="W47" s="468"/>
      <c r="X47" s="466"/>
      <c r="Y47" s="466"/>
      <c r="Z47" s="469"/>
      <c r="AA47" s="737"/>
      <c r="AB47" s="738"/>
      <c r="AC47" s="737"/>
      <c r="AD47" s="738"/>
      <c r="AE47" s="558"/>
      <c r="AF47" s="577" t="str">
        <f t="shared" si="3"/>
        <v/>
      </c>
      <c r="AG47" s="578">
        <f t="shared" si="4"/>
        <v>0</v>
      </c>
      <c r="AH47" s="578">
        <f t="shared" si="5"/>
        <v>0</v>
      </c>
      <c r="AI47" s="579">
        <f t="shared" si="6"/>
        <v>0</v>
      </c>
      <c r="AJ47" s="580" t="str">
        <f t="shared" si="32"/>
        <v/>
      </c>
      <c r="AK47" s="581"/>
      <c r="AL47" s="582" t="str">
        <f t="shared" si="7"/>
        <v/>
      </c>
      <c r="AM47" s="583" t="str">
        <f t="shared" si="8"/>
        <v/>
      </c>
      <c r="AN47" s="583" t="str">
        <f t="shared" si="9"/>
        <v/>
      </c>
      <c r="AO47" s="610">
        <v>20</v>
      </c>
      <c r="AP47" s="613" t="str">
        <f t="shared" si="10"/>
        <v>N/D</v>
      </c>
      <c r="AQ47" s="613" t="str">
        <f t="shared" si="11"/>
        <v>N/D</v>
      </c>
      <c r="AR47" s="613" t="str">
        <f t="shared" si="12"/>
        <v>N/D</v>
      </c>
      <c r="AS47" s="613" t="str">
        <f t="shared" si="13"/>
        <v>N/D</v>
      </c>
      <c r="AT47" s="613" t="str">
        <f t="shared" si="33"/>
        <v>N/D</v>
      </c>
      <c r="AU47" s="613" t="str">
        <f t="shared" si="14"/>
        <v>N/D</v>
      </c>
      <c r="AV47" s="613" t="str">
        <f t="shared" si="15"/>
        <v>N/D</v>
      </c>
      <c r="AW47" s="613" t="str">
        <f t="shared" si="16"/>
        <v>N/D</v>
      </c>
      <c r="AX47" s="613" t="str">
        <f t="shared" si="17"/>
        <v>N/D</v>
      </c>
      <c r="AY47" s="613" t="str">
        <f t="shared" si="18"/>
        <v>N/D</v>
      </c>
      <c r="AZ47" s="613" t="str">
        <f t="shared" si="19"/>
        <v>N/D</v>
      </c>
      <c r="BA47" s="613" t="str">
        <f t="shared" si="20"/>
        <v>N/D</v>
      </c>
      <c r="BB47" s="613" t="str">
        <f t="shared" si="21"/>
        <v>N/D</v>
      </c>
      <c r="BC47" s="613" t="str">
        <f t="shared" si="22"/>
        <v>N/D</v>
      </c>
      <c r="BD47" s="613" t="str">
        <f t="shared" si="23"/>
        <v>N/D</v>
      </c>
      <c r="BE47" s="613" t="str">
        <f t="shared" si="24"/>
        <v>N/D</v>
      </c>
      <c r="BF47" s="613" t="str">
        <f t="shared" si="25"/>
        <v>N/D</v>
      </c>
      <c r="BG47" s="613" t="str">
        <f t="shared" si="34"/>
        <v>N/D</v>
      </c>
      <c r="BH47" s="613" t="str">
        <f t="shared" si="35"/>
        <v>N/D</v>
      </c>
      <c r="BI47" s="613" t="str">
        <f t="shared" si="26"/>
        <v>N/D</v>
      </c>
      <c r="BJ47" s="613" t="str">
        <f t="shared" si="27"/>
        <v>N/D</v>
      </c>
      <c r="BK47" s="613" t="str">
        <f t="shared" si="28"/>
        <v>N/D</v>
      </c>
      <c r="BL47" s="613" t="str">
        <f t="shared" si="36"/>
        <v>N/D</v>
      </c>
      <c r="BM47" s="613" t="str">
        <f t="shared" si="29"/>
        <v>N/D</v>
      </c>
      <c r="BN47" s="613" t="str">
        <f t="shared" si="30"/>
        <v>N/D</v>
      </c>
      <c r="BO47" s="613" t="str">
        <f t="shared" si="31"/>
        <v>N/D</v>
      </c>
      <c r="BP47" s="557"/>
      <c r="BQ47" s="473"/>
      <c r="BR47" s="473"/>
      <c r="BS47" s="473"/>
      <c r="BT47" s="473"/>
      <c r="BU47" s="473"/>
      <c r="BV47" s="473"/>
      <c r="BW47" s="473"/>
      <c r="BX47" s="473"/>
      <c r="BY47" s="473"/>
      <c r="BZ47" s="473"/>
      <c r="CA47" s="527"/>
      <c r="CB47" s="473"/>
      <c r="CC47" s="473"/>
      <c r="CD47" s="473"/>
      <c r="CE47" s="473"/>
      <c r="CF47" s="473"/>
      <c r="CG47" s="473"/>
      <c r="CH47" s="473"/>
      <c r="CI47" s="473"/>
    </row>
    <row r="48" spans="1:87" ht="15" customHeight="1" x14ac:dyDescent="0.2">
      <c r="A48" s="546">
        <v>20</v>
      </c>
      <c r="B48" s="555"/>
      <c r="C48" s="466"/>
      <c r="D48" s="748"/>
      <c r="E48" s="738"/>
      <c r="F48" s="748"/>
      <c r="G48" s="749"/>
      <c r="H48" s="738"/>
      <c r="I48" s="466"/>
      <c r="J48" s="466"/>
      <c r="K48" s="466"/>
      <c r="L48" s="466"/>
      <c r="M48" s="466"/>
      <c r="N48" s="737"/>
      <c r="O48" s="749"/>
      <c r="P48" s="738"/>
      <c r="Q48" s="466"/>
      <c r="R48" s="466"/>
      <c r="S48" s="466"/>
      <c r="T48" s="466"/>
      <c r="U48" s="466"/>
      <c r="V48" s="467"/>
      <c r="W48" s="468"/>
      <c r="X48" s="466"/>
      <c r="Y48" s="466"/>
      <c r="Z48" s="469"/>
      <c r="AA48" s="737"/>
      <c r="AB48" s="738"/>
      <c r="AC48" s="737"/>
      <c r="AD48" s="738"/>
      <c r="AE48" s="558"/>
      <c r="AF48" s="577" t="str">
        <f t="shared" si="3"/>
        <v/>
      </c>
      <c r="AG48" s="578">
        <f t="shared" si="4"/>
        <v>0</v>
      </c>
      <c r="AH48" s="578">
        <f t="shared" si="5"/>
        <v>0</v>
      </c>
      <c r="AI48" s="579">
        <f t="shared" si="6"/>
        <v>0</v>
      </c>
      <c r="AJ48" s="584" t="str">
        <f t="shared" si="32"/>
        <v/>
      </c>
      <c r="AK48" s="585"/>
      <c r="AL48" s="582" t="str">
        <f t="shared" si="7"/>
        <v/>
      </c>
      <c r="AM48" s="583" t="str">
        <f t="shared" si="8"/>
        <v/>
      </c>
      <c r="AN48" s="583" t="str">
        <f t="shared" si="9"/>
        <v/>
      </c>
      <c r="AO48" s="610">
        <v>21</v>
      </c>
      <c r="AP48" s="613" t="str">
        <f t="shared" si="10"/>
        <v>N/D</v>
      </c>
      <c r="AQ48" s="613" t="str">
        <f t="shared" si="11"/>
        <v>N/D</v>
      </c>
      <c r="AR48" s="613" t="str">
        <f t="shared" si="12"/>
        <v>N/D</v>
      </c>
      <c r="AS48" s="613" t="str">
        <f t="shared" si="13"/>
        <v>N/D</v>
      </c>
      <c r="AT48" s="613" t="str">
        <f t="shared" si="33"/>
        <v>N/D</v>
      </c>
      <c r="AU48" s="613" t="str">
        <f t="shared" si="14"/>
        <v>N/D</v>
      </c>
      <c r="AV48" s="613" t="str">
        <f t="shared" si="15"/>
        <v>N/D</v>
      </c>
      <c r="AW48" s="613" t="str">
        <f t="shared" si="16"/>
        <v>N/D</v>
      </c>
      <c r="AX48" s="613" t="str">
        <f t="shared" si="17"/>
        <v>N/D</v>
      </c>
      <c r="AY48" s="613" t="str">
        <f t="shared" si="18"/>
        <v>N/D</v>
      </c>
      <c r="AZ48" s="613" t="str">
        <f t="shared" si="19"/>
        <v>N/D</v>
      </c>
      <c r="BA48" s="613" t="str">
        <f t="shared" si="20"/>
        <v>N/D</v>
      </c>
      <c r="BB48" s="613" t="str">
        <f t="shared" si="21"/>
        <v>N/D</v>
      </c>
      <c r="BC48" s="613" t="str">
        <f t="shared" si="22"/>
        <v>N/D</v>
      </c>
      <c r="BD48" s="613" t="str">
        <f t="shared" si="23"/>
        <v>N/D</v>
      </c>
      <c r="BE48" s="613" t="str">
        <f t="shared" si="24"/>
        <v>N/D</v>
      </c>
      <c r="BF48" s="613" t="str">
        <f t="shared" si="25"/>
        <v>N/D</v>
      </c>
      <c r="BG48" s="613" t="str">
        <f t="shared" si="34"/>
        <v>N/D</v>
      </c>
      <c r="BH48" s="613" t="str">
        <f t="shared" si="35"/>
        <v>N/D</v>
      </c>
      <c r="BI48" s="613" t="str">
        <f t="shared" si="26"/>
        <v>N/D</v>
      </c>
      <c r="BJ48" s="613" t="str">
        <f t="shared" si="27"/>
        <v>N/D</v>
      </c>
      <c r="BK48" s="613" t="str">
        <f t="shared" si="28"/>
        <v>N/D</v>
      </c>
      <c r="BL48" s="613" t="str">
        <f t="shared" si="36"/>
        <v>N/D</v>
      </c>
      <c r="BM48" s="613" t="str">
        <f t="shared" si="29"/>
        <v>N/D</v>
      </c>
      <c r="BN48" s="613" t="str">
        <f t="shared" si="30"/>
        <v>N/D</v>
      </c>
      <c r="BO48" s="613" t="str">
        <f t="shared" si="31"/>
        <v>N/D</v>
      </c>
      <c r="BP48" s="557"/>
      <c r="BQ48" s="473"/>
      <c r="BR48" s="473"/>
      <c r="BS48" s="473"/>
      <c r="BT48" s="473"/>
      <c r="BU48" s="473"/>
      <c r="BV48" s="473"/>
      <c r="BW48" s="473"/>
      <c r="BX48" s="473"/>
      <c r="BY48" s="473"/>
      <c r="BZ48" s="473"/>
      <c r="CA48" s="529"/>
      <c r="CB48" s="473"/>
      <c r="CC48" s="473"/>
      <c r="CD48" s="473"/>
      <c r="CE48" s="473"/>
      <c r="CF48" s="473"/>
      <c r="CG48" s="473"/>
      <c r="CH48" s="473"/>
      <c r="CI48" s="473"/>
    </row>
    <row r="49" spans="1:87" ht="15" customHeight="1" thickBot="1" x14ac:dyDescent="0.25">
      <c r="A49" s="559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482"/>
      <c r="W49" s="482"/>
      <c r="X49" s="561">
        <f t="shared" ref="X49:Z49" si="37">SUM(X29:X48)</f>
        <v>0</v>
      </c>
      <c r="Y49" s="561">
        <f t="shared" si="37"/>
        <v>0</v>
      </c>
      <c r="Z49" s="561">
        <f t="shared" si="37"/>
        <v>0</v>
      </c>
      <c r="AA49" s="482"/>
      <c r="AB49" s="482"/>
      <c r="AC49" s="482"/>
      <c r="AD49" s="562"/>
      <c r="AE49" s="562"/>
      <c r="AF49" s="563">
        <f>SUM(AF29:AF48)</f>
        <v>0</v>
      </c>
      <c r="AG49" s="564"/>
      <c r="AH49" s="565">
        <f t="shared" ref="AH49:AI49" si="38">SUM(AH29:AH48)</f>
        <v>0</v>
      </c>
      <c r="AI49" s="565">
        <f t="shared" si="38"/>
        <v>0</v>
      </c>
      <c r="AJ49" s="566"/>
      <c r="AK49" s="566"/>
      <c r="AL49" s="567"/>
      <c r="AM49" s="568">
        <f t="shared" ref="AM49:AN49" si="39">SUM(AM29:AM48)</f>
        <v>0</v>
      </c>
      <c r="AN49" s="569">
        <f t="shared" si="39"/>
        <v>0</v>
      </c>
      <c r="AO49" s="610"/>
      <c r="AP49" s="614" t="s">
        <v>110</v>
      </c>
      <c r="AQ49" s="614"/>
      <c r="AR49" s="614"/>
      <c r="AS49" s="614"/>
      <c r="AT49" s="614"/>
      <c r="AU49" s="614"/>
      <c r="AV49" s="614"/>
      <c r="AW49" s="614"/>
      <c r="AX49" s="614"/>
      <c r="AY49" s="614"/>
      <c r="AZ49" s="614"/>
      <c r="BA49" s="614"/>
      <c r="BB49" s="614"/>
      <c r="BC49" s="614"/>
      <c r="BD49" s="614"/>
      <c r="BE49" s="614"/>
      <c r="BF49" s="614"/>
      <c r="BG49" s="614"/>
      <c r="BH49" s="614"/>
      <c r="BI49" s="614"/>
      <c r="BJ49" s="614"/>
      <c r="BK49" s="614"/>
      <c r="BL49" s="614"/>
      <c r="BM49" s="614"/>
      <c r="BN49" s="614"/>
      <c r="BO49" s="614"/>
      <c r="BP49" s="557"/>
      <c r="BQ49" s="473"/>
      <c r="BR49" s="473"/>
      <c r="BS49" s="473"/>
      <c r="BT49" s="473"/>
      <c r="BU49" s="473"/>
      <c r="BV49" s="473"/>
      <c r="BW49" s="473"/>
      <c r="BX49" s="473"/>
      <c r="BY49" s="473"/>
      <c r="BZ49" s="473"/>
      <c r="CA49" s="527"/>
      <c r="CB49" s="473"/>
      <c r="CC49" s="473"/>
      <c r="CD49" s="473"/>
      <c r="CE49" s="473"/>
      <c r="CF49" s="473"/>
      <c r="CG49" s="473"/>
      <c r="CH49" s="473"/>
      <c r="CI49" s="473"/>
    </row>
    <row r="50" spans="1:87" ht="15.75" customHeight="1" thickBot="1" x14ac:dyDescent="0.25">
      <c r="A50" s="766" t="s">
        <v>111</v>
      </c>
      <c r="B50" s="767"/>
      <c r="C50" s="767"/>
      <c r="D50" s="767"/>
      <c r="E50" s="767"/>
      <c r="F50" s="767"/>
      <c r="G50" s="767"/>
      <c r="H50" s="767"/>
      <c r="I50" s="767"/>
      <c r="J50" s="767"/>
      <c r="K50" s="767"/>
      <c r="L50" s="767"/>
      <c r="M50" s="767"/>
      <c r="N50" s="767"/>
      <c r="O50" s="767"/>
      <c r="P50" s="767"/>
      <c r="Q50" s="767"/>
      <c r="R50" s="767"/>
      <c r="S50" s="767"/>
      <c r="T50" s="767"/>
      <c r="U50" s="768"/>
      <c r="V50" s="471"/>
      <c r="W50" s="471"/>
      <c r="X50" s="471"/>
      <c r="Y50" s="471"/>
      <c r="Z50" s="471"/>
      <c r="AA50" s="471"/>
      <c r="AB50" s="471"/>
      <c r="AC50" s="471"/>
      <c r="AD50" s="471"/>
      <c r="AE50" s="471"/>
      <c r="AF50" s="471"/>
      <c r="AG50" s="471"/>
      <c r="AH50" s="471"/>
      <c r="AI50" s="471"/>
      <c r="AJ50" s="471"/>
      <c r="AK50" s="471"/>
      <c r="AL50" s="471"/>
      <c r="AM50" s="471"/>
      <c r="AN50" s="471"/>
      <c r="AO50" s="610"/>
      <c r="AP50" s="614"/>
      <c r="AQ50" s="614"/>
      <c r="AR50" s="614"/>
      <c r="AS50" s="614"/>
      <c r="AT50" s="614"/>
      <c r="AU50" s="614"/>
      <c r="AV50" s="614"/>
      <c r="AW50" s="614"/>
      <c r="AX50" s="614"/>
      <c r="AY50" s="614"/>
      <c r="AZ50" s="614"/>
      <c r="BA50" s="614"/>
      <c r="BB50" s="614"/>
      <c r="BC50" s="614"/>
      <c r="BD50" s="614"/>
      <c r="BE50" s="614"/>
      <c r="BF50" s="614"/>
      <c r="BG50" s="614"/>
      <c r="BH50" s="614"/>
      <c r="BI50" s="614"/>
      <c r="BJ50" s="614"/>
      <c r="BK50" s="614"/>
      <c r="BL50" s="614"/>
      <c r="BM50" s="614"/>
      <c r="BN50" s="614"/>
      <c r="BO50" s="614"/>
      <c r="BP50" s="557"/>
      <c r="BQ50" s="471"/>
      <c r="BR50" s="471"/>
      <c r="BS50" s="471"/>
      <c r="BT50" s="471"/>
      <c r="BU50" s="471"/>
      <c r="BV50" s="471"/>
      <c r="BW50" s="497"/>
      <c r="BX50" s="471"/>
      <c r="BY50" s="471"/>
      <c r="BZ50" s="471"/>
      <c r="CA50" s="471"/>
      <c r="CB50" s="471"/>
      <c r="CC50" s="471"/>
      <c r="CD50" s="471"/>
      <c r="CE50" s="471"/>
      <c r="CF50" s="471"/>
      <c r="CG50" s="471"/>
      <c r="CH50" s="471"/>
      <c r="CI50" s="471"/>
    </row>
    <row r="51" spans="1:87" ht="12.75" customHeight="1" x14ac:dyDescent="0.2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610"/>
      <c r="AP51" s="614"/>
      <c r="AQ51" s="614"/>
      <c r="AR51" s="614"/>
      <c r="AS51" s="614"/>
      <c r="AT51" s="614"/>
      <c r="AU51" s="614"/>
      <c r="AV51" s="614"/>
      <c r="AW51" s="614"/>
      <c r="AX51" s="614"/>
      <c r="AY51" s="614"/>
      <c r="AZ51" s="614"/>
      <c r="BA51" s="614"/>
      <c r="BB51" s="614"/>
      <c r="BC51" s="614"/>
      <c r="BD51" s="614"/>
      <c r="BE51" s="614"/>
      <c r="BF51" s="614"/>
      <c r="BG51" s="614"/>
      <c r="BH51" s="614"/>
      <c r="BI51" s="614"/>
      <c r="BJ51" s="614"/>
      <c r="BK51" s="614"/>
      <c r="BL51" s="614"/>
      <c r="BM51" s="614"/>
      <c r="BN51" s="614"/>
      <c r="BO51" s="614"/>
      <c r="BP51" s="557"/>
      <c r="BQ51" s="473"/>
      <c r="BR51" s="473"/>
      <c r="BS51" s="473"/>
      <c r="BT51" s="473"/>
      <c r="BU51" s="473"/>
      <c r="BV51" s="473"/>
      <c r="BW51" s="473"/>
      <c r="BX51" s="527"/>
      <c r="BY51" s="473"/>
      <c r="BZ51" s="473"/>
      <c r="CA51" s="473"/>
      <c r="CB51" s="473"/>
      <c r="CC51" s="473"/>
      <c r="CD51" s="473"/>
      <c r="CE51" s="473"/>
      <c r="CF51" s="473"/>
      <c r="CG51" s="473"/>
      <c r="CH51" s="473"/>
      <c r="CI51" s="473"/>
    </row>
    <row r="52" spans="1:87" ht="12.75" customHeight="1" x14ac:dyDescent="0.2">
      <c r="A52" s="557"/>
      <c r="B52" s="557"/>
      <c r="C52" s="570" t="s">
        <v>112</v>
      </c>
      <c r="D52" s="557"/>
      <c r="E52" s="557"/>
      <c r="F52" s="557"/>
      <c r="G52" s="557"/>
      <c r="H52" s="557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  <c r="Z52" s="557"/>
      <c r="AA52" s="557"/>
      <c r="AB52" s="557"/>
      <c r="AC52" s="557"/>
      <c r="AD52" s="557"/>
      <c r="AE52" s="557"/>
      <c r="AF52" s="557"/>
      <c r="AG52" s="557"/>
      <c r="AH52" s="557"/>
      <c r="AI52" s="557"/>
      <c r="AJ52" s="557"/>
      <c r="AK52" s="557"/>
      <c r="AL52" s="557"/>
      <c r="AM52" s="557"/>
      <c r="AN52" s="557"/>
      <c r="AO52" s="614"/>
      <c r="AP52" s="614"/>
      <c r="AQ52" s="614"/>
      <c r="AR52" s="614"/>
      <c r="AS52" s="614"/>
      <c r="AT52" s="615" t="s">
        <v>113</v>
      </c>
      <c r="AU52" s="614"/>
      <c r="AV52" s="614"/>
      <c r="AW52" s="614"/>
      <c r="AX52" s="614"/>
      <c r="AY52" s="614"/>
      <c r="AZ52" s="614"/>
      <c r="BA52" s="614"/>
      <c r="BB52" s="615" t="s">
        <v>114</v>
      </c>
      <c r="BC52" s="614"/>
      <c r="BD52" s="614"/>
      <c r="BE52" s="614"/>
      <c r="BF52" s="614"/>
      <c r="BG52" s="614"/>
      <c r="BH52" s="614"/>
      <c r="BI52" s="614"/>
      <c r="BJ52" s="614"/>
      <c r="BK52" s="614"/>
      <c r="BL52" s="614"/>
      <c r="BM52" s="614"/>
      <c r="BN52" s="614"/>
      <c r="BO52" s="614"/>
      <c r="BP52" s="557"/>
      <c r="BQ52" s="473"/>
      <c r="BR52" s="473"/>
      <c r="BS52" s="473"/>
      <c r="BT52" s="473"/>
      <c r="BU52" s="473"/>
      <c r="BV52" s="473"/>
      <c r="BW52" s="473"/>
      <c r="BX52" s="473"/>
      <c r="BY52" s="473"/>
      <c r="BZ52" s="473"/>
      <c r="CA52" s="473"/>
      <c r="CB52" s="473"/>
      <c r="CC52" s="473"/>
      <c r="CD52" s="527"/>
      <c r="CE52" s="473"/>
      <c r="CF52" s="473"/>
      <c r="CG52" s="473"/>
      <c r="CH52" s="473"/>
      <c r="CI52" s="473"/>
    </row>
    <row r="53" spans="1:87" ht="12.75" customHeight="1" x14ac:dyDescent="0.2">
      <c r="A53" s="557"/>
      <c r="B53" s="557"/>
      <c r="C53" s="557">
        <v>1</v>
      </c>
      <c r="D53" s="557">
        <v>2</v>
      </c>
      <c r="E53" s="557">
        <v>3</v>
      </c>
      <c r="F53" s="557">
        <v>4</v>
      </c>
      <c r="G53" s="557">
        <v>5</v>
      </c>
      <c r="H53" s="557">
        <v>6</v>
      </c>
      <c r="I53" s="557">
        <v>7</v>
      </c>
      <c r="J53" s="557">
        <v>8</v>
      </c>
      <c r="K53" s="557">
        <v>9</v>
      </c>
      <c r="L53" s="557"/>
      <c r="M53" s="557">
        <v>10</v>
      </c>
      <c r="N53" s="557">
        <v>11</v>
      </c>
      <c r="O53" s="557">
        <v>12</v>
      </c>
      <c r="P53" s="557">
        <v>13</v>
      </c>
      <c r="Q53" s="557"/>
      <c r="R53" s="571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D53" s="557"/>
      <c r="AE53" s="557"/>
      <c r="AF53" s="557"/>
      <c r="AG53" s="557"/>
      <c r="AH53" s="557"/>
      <c r="AI53" s="557"/>
      <c r="AJ53" s="557"/>
      <c r="AK53" s="557"/>
      <c r="AL53" s="557"/>
      <c r="AM53" s="557"/>
      <c r="AN53" s="557"/>
      <c r="AO53" s="557"/>
      <c r="AP53" s="572"/>
      <c r="AQ53" s="557"/>
      <c r="AR53" s="557"/>
      <c r="AS53" s="557"/>
      <c r="AT53" s="557"/>
      <c r="AU53" s="557"/>
      <c r="AV53" s="557"/>
      <c r="AW53" s="557"/>
      <c r="AX53" s="557"/>
      <c r="AY53" s="557"/>
      <c r="AZ53" s="557"/>
      <c r="BA53" s="557"/>
      <c r="BB53" s="557"/>
      <c r="BC53" s="557"/>
      <c r="BD53" s="557"/>
      <c r="BE53" s="557"/>
      <c r="BF53" s="557"/>
      <c r="BG53" s="557"/>
      <c r="BH53" s="557"/>
      <c r="BI53" s="557"/>
      <c r="BJ53" s="557"/>
      <c r="BK53" s="557"/>
      <c r="BL53" s="557"/>
      <c r="BM53" s="557"/>
      <c r="BN53" s="557"/>
      <c r="BO53" s="557"/>
      <c r="BP53" s="557"/>
      <c r="BQ53" s="473"/>
      <c r="BR53" s="473"/>
      <c r="BS53" s="473"/>
      <c r="BT53" s="473"/>
      <c r="BU53" s="473"/>
      <c r="BV53" s="473"/>
      <c r="BW53" s="473"/>
      <c r="BX53" s="473"/>
      <c r="BY53" s="473"/>
      <c r="BZ53" s="473"/>
      <c r="CA53" s="473"/>
      <c r="CB53" s="473"/>
      <c r="CC53" s="473"/>
      <c r="CD53" s="527"/>
      <c r="CE53" s="473"/>
      <c r="CF53" s="473"/>
      <c r="CG53" s="473"/>
      <c r="CH53" s="473"/>
      <c r="CI53" s="473"/>
    </row>
    <row r="54" spans="1:87" ht="12.75" customHeight="1" x14ac:dyDescent="0.2">
      <c r="A54" s="557"/>
      <c r="B54" s="557"/>
      <c r="C54" s="573" t="s">
        <v>63</v>
      </c>
      <c r="D54" s="553" t="s">
        <v>53</v>
      </c>
      <c r="E54" s="553" t="s">
        <v>54</v>
      </c>
      <c r="F54" s="553" t="s">
        <v>56</v>
      </c>
      <c r="G54" s="553" t="s">
        <v>115</v>
      </c>
      <c r="H54" s="553" t="s">
        <v>57</v>
      </c>
      <c r="I54" s="553" t="s">
        <v>58</v>
      </c>
      <c r="J54" s="553" t="s">
        <v>59</v>
      </c>
      <c r="K54" s="553" t="s">
        <v>116</v>
      </c>
      <c r="L54" s="553"/>
      <c r="M54" s="553" t="s">
        <v>117</v>
      </c>
      <c r="N54" s="553" t="s">
        <v>118</v>
      </c>
      <c r="O54" s="553" t="s">
        <v>119</v>
      </c>
      <c r="P54" s="553" t="s">
        <v>120</v>
      </c>
      <c r="Q54" s="557"/>
      <c r="R54" s="574" t="s">
        <v>68</v>
      </c>
      <c r="S54" s="574"/>
      <c r="T54" s="574"/>
      <c r="U54" s="574"/>
      <c r="V54" s="557"/>
      <c r="W54" s="557"/>
      <c r="X54" s="557"/>
      <c r="Y54" s="557"/>
      <c r="Z54" s="557"/>
      <c r="AA54" s="574" t="s">
        <v>76</v>
      </c>
      <c r="AB54" s="574"/>
      <c r="AC54" s="574"/>
      <c r="AD54" s="574"/>
      <c r="AE54" s="574"/>
      <c r="AF54" s="574"/>
      <c r="AG54" s="574"/>
      <c r="AH54" s="574"/>
      <c r="AI54" s="574"/>
      <c r="AJ54" s="574"/>
      <c r="AK54" s="574"/>
      <c r="AL54" s="574"/>
      <c r="AM54" s="557"/>
      <c r="AN54" s="574" t="s">
        <v>77</v>
      </c>
      <c r="AO54" s="574"/>
      <c r="AP54" s="572"/>
      <c r="AQ54" s="557"/>
      <c r="AR54" s="557"/>
      <c r="AS54" s="574" t="s">
        <v>121</v>
      </c>
      <c r="AT54" s="574" t="s">
        <v>122</v>
      </c>
      <c r="AU54" s="557"/>
      <c r="AV54" s="557"/>
      <c r="AW54" s="574" t="s">
        <v>123</v>
      </c>
      <c r="AX54" s="574" t="s">
        <v>124</v>
      </c>
      <c r="AY54" s="574" t="s">
        <v>125</v>
      </c>
      <c r="AZ54" s="557"/>
      <c r="BA54" s="557"/>
      <c r="BB54" s="574" t="s">
        <v>126</v>
      </c>
      <c r="BC54" s="574" t="s">
        <v>122</v>
      </c>
      <c r="BD54" s="557"/>
      <c r="BE54" s="557"/>
      <c r="BF54" s="557"/>
      <c r="BG54" s="557"/>
      <c r="BH54" s="557"/>
      <c r="BI54" s="557"/>
      <c r="BJ54" s="557"/>
      <c r="BK54" s="557"/>
      <c r="BL54" s="557"/>
      <c r="BM54" s="557"/>
      <c r="BN54" s="557"/>
      <c r="BO54" s="557"/>
      <c r="BP54" s="557"/>
      <c r="BQ54" s="473"/>
      <c r="BR54" s="473"/>
      <c r="BS54" s="473"/>
      <c r="BT54" s="473"/>
      <c r="BU54" s="473"/>
      <c r="BV54" s="473"/>
      <c r="BW54" s="473"/>
      <c r="BX54" s="473"/>
      <c r="BY54" s="473"/>
      <c r="BZ54" s="473"/>
      <c r="CA54" s="473"/>
      <c r="CB54" s="473"/>
      <c r="CC54" s="473"/>
      <c r="CD54" s="473"/>
      <c r="CE54" s="473"/>
      <c r="CF54" s="473"/>
      <c r="CG54" s="473"/>
      <c r="CH54" s="473"/>
      <c r="CI54" s="473"/>
    </row>
    <row r="55" spans="1:87" ht="12.75" customHeight="1" x14ac:dyDescent="0.2">
      <c r="A55" s="614"/>
      <c r="B55" s="614"/>
      <c r="C55" s="616"/>
      <c r="D55" s="612" t="s">
        <v>70</v>
      </c>
      <c r="E55" s="612" t="s">
        <v>70</v>
      </c>
      <c r="F55" s="612" t="s">
        <v>70</v>
      </c>
      <c r="G55" s="612"/>
      <c r="H55" s="612" t="s">
        <v>70</v>
      </c>
      <c r="I55" s="612" t="s">
        <v>70</v>
      </c>
      <c r="J55" s="612" t="s">
        <v>51</v>
      </c>
      <c r="K55" s="612" t="s">
        <v>70</v>
      </c>
      <c r="L55" s="612"/>
      <c r="M55" s="612" t="s">
        <v>70</v>
      </c>
      <c r="N55" s="612" t="s">
        <v>71</v>
      </c>
      <c r="O55" s="612"/>
      <c r="P55" s="612"/>
      <c r="Q55" s="614"/>
      <c r="R55" s="614" t="s">
        <v>127</v>
      </c>
      <c r="S55" s="614"/>
      <c r="T55" s="614"/>
      <c r="U55" s="614"/>
      <c r="V55" s="614"/>
      <c r="W55" s="614"/>
      <c r="X55" s="614"/>
      <c r="Y55" s="614"/>
      <c r="Z55" s="614"/>
      <c r="AA55" s="614" t="s">
        <v>128</v>
      </c>
      <c r="AB55" s="614"/>
      <c r="AC55" s="614"/>
      <c r="AD55" s="614"/>
      <c r="AE55" s="614"/>
      <c r="AF55" s="614"/>
      <c r="AG55" s="614"/>
      <c r="AH55" s="614"/>
      <c r="AI55" s="614"/>
      <c r="AJ55" s="614"/>
      <c r="AK55" s="614"/>
      <c r="AL55" s="614"/>
      <c r="AM55" s="614"/>
      <c r="AN55" s="614" t="s">
        <v>128</v>
      </c>
      <c r="AO55" s="614"/>
      <c r="AP55" s="617"/>
      <c r="AQ55" s="614"/>
      <c r="AR55" s="618">
        <v>1</v>
      </c>
      <c r="AS55" s="619" t="s">
        <v>129</v>
      </c>
      <c r="AT55" s="618">
        <v>15</v>
      </c>
      <c r="AU55" s="614"/>
      <c r="AV55" s="614"/>
      <c r="AW55" s="614" t="s">
        <v>130</v>
      </c>
      <c r="AX55" s="618">
        <v>15</v>
      </c>
      <c r="AY55" s="618">
        <v>7</v>
      </c>
      <c r="AZ55" s="614"/>
      <c r="BA55" s="614"/>
      <c r="BB55" s="614" t="s">
        <v>128</v>
      </c>
      <c r="BC55" s="618">
        <v>15</v>
      </c>
      <c r="BD55" s="614"/>
      <c r="BE55" s="614"/>
      <c r="BF55" s="614"/>
      <c r="BG55" s="614"/>
      <c r="BH55" s="614"/>
      <c r="BI55" s="614"/>
      <c r="BJ55" s="614"/>
      <c r="BK55" s="614"/>
      <c r="BL55" s="614"/>
      <c r="BM55" s="614"/>
      <c r="BN55" s="614"/>
      <c r="BO55" s="614"/>
      <c r="BP55" s="557"/>
      <c r="BQ55" s="473"/>
      <c r="BR55" s="473"/>
      <c r="BS55" s="473"/>
      <c r="BT55" s="473"/>
      <c r="BU55" s="473"/>
      <c r="BV55" s="473"/>
      <c r="BW55" s="473"/>
      <c r="BX55" s="473"/>
      <c r="BY55" s="473"/>
      <c r="BZ55" s="473"/>
      <c r="CA55" s="473"/>
      <c r="CB55" s="473"/>
      <c r="CC55" s="473"/>
      <c r="CD55" s="473"/>
      <c r="CE55" s="473"/>
      <c r="CF55" s="473"/>
      <c r="CG55" s="473"/>
      <c r="CH55" s="473"/>
      <c r="CI55" s="473"/>
    </row>
    <row r="56" spans="1:87" ht="12.75" customHeight="1" x14ac:dyDescent="0.2">
      <c r="A56" s="614"/>
      <c r="B56" s="614"/>
      <c r="C56" s="620" t="s">
        <v>85</v>
      </c>
      <c r="D56" s="618" t="s">
        <v>131</v>
      </c>
      <c r="E56" s="618" t="s">
        <v>131</v>
      </c>
      <c r="F56" s="618"/>
      <c r="G56" s="618"/>
      <c r="H56" s="618"/>
      <c r="I56" s="618"/>
      <c r="J56" s="618"/>
      <c r="K56" s="618"/>
      <c r="L56" s="618"/>
      <c r="M56" s="618"/>
      <c r="N56" s="621">
        <v>135</v>
      </c>
      <c r="O56" s="618" t="s">
        <v>131</v>
      </c>
      <c r="P56" s="618" t="s">
        <v>132</v>
      </c>
      <c r="Q56" s="614"/>
      <c r="R56" s="614" t="s">
        <v>133</v>
      </c>
      <c r="S56" s="614"/>
      <c r="T56" s="614"/>
      <c r="U56" s="614"/>
      <c r="V56" s="614"/>
      <c r="W56" s="614"/>
      <c r="X56" s="614"/>
      <c r="Y56" s="614"/>
      <c r="Z56" s="614"/>
      <c r="AA56" s="614" t="s">
        <v>134</v>
      </c>
      <c r="AB56" s="614"/>
      <c r="AC56" s="614"/>
      <c r="AD56" s="614"/>
      <c r="AE56" s="614"/>
      <c r="AF56" s="614"/>
      <c r="AG56" s="614"/>
      <c r="AH56" s="614"/>
      <c r="AI56" s="614"/>
      <c r="AJ56" s="614"/>
      <c r="AK56" s="614"/>
      <c r="AL56" s="614"/>
      <c r="AM56" s="614"/>
      <c r="AN56" s="614" t="s">
        <v>134</v>
      </c>
      <c r="AO56" s="614"/>
      <c r="AP56" s="617"/>
      <c r="AQ56" s="614"/>
      <c r="AR56" s="618">
        <v>2</v>
      </c>
      <c r="AS56" s="619" t="s">
        <v>135</v>
      </c>
      <c r="AT56" s="618">
        <v>30</v>
      </c>
      <c r="AU56" s="614"/>
      <c r="AV56" s="614"/>
      <c r="AW56" s="614" t="s">
        <v>136</v>
      </c>
      <c r="AX56" s="618">
        <v>0</v>
      </c>
      <c r="AY56" s="618">
        <v>0</v>
      </c>
      <c r="AZ56" s="614"/>
      <c r="BA56" s="614"/>
      <c r="BB56" s="614" t="s">
        <v>137</v>
      </c>
      <c r="BC56" s="618">
        <v>60</v>
      </c>
      <c r="BD56" s="614"/>
      <c r="BE56" s="614"/>
      <c r="BF56" s="614"/>
      <c r="BG56" s="614"/>
      <c r="BH56" s="614"/>
      <c r="BI56" s="614"/>
      <c r="BJ56" s="614"/>
      <c r="BK56" s="614"/>
      <c r="BL56" s="614"/>
      <c r="BM56" s="614"/>
      <c r="BN56" s="614"/>
      <c r="BO56" s="614"/>
      <c r="BP56" s="557"/>
      <c r="BQ56" s="473"/>
      <c r="BR56" s="473"/>
      <c r="BS56" s="473"/>
      <c r="BT56" s="473"/>
      <c r="BU56" s="473"/>
      <c r="BV56" s="473"/>
      <c r="BW56" s="473"/>
      <c r="BX56" s="473"/>
      <c r="BY56" s="473"/>
      <c r="BZ56" s="473"/>
      <c r="CA56" s="473"/>
      <c r="CB56" s="473"/>
      <c r="CC56" s="473"/>
      <c r="CD56" s="473"/>
      <c r="CE56" s="473"/>
      <c r="CF56" s="473"/>
      <c r="CG56" s="473"/>
      <c r="CH56" s="473"/>
      <c r="CI56" s="473"/>
    </row>
    <row r="57" spans="1:87" ht="12.75" customHeight="1" x14ac:dyDescent="0.2">
      <c r="A57" s="614"/>
      <c r="B57" s="614"/>
      <c r="C57" s="620" t="s">
        <v>86</v>
      </c>
      <c r="D57" s="618" t="s">
        <v>131</v>
      </c>
      <c r="E57" s="618" t="s">
        <v>131</v>
      </c>
      <c r="F57" s="618"/>
      <c r="G57" s="618"/>
      <c r="H57" s="618"/>
      <c r="I57" s="618"/>
      <c r="J57" s="618"/>
      <c r="K57" s="618" t="s">
        <v>131</v>
      </c>
      <c r="L57" s="618"/>
      <c r="M57" s="618"/>
      <c r="N57" s="621"/>
      <c r="O57" s="618" t="s">
        <v>138</v>
      </c>
      <c r="P57" s="618" t="s">
        <v>138</v>
      </c>
      <c r="Q57" s="614"/>
      <c r="R57" s="614" t="s">
        <v>139</v>
      </c>
      <c r="S57" s="614"/>
      <c r="T57" s="614"/>
      <c r="U57" s="614"/>
      <c r="V57" s="614"/>
      <c r="W57" s="614"/>
      <c r="X57" s="614"/>
      <c r="Y57" s="614"/>
      <c r="Z57" s="614"/>
      <c r="AA57" s="614" t="s">
        <v>140</v>
      </c>
      <c r="AB57" s="614"/>
      <c r="AC57" s="614"/>
      <c r="AD57" s="614"/>
      <c r="AE57" s="614"/>
      <c r="AF57" s="614"/>
      <c r="AG57" s="614"/>
      <c r="AH57" s="614"/>
      <c r="AI57" s="614"/>
      <c r="AJ57" s="614"/>
      <c r="AK57" s="614"/>
      <c r="AL57" s="614"/>
      <c r="AM57" s="614"/>
      <c r="AN57" s="614" t="s">
        <v>140</v>
      </c>
      <c r="AO57" s="614"/>
      <c r="AP57" s="617"/>
      <c r="AQ57" s="614"/>
      <c r="AR57" s="618">
        <v>3</v>
      </c>
      <c r="AS57" s="614" t="s">
        <v>90</v>
      </c>
      <c r="AT57" s="618">
        <v>20</v>
      </c>
      <c r="AU57" s="614"/>
      <c r="AV57" s="614"/>
      <c r="AW57" s="614" t="s">
        <v>141</v>
      </c>
      <c r="AX57" s="618">
        <v>26</v>
      </c>
      <c r="AY57" s="618">
        <v>7</v>
      </c>
      <c r="AZ57" s="614"/>
      <c r="BA57" s="614"/>
      <c r="BB57" s="614"/>
      <c r="BC57" s="614"/>
      <c r="BD57" s="614"/>
      <c r="BE57" s="614"/>
      <c r="BF57" s="614"/>
      <c r="BG57" s="614"/>
      <c r="BH57" s="614"/>
      <c r="BI57" s="614"/>
      <c r="BJ57" s="614"/>
      <c r="BK57" s="614"/>
      <c r="BL57" s="614"/>
      <c r="BM57" s="614"/>
      <c r="BN57" s="614"/>
      <c r="BO57" s="614"/>
      <c r="BP57" s="557"/>
      <c r="BQ57" s="473"/>
      <c r="BR57" s="473"/>
      <c r="BS57" s="473"/>
      <c r="BT57" s="473"/>
      <c r="BU57" s="473"/>
      <c r="BV57" s="473"/>
      <c r="BW57" s="473"/>
      <c r="BX57" s="473"/>
      <c r="BY57" s="473"/>
      <c r="BZ57" s="473"/>
      <c r="CA57" s="473"/>
      <c r="CB57" s="473"/>
      <c r="CC57" s="473"/>
      <c r="CD57" s="473"/>
      <c r="CE57" s="473"/>
      <c r="CF57" s="473"/>
      <c r="CG57" s="473"/>
      <c r="CH57" s="473"/>
      <c r="CI57" s="473"/>
    </row>
    <row r="58" spans="1:87" ht="12.75" customHeight="1" x14ac:dyDescent="0.2">
      <c r="A58" s="614"/>
      <c r="B58" s="614"/>
      <c r="C58" s="620" t="s">
        <v>87</v>
      </c>
      <c r="D58" s="618" t="s">
        <v>131</v>
      </c>
      <c r="E58" s="618" t="s">
        <v>131</v>
      </c>
      <c r="F58" s="618"/>
      <c r="G58" s="618"/>
      <c r="H58" s="618"/>
      <c r="I58" s="618"/>
      <c r="J58" s="618">
        <v>0.15</v>
      </c>
      <c r="K58" s="618"/>
      <c r="L58" s="618"/>
      <c r="M58" s="618"/>
      <c r="N58" s="621"/>
      <c r="O58" s="618" t="s">
        <v>138</v>
      </c>
      <c r="P58" s="618" t="s">
        <v>138</v>
      </c>
      <c r="Q58" s="614"/>
      <c r="R58" s="614" t="s">
        <v>142</v>
      </c>
      <c r="S58" s="614"/>
      <c r="T58" s="614"/>
      <c r="U58" s="614"/>
      <c r="V58" s="614"/>
      <c r="W58" s="614"/>
      <c r="X58" s="614"/>
      <c r="Y58" s="614"/>
      <c r="Z58" s="614"/>
      <c r="AA58" s="614" t="s">
        <v>143</v>
      </c>
      <c r="AB58" s="614"/>
      <c r="AC58" s="614"/>
      <c r="AD58" s="614"/>
      <c r="AE58" s="614"/>
      <c r="AF58" s="614"/>
      <c r="AG58" s="614"/>
      <c r="AH58" s="614"/>
      <c r="AI58" s="614"/>
      <c r="AJ58" s="614"/>
      <c r="AK58" s="614"/>
      <c r="AL58" s="614"/>
      <c r="AM58" s="614"/>
      <c r="AN58" s="614" t="s">
        <v>143</v>
      </c>
      <c r="AO58" s="614"/>
      <c r="AP58" s="617"/>
      <c r="AQ58" s="614"/>
      <c r="AR58" s="618">
        <v>4</v>
      </c>
      <c r="AS58" s="614" t="s">
        <v>138</v>
      </c>
      <c r="AT58" s="618">
        <v>0</v>
      </c>
      <c r="AU58" s="614"/>
      <c r="AV58" s="614"/>
      <c r="AW58" s="614" t="s">
        <v>144</v>
      </c>
      <c r="AX58" s="618">
        <v>20</v>
      </c>
      <c r="AY58" s="618">
        <v>20</v>
      </c>
      <c r="AZ58" s="614"/>
      <c r="BA58" s="614"/>
      <c r="BB58" s="614"/>
      <c r="BC58" s="614"/>
      <c r="BD58" s="614"/>
      <c r="BE58" s="614"/>
      <c r="BF58" s="614"/>
      <c r="BG58" s="614"/>
      <c r="BH58" s="614"/>
      <c r="BI58" s="614"/>
      <c r="BJ58" s="614"/>
      <c r="BK58" s="614"/>
      <c r="BL58" s="614"/>
      <c r="BM58" s="614"/>
      <c r="BN58" s="614"/>
      <c r="BO58" s="614"/>
      <c r="BP58" s="557"/>
      <c r="BQ58" s="473"/>
      <c r="BR58" s="473"/>
      <c r="BS58" s="473"/>
      <c r="BT58" s="473"/>
      <c r="BU58" s="473"/>
      <c r="BV58" s="473"/>
      <c r="BW58" s="473"/>
      <c r="BX58" s="473"/>
      <c r="BY58" s="473"/>
      <c r="BZ58" s="473"/>
      <c r="CA58" s="473"/>
      <c r="CB58" s="473"/>
      <c r="CC58" s="473"/>
      <c r="CD58" s="473"/>
      <c r="CE58" s="473"/>
      <c r="CF58" s="473"/>
      <c r="CG58" s="473"/>
      <c r="CH58" s="473"/>
      <c r="CI58" s="473"/>
    </row>
    <row r="59" spans="1:87" ht="12.75" customHeight="1" x14ac:dyDescent="0.2">
      <c r="A59" s="614"/>
      <c r="B59" s="614"/>
      <c r="C59" s="620" t="s">
        <v>88</v>
      </c>
      <c r="D59" s="618" t="s">
        <v>131</v>
      </c>
      <c r="E59" s="618" t="s">
        <v>131</v>
      </c>
      <c r="F59" s="618"/>
      <c r="G59" s="618"/>
      <c r="H59" s="618"/>
      <c r="I59" s="618"/>
      <c r="J59" s="618"/>
      <c r="K59" s="618"/>
      <c r="L59" s="618"/>
      <c r="M59" s="618"/>
      <c r="N59" s="621">
        <v>90</v>
      </c>
      <c r="O59" s="618" t="s">
        <v>131</v>
      </c>
      <c r="P59" s="618" t="s">
        <v>131</v>
      </c>
      <c r="Q59" s="614"/>
      <c r="R59" s="614" t="s">
        <v>145</v>
      </c>
      <c r="S59" s="614"/>
      <c r="T59" s="614"/>
      <c r="U59" s="614"/>
      <c r="V59" s="614"/>
      <c r="W59" s="614"/>
      <c r="X59" s="614"/>
      <c r="Y59" s="614"/>
      <c r="Z59" s="614"/>
      <c r="AA59" s="614" t="s">
        <v>146</v>
      </c>
      <c r="AB59" s="614"/>
      <c r="AC59" s="614"/>
      <c r="AD59" s="614"/>
      <c r="AE59" s="614"/>
      <c r="AF59" s="614"/>
      <c r="AG59" s="614"/>
      <c r="AH59" s="614"/>
      <c r="AI59" s="614"/>
      <c r="AJ59" s="614"/>
      <c r="AK59" s="614"/>
      <c r="AL59" s="614"/>
      <c r="AM59" s="614"/>
      <c r="AN59" s="614" t="s">
        <v>146</v>
      </c>
      <c r="AO59" s="614"/>
      <c r="AP59" s="617"/>
      <c r="AQ59" s="614"/>
      <c r="AR59" s="618">
        <v>5</v>
      </c>
      <c r="AS59" s="614" t="s">
        <v>147</v>
      </c>
      <c r="AT59" s="618">
        <v>20</v>
      </c>
      <c r="AU59" s="614"/>
      <c r="AV59" s="614"/>
      <c r="AW59" s="614"/>
      <c r="AX59" s="614"/>
      <c r="AY59" s="614"/>
      <c r="AZ59" s="614"/>
      <c r="BA59" s="614"/>
      <c r="BB59" s="614"/>
      <c r="BC59" s="614"/>
      <c r="BD59" s="614"/>
      <c r="BE59" s="614"/>
      <c r="BF59" s="614"/>
      <c r="BG59" s="614"/>
      <c r="BH59" s="614"/>
      <c r="BI59" s="614"/>
      <c r="BJ59" s="614"/>
      <c r="BK59" s="614"/>
      <c r="BL59" s="614"/>
      <c r="BM59" s="614"/>
      <c r="BN59" s="614"/>
      <c r="BO59" s="614"/>
      <c r="BP59" s="557"/>
      <c r="BQ59" s="473"/>
      <c r="BR59" s="473"/>
      <c r="BS59" s="473"/>
      <c r="BT59" s="473"/>
      <c r="BU59" s="473"/>
      <c r="BV59" s="473"/>
      <c r="BW59" s="473"/>
      <c r="BX59" s="473"/>
      <c r="BY59" s="473"/>
      <c r="BZ59" s="473"/>
      <c r="CA59" s="473"/>
      <c r="CB59" s="473"/>
      <c r="CC59" s="473"/>
      <c r="CD59" s="473"/>
      <c r="CE59" s="473"/>
      <c r="CF59" s="473"/>
      <c r="CG59" s="473"/>
      <c r="CH59" s="473"/>
      <c r="CI59" s="473"/>
    </row>
    <row r="60" spans="1:87" ht="12.75" customHeight="1" x14ac:dyDescent="0.2">
      <c r="A60" s="614"/>
      <c r="B60" s="614"/>
      <c r="C60" s="620" t="s">
        <v>89</v>
      </c>
      <c r="D60" s="618" t="s">
        <v>131</v>
      </c>
      <c r="E60" s="618" t="s">
        <v>131</v>
      </c>
      <c r="F60" s="618"/>
      <c r="G60" s="618" t="s">
        <v>131</v>
      </c>
      <c r="H60" s="618" t="s">
        <v>131</v>
      </c>
      <c r="I60" s="618" t="s">
        <v>131</v>
      </c>
      <c r="J60" s="618"/>
      <c r="K60" s="618"/>
      <c r="L60" s="618"/>
      <c r="M60" s="618"/>
      <c r="N60" s="621">
        <v>90</v>
      </c>
      <c r="O60" s="618" t="s">
        <v>131</v>
      </c>
      <c r="P60" s="618" t="s">
        <v>131</v>
      </c>
      <c r="Q60" s="614"/>
      <c r="R60" s="614" t="s">
        <v>148</v>
      </c>
      <c r="S60" s="614"/>
      <c r="T60" s="614"/>
      <c r="U60" s="614"/>
      <c r="V60" s="614"/>
      <c r="W60" s="614"/>
      <c r="X60" s="614"/>
      <c r="Y60" s="614"/>
      <c r="Z60" s="614"/>
      <c r="AA60" s="614" t="s">
        <v>149</v>
      </c>
      <c r="AB60" s="614"/>
      <c r="AC60" s="614"/>
      <c r="AD60" s="614"/>
      <c r="AE60" s="614"/>
      <c r="AF60" s="614"/>
      <c r="AG60" s="614"/>
      <c r="AH60" s="614"/>
      <c r="AI60" s="614"/>
      <c r="AJ60" s="614"/>
      <c r="AK60" s="614"/>
      <c r="AL60" s="614"/>
      <c r="AM60" s="614"/>
      <c r="AN60" s="614" t="s">
        <v>149</v>
      </c>
      <c r="AO60" s="614"/>
      <c r="AP60" s="617"/>
      <c r="AQ60" s="614"/>
      <c r="AR60" s="618">
        <v>6</v>
      </c>
      <c r="AS60" s="614" t="s">
        <v>150</v>
      </c>
      <c r="AT60" s="618">
        <v>50</v>
      </c>
      <c r="AU60" s="622"/>
      <c r="AV60" s="622"/>
      <c r="AW60" s="622"/>
      <c r="AX60" s="622"/>
      <c r="AY60" s="622"/>
      <c r="AZ60" s="622"/>
      <c r="BA60" s="622"/>
      <c r="BB60" s="622"/>
      <c r="BC60" s="622"/>
      <c r="BD60" s="622"/>
      <c r="BE60" s="622"/>
      <c r="BF60" s="622"/>
      <c r="BG60" s="622"/>
      <c r="BH60" s="622"/>
      <c r="BI60" s="622"/>
      <c r="BJ60" s="622"/>
      <c r="BK60" s="622"/>
      <c r="BL60" s="622"/>
      <c r="BM60" s="622"/>
      <c r="BN60" s="622"/>
      <c r="BO60" s="622"/>
      <c r="BP60" s="575"/>
      <c r="BQ60" s="473"/>
      <c r="BR60" s="473"/>
      <c r="BS60" s="473"/>
      <c r="BT60" s="473"/>
      <c r="BU60" s="473"/>
      <c r="BV60" s="473"/>
      <c r="BW60" s="473"/>
      <c r="BX60" s="473"/>
      <c r="BY60" s="473"/>
      <c r="BZ60" s="473"/>
      <c r="CA60" s="473"/>
      <c r="CB60" s="473"/>
      <c r="CC60" s="473"/>
      <c r="CD60" s="473"/>
      <c r="CE60" s="473"/>
      <c r="CF60" s="473"/>
      <c r="CG60" s="473"/>
      <c r="CH60" s="473"/>
      <c r="CI60" s="473"/>
    </row>
    <row r="61" spans="1:87" ht="12.75" customHeight="1" x14ac:dyDescent="0.2">
      <c r="A61" s="614"/>
      <c r="B61" s="614"/>
      <c r="C61" s="620" t="s">
        <v>90</v>
      </c>
      <c r="D61" s="618"/>
      <c r="E61" s="618"/>
      <c r="F61" s="618"/>
      <c r="G61" s="618"/>
      <c r="H61" s="618"/>
      <c r="I61" s="618"/>
      <c r="J61" s="618">
        <v>0.12</v>
      </c>
      <c r="K61" s="618" t="s">
        <v>131</v>
      </c>
      <c r="L61" s="618"/>
      <c r="M61" s="618"/>
      <c r="N61" s="621"/>
      <c r="O61" s="618" t="s">
        <v>138</v>
      </c>
      <c r="P61" s="618" t="s">
        <v>138</v>
      </c>
      <c r="Q61" s="614"/>
      <c r="R61" s="614" t="s">
        <v>151</v>
      </c>
      <c r="S61" s="614"/>
      <c r="T61" s="614"/>
      <c r="U61" s="614"/>
      <c r="V61" s="614"/>
      <c r="W61" s="614"/>
      <c r="X61" s="614"/>
      <c r="Y61" s="614"/>
      <c r="Z61" s="614"/>
      <c r="AA61" s="614" t="s">
        <v>138</v>
      </c>
      <c r="AB61" s="614"/>
      <c r="AC61" s="614"/>
      <c r="AD61" s="614"/>
      <c r="AE61" s="614"/>
      <c r="AF61" s="614"/>
      <c r="AG61" s="614"/>
      <c r="AH61" s="614"/>
      <c r="AI61" s="614"/>
      <c r="AJ61" s="614"/>
      <c r="AK61" s="614"/>
      <c r="AL61" s="614"/>
      <c r="AM61" s="614"/>
      <c r="AN61" s="614" t="s">
        <v>138</v>
      </c>
      <c r="AO61" s="614"/>
      <c r="AP61" s="617"/>
      <c r="AQ61" s="614"/>
      <c r="AR61" s="618">
        <v>7</v>
      </c>
      <c r="AS61" s="614" t="s">
        <v>152</v>
      </c>
      <c r="AT61" s="623">
        <v>50</v>
      </c>
      <c r="AU61" s="624"/>
      <c r="AV61" s="622"/>
      <c r="AW61" s="622"/>
      <c r="AX61" s="622"/>
      <c r="AY61" s="622"/>
      <c r="AZ61" s="622"/>
      <c r="BA61" s="622"/>
      <c r="BB61" s="622"/>
      <c r="BC61" s="622"/>
      <c r="BD61" s="622"/>
      <c r="BE61" s="622"/>
      <c r="BF61" s="622"/>
      <c r="BG61" s="622"/>
      <c r="BH61" s="622"/>
      <c r="BI61" s="622"/>
      <c r="BJ61" s="622"/>
      <c r="BK61" s="622"/>
      <c r="BL61" s="622"/>
      <c r="BM61" s="622"/>
      <c r="BN61" s="622"/>
      <c r="BO61" s="622"/>
      <c r="BP61" s="575"/>
      <c r="BQ61" s="473"/>
      <c r="BR61" s="473"/>
      <c r="BS61" s="473"/>
      <c r="BT61" s="473"/>
      <c r="BU61" s="473"/>
      <c r="BV61" s="473"/>
      <c r="BW61" s="473"/>
      <c r="BX61" s="473"/>
      <c r="BY61" s="473"/>
      <c r="BZ61" s="473"/>
      <c r="CA61" s="473"/>
      <c r="CB61" s="473"/>
      <c r="CC61" s="473"/>
      <c r="CD61" s="473"/>
      <c r="CE61" s="473"/>
      <c r="CF61" s="473"/>
      <c r="CG61" s="473"/>
      <c r="CH61" s="473"/>
      <c r="CI61" s="473"/>
    </row>
    <row r="62" spans="1:87" ht="12.75" customHeight="1" x14ac:dyDescent="0.2">
      <c r="A62" s="614"/>
      <c r="B62" s="614"/>
      <c r="C62" s="620" t="s">
        <v>91</v>
      </c>
      <c r="D62" s="618"/>
      <c r="E62" s="618"/>
      <c r="F62" s="618"/>
      <c r="G62" s="618"/>
      <c r="H62" s="618"/>
      <c r="I62" s="618"/>
      <c r="J62" s="618" t="s">
        <v>153</v>
      </c>
      <c r="K62" s="618" t="s">
        <v>131</v>
      </c>
      <c r="L62" s="618"/>
      <c r="M62" s="618"/>
      <c r="N62" s="621"/>
      <c r="O62" s="618" t="s">
        <v>138</v>
      </c>
      <c r="P62" s="618" t="s">
        <v>138</v>
      </c>
      <c r="Q62" s="614"/>
      <c r="R62" s="614" t="s">
        <v>154</v>
      </c>
      <c r="S62" s="614"/>
      <c r="T62" s="614"/>
      <c r="U62" s="614"/>
      <c r="V62" s="614"/>
      <c r="W62" s="614"/>
      <c r="X62" s="614"/>
      <c r="Y62" s="614"/>
      <c r="Z62" s="614"/>
      <c r="AA62" s="614" t="s">
        <v>132</v>
      </c>
      <c r="AB62" s="614"/>
      <c r="AC62" s="614"/>
      <c r="AD62" s="614"/>
      <c r="AE62" s="614"/>
      <c r="AF62" s="614"/>
      <c r="AG62" s="614"/>
      <c r="AH62" s="614"/>
      <c r="AI62" s="614"/>
      <c r="AJ62" s="614"/>
      <c r="AK62" s="614"/>
      <c r="AL62" s="614"/>
      <c r="AM62" s="614"/>
      <c r="AN62" s="614" t="s">
        <v>132</v>
      </c>
      <c r="AO62" s="614"/>
      <c r="AP62" s="617"/>
      <c r="AQ62" s="614"/>
      <c r="AR62" s="618">
        <v>8</v>
      </c>
      <c r="AS62" s="614" t="s">
        <v>155</v>
      </c>
      <c r="AT62" s="618">
        <v>60</v>
      </c>
      <c r="AU62" s="622"/>
      <c r="AV62" s="622"/>
      <c r="AW62" s="622"/>
      <c r="AX62" s="622"/>
      <c r="AY62" s="622"/>
      <c r="AZ62" s="622"/>
      <c r="BA62" s="622"/>
      <c r="BB62" s="622"/>
      <c r="BC62" s="622"/>
      <c r="BD62" s="622"/>
      <c r="BE62" s="622"/>
      <c r="BF62" s="622"/>
      <c r="BG62" s="622"/>
      <c r="BH62" s="622"/>
      <c r="BI62" s="622"/>
      <c r="BJ62" s="622"/>
      <c r="BK62" s="622"/>
      <c r="BL62" s="622"/>
      <c r="BM62" s="622"/>
      <c r="BN62" s="622"/>
      <c r="BO62" s="622"/>
      <c r="BP62" s="575"/>
      <c r="BQ62" s="473"/>
      <c r="BR62" s="473"/>
      <c r="BS62" s="473"/>
      <c r="BT62" s="473"/>
      <c r="BU62" s="473"/>
      <c r="BV62" s="473"/>
      <c r="BW62" s="473"/>
      <c r="BX62" s="473"/>
      <c r="BY62" s="473"/>
      <c r="BZ62" s="473"/>
      <c r="CA62" s="473"/>
      <c r="CB62" s="473"/>
      <c r="CC62" s="473"/>
      <c r="CD62" s="473"/>
      <c r="CE62" s="473"/>
      <c r="CF62" s="473"/>
      <c r="CG62" s="473"/>
      <c r="CH62" s="473"/>
      <c r="CI62" s="473"/>
    </row>
    <row r="63" spans="1:87" ht="12.75" customHeight="1" x14ac:dyDescent="0.2">
      <c r="A63" s="614"/>
      <c r="B63" s="614"/>
      <c r="C63" s="620" t="s">
        <v>92</v>
      </c>
      <c r="D63" s="618"/>
      <c r="E63" s="618"/>
      <c r="F63" s="618"/>
      <c r="G63" s="618"/>
      <c r="H63" s="618"/>
      <c r="I63" s="618"/>
      <c r="J63" s="618" t="s">
        <v>131</v>
      </c>
      <c r="K63" s="618" t="s">
        <v>131</v>
      </c>
      <c r="L63" s="618"/>
      <c r="M63" s="618" t="s">
        <v>131</v>
      </c>
      <c r="N63" s="621"/>
      <c r="O63" s="618" t="s">
        <v>138</v>
      </c>
      <c r="P63" s="618" t="s">
        <v>138</v>
      </c>
      <c r="Q63" s="614"/>
      <c r="R63" s="614" t="s">
        <v>156</v>
      </c>
      <c r="S63" s="614"/>
      <c r="T63" s="614"/>
      <c r="U63" s="614"/>
      <c r="V63" s="614"/>
      <c r="W63" s="614"/>
      <c r="X63" s="614"/>
      <c r="Y63" s="614"/>
      <c r="Z63" s="614"/>
      <c r="AA63" s="619" t="s">
        <v>129</v>
      </c>
      <c r="AB63" s="614"/>
      <c r="AC63" s="614"/>
      <c r="AD63" s="614"/>
      <c r="AE63" s="614"/>
      <c r="AF63" s="614"/>
      <c r="AG63" s="614"/>
      <c r="AH63" s="614"/>
      <c r="AI63" s="614"/>
      <c r="AJ63" s="614"/>
      <c r="AK63" s="614"/>
      <c r="AL63" s="614"/>
      <c r="AM63" s="614"/>
      <c r="AN63" s="619" t="s">
        <v>129</v>
      </c>
      <c r="AO63" s="614"/>
      <c r="AP63" s="617"/>
      <c r="AQ63" s="614"/>
      <c r="AR63" s="618">
        <v>9</v>
      </c>
      <c r="AS63" s="614" t="s">
        <v>146</v>
      </c>
      <c r="AT63" s="618">
        <v>25</v>
      </c>
      <c r="AU63" s="622"/>
      <c r="AV63" s="622"/>
      <c r="AW63" s="622"/>
      <c r="AX63" s="622"/>
      <c r="AY63" s="622"/>
      <c r="AZ63" s="622"/>
      <c r="BA63" s="622"/>
      <c r="BB63" s="622"/>
      <c r="BC63" s="622"/>
      <c r="BD63" s="622"/>
      <c r="BE63" s="622"/>
      <c r="BF63" s="622"/>
      <c r="BG63" s="622"/>
      <c r="BH63" s="622"/>
      <c r="BI63" s="622"/>
      <c r="BJ63" s="622"/>
      <c r="BK63" s="622"/>
      <c r="BL63" s="622"/>
      <c r="BM63" s="622"/>
      <c r="BN63" s="622"/>
      <c r="BO63" s="622"/>
      <c r="BP63" s="575"/>
      <c r="BQ63" s="473"/>
      <c r="BR63" s="473"/>
      <c r="BS63" s="473"/>
      <c r="BT63" s="473"/>
      <c r="BU63" s="473"/>
      <c r="BV63" s="473"/>
      <c r="BW63" s="473"/>
      <c r="BX63" s="473"/>
      <c r="BY63" s="473"/>
      <c r="BZ63" s="473"/>
      <c r="CA63" s="473"/>
      <c r="CB63" s="473"/>
      <c r="CC63" s="473"/>
      <c r="CD63" s="473"/>
      <c r="CE63" s="473"/>
      <c r="CF63" s="473"/>
      <c r="CG63" s="473"/>
      <c r="CH63" s="473"/>
      <c r="CI63" s="473"/>
    </row>
    <row r="64" spans="1:87" ht="12.75" customHeight="1" x14ac:dyDescent="0.2">
      <c r="A64" s="614"/>
      <c r="B64" s="614"/>
      <c r="C64" s="620" t="s">
        <v>93</v>
      </c>
      <c r="D64" s="618" t="s">
        <v>131</v>
      </c>
      <c r="E64" s="618" t="s">
        <v>131</v>
      </c>
      <c r="F64" s="618"/>
      <c r="G64" s="618"/>
      <c r="H64" s="618"/>
      <c r="I64" s="618"/>
      <c r="J64" s="618" t="s">
        <v>131</v>
      </c>
      <c r="K64" s="618"/>
      <c r="L64" s="618"/>
      <c r="M64" s="618"/>
      <c r="N64" s="621"/>
      <c r="O64" s="618" t="s">
        <v>155</v>
      </c>
      <c r="P64" s="618" t="s">
        <v>138</v>
      </c>
      <c r="Q64" s="614"/>
      <c r="R64" s="614" t="s">
        <v>157</v>
      </c>
      <c r="S64" s="614"/>
      <c r="T64" s="614"/>
      <c r="U64" s="614"/>
      <c r="V64" s="614"/>
      <c r="W64" s="614"/>
      <c r="X64" s="614"/>
      <c r="Y64" s="614"/>
      <c r="Z64" s="614"/>
      <c r="AA64" s="614" t="s">
        <v>158</v>
      </c>
      <c r="AB64" s="614"/>
      <c r="AC64" s="614"/>
      <c r="AD64" s="614"/>
      <c r="AE64" s="614"/>
      <c r="AF64" s="614"/>
      <c r="AG64" s="614"/>
      <c r="AH64" s="614"/>
      <c r="AI64" s="614"/>
      <c r="AJ64" s="614"/>
      <c r="AK64" s="614"/>
      <c r="AL64" s="614"/>
      <c r="AM64" s="614"/>
      <c r="AN64" s="614" t="s">
        <v>158</v>
      </c>
      <c r="AO64" s="614"/>
      <c r="AP64" s="617"/>
      <c r="AQ64" s="614"/>
      <c r="AR64" s="618">
        <v>10</v>
      </c>
      <c r="AS64" s="614" t="s">
        <v>128</v>
      </c>
      <c r="AT64" s="618">
        <v>15</v>
      </c>
      <c r="AU64" s="622"/>
      <c r="AV64" s="622"/>
      <c r="AW64" s="622"/>
      <c r="AX64" s="622"/>
      <c r="AY64" s="622"/>
      <c r="AZ64" s="622"/>
      <c r="BA64" s="622"/>
      <c r="BB64" s="622"/>
      <c r="BC64" s="622"/>
      <c r="BD64" s="622"/>
      <c r="BE64" s="622"/>
      <c r="BF64" s="622"/>
      <c r="BG64" s="622"/>
      <c r="BH64" s="622"/>
      <c r="BI64" s="622"/>
      <c r="BJ64" s="622"/>
      <c r="BK64" s="622"/>
      <c r="BL64" s="622"/>
      <c r="BM64" s="622"/>
      <c r="BN64" s="622"/>
      <c r="BO64" s="622"/>
      <c r="BP64" s="575"/>
      <c r="BQ64" s="473"/>
      <c r="BR64" s="473"/>
      <c r="BS64" s="473"/>
      <c r="BT64" s="473"/>
      <c r="BU64" s="473"/>
      <c r="BV64" s="473"/>
      <c r="BW64" s="473"/>
      <c r="BX64" s="473"/>
      <c r="BY64" s="473"/>
      <c r="BZ64" s="473"/>
      <c r="CA64" s="473"/>
      <c r="CB64" s="473"/>
      <c r="CC64" s="473"/>
      <c r="CD64" s="473"/>
      <c r="CE64" s="473"/>
      <c r="CF64" s="473"/>
      <c r="CG64" s="473"/>
      <c r="CH64" s="473"/>
      <c r="CI64" s="473"/>
    </row>
    <row r="65" spans="1:87" ht="12.75" customHeight="1" x14ac:dyDescent="0.2">
      <c r="A65" s="614"/>
      <c r="B65" s="614"/>
      <c r="C65" s="620" t="s">
        <v>94</v>
      </c>
      <c r="D65" s="618" t="s">
        <v>131</v>
      </c>
      <c r="E65" s="618" t="s">
        <v>131</v>
      </c>
      <c r="F65" s="618"/>
      <c r="G65" s="618"/>
      <c r="H65" s="618"/>
      <c r="I65" s="618"/>
      <c r="J65" s="618" t="s">
        <v>131</v>
      </c>
      <c r="K65" s="618"/>
      <c r="L65" s="618"/>
      <c r="M65" s="618"/>
      <c r="N65" s="621"/>
      <c r="O65" s="618" t="s">
        <v>155</v>
      </c>
      <c r="P65" s="618" t="s">
        <v>159</v>
      </c>
      <c r="Q65" s="614"/>
      <c r="R65" s="614" t="s">
        <v>160</v>
      </c>
      <c r="S65" s="614"/>
      <c r="T65" s="614"/>
      <c r="U65" s="614"/>
      <c r="V65" s="614"/>
      <c r="W65" s="614"/>
      <c r="X65" s="614"/>
      <c r="Y65" s="614"/>
      <c r="Z65" s="614"/>
      <c r="AA65" s="619" t="s">
        <v>135</v>
      </c>
      <c r="AB65" s="614"/>
      <c r="AC65" s="614"/>
      <c r="AD65" s="614"/>
      <c r="AE65" s="614"/>
      <c r="AF65" s="614"/>
      <c r="AG65" s="614"/>
      <c r="AH65" s="614"/>
      <c r="AI65" s="614"/>
      <c r="AJ65" s="614"/>
      <c r="AK65" s="614"/>
      <c r="AL65" s="614"/>
      <c r="AM65" s="614"/>
      <c r="AN65" s="619" t="s">
        <v>135</v>
      </c>
      <c r="AO65" s="614"/>
      <c r="AP65" s="617"/>
      <c r="AQ65" s="619"/>
      <c r="AR65" s="618">
        <v>11</v>
      </c>
      <c r="AS65" s="614" t="s">
        <v>134</v>
      </c>
      <c r="AT65" s="618">
        <v>200</v>
      </c>
      <c r="AU65" s="622"/>
      <c r="AV65" s="622"/>
      <c r="AW65" s="622"/>
      <c r="AX65" s="622"/>
      <c r="AY65" s="622"/>
      <c r="AZ65" s="622"/>
      <c r="BA65" s="622"/>
      <c r="BB65" s="622"/>
      <c r="BC65" s="622"/>
      <c r="BD65" s="622"/>
      <c r="BE65" s="622"/>
      <c r="BF65" s="622"/>
      <c r="BG65" s="622"/>
      <c r="BH65" s="622"/>
      <c r="BI65" s="622"/>
      <c r="BJ65" s="622"/>
      <c r="BK65" s="622"/>
      <c r="BL65" s="622"/>
      <c r="BM65" s="622"/>
      <c r="BN65" s="622"/>
      <c r="BO65" s="622"/>
      <c r="BP65" s="575"/>
      <c r="BQ65" s="473"/>
      <c r="BR65" s="473"/>
      <c r="BS65" s="473"/>
      <c r="BT65" s="473"/>
      <c r="BU65" s="473"/>
      <c r="BV65" s="473"/>
      <c r="BW65" s="473"/>
      <c r="BX65" s="473"/>
      <c r="BY65" s="473"/>
      <c r="BZ65" s="473"/>
      <c r="CA65" s="473"/>
      <c r="CB65" s="473"/>
      <c r="CC65" s="473"/>
      <c r="CD65" s="473"/>
      <c r="CE65" s="473"/>
      <c r="CF65" s="473"/>
      <c r="CG65" s="473"/>
      <c r="CH65" s="473"/>
      <c r="CI65" s="473"/>
    </row>
    <row r="66" spans="1:87" ht="12.75" customHeight="1" x14ac:dyDescent="0.2">
      <c r="A66" s="614"/>
      <c r="B66" s="614"/>
      <c r="C66" s="620" t="s">
        <v>95</v>
      </c>
      <c r="D66" s="618"/>
      <c r="E66" s="618"/>
      <c r="F66" s="618"/>
      <c r="G66" s="618"/>
      <c r="H66" s="618"/>
      <c r="I66" s="618"/>
      <c r="J66" s="618"/>
      <c r="K66" s="618" t="s">
        <v>131</v>
      </c>
      <c r="L66" s="618"/>
      <c r="M66" s="618"/>
      <c r="N66" s="621">
        <v>90</v>
      </c>
      <c r="O66" s="618" t="s">
        <v>138</v>
      </c>
      <c r="P66" s="618" t="s">
        <v>138</v>
      </c>
      <c r="Q66" s="614"/>
      <c r="R66" s="614" t="s">
        <v>161</v>
      </c>
      <c r="S66" s="614"/>
      <c r="T66" s="614"/>
      <c r="U66" s="614"/>
      <c r="V66" s="614"/>
      <c r="W66" s="614"/>
      <c r="X66" s="614"/>
      <c r="Y66" s="614"/>
      <c r="Z66" s="614"/>
      <c r="AA66" s="614" t="s">
        <v>162</v>
      </c>
      <c r="AB66" s="614"/>
      <c r="AC66" s="614"/>
      <c r="AD66" s="614"/>
      <c r="AE66" s="614"/>
      <c r="AF66" s="614"/>
      <c r="AG66" s="614"/>
      <c r="AH66" s="614"/>
      <c r="AI66" s="614"/>
      <c r="AJ66" s="614"/>
      <c r="AK66" s="614"/>
      <c r="AL66" s="614"/>
      <c r="AM66" s="614"/>
      <c r="AN66" s="614" t="s">
        <v>162</v>
      </c>
      <c r="AO66" s="614"/>
      <c r="AP66" s="617"/>
      <c r="AQ66" s="614"/>
      <c r="AR66" s="618">
        <v>12</v>
      </c>
      <c r="AS66" s="614" t="s">
        <v>140</v>
      </c>
      <c r="AT66" s="618">
        <v>0</v>
      </c>
      <c r="AU66" s="622"/>
      <c r="AV66" s="622"/>
      <c r="AW66" s="622"/>
      <c r="AX66" s="622"/>
      <c r="AY66" s="622"/>
      <c r="AZ66" s="622"/>
      <c r="BA66" s="622"/>
      <c r="BB66" s="622"/>
      <c r="BC66" s="622"/>
      <c r="BD66" s="622"/>
      <c r="BE66" s="622"/>
      <c r="BF66" s="622"/>
      <c r="BG66" s="622"/>
      <c r="BH66" s="622"/>
      <c r="BI66" s="622"/>
      <c r="BJ66" s="622"/>
      <c r="BK66" s="622"/>
      <c r="BL66" s="622"/>
      <c r="BM66" s="622"/>
      <c r="BN66" s="622"/>
      <c r="BO66" s="622"/>
      <c r="BP66" s="575"/>
      <c r="BQ66" s="473"/>
      <c r="BR66" s="473"/>
      <c r="BS66" s="473"/>
      <c r="BT66" s="473"/>
      <c r="BU66" s="473"/>
      <c r="BV66" s="473"/>
      <c r="BW66" s="473"/>
      <c r="BX66" s="473"/>
      <c r="BY66" s="473"/>
      <c r="BZ66" s="473"/>
      <c r="CA66" s="473"/>
      <c r="CB66" s="473"/>
      <c r="CC66" s="473"/>
      <c r="CD66" s="473"/>
      <c r="CE66" s="473"/>
      <c r="CF66" s="473"/>
      <c r="CG66" s="473"/>
      <c r="CH66" s="473"/>
      <c r="CI66" s="473"/>
    </row>
    <row r="67" spans="1:87" ht="12.75" customHeight="1" x14ac:dyDescent="0.2">
      <c r="A67" s="614"/>
      <c r="B67" s="614"/>
      <c r="C67" s="620" t="s">
        <v>96</v>
      </c>
      <c r="D67" s="618" t="s">
        <v>131</v>
      </c>
      <c r="E67" s="618" t="s">
        <v>131</v>
      </c>
      <c r="F67" s="618"/>
      <c r="G67" s="618"/>
      <c r="H67" s="618" t="s">
        <v>131</v>
      </c>
      <c r="I67" s="618" t="s">
        <v>131</v>
      </c>
      <c r="J67" s="618" t="s">
        <v>131</v>
      </c>
      <c r="K67" s="618"/>
      <c r="L67" s="618"/>
      <c r="M67" s="618"/>
      <c r="N67" s="621"/>
      <c r="O67" s="618" t="s">
        <v>131</v>
      </c>
      <c r="P67" s="618" t="s">
        <v>131</v>
      </c>
      <c r="Q67" s="614"/>
      <c r="R67" s="614" t="s">
        <v>163</v>
      </c>
      <c r="S67" s="614"/>
      <c r="T67" s="614"/>
      <c r="U67" s="614"/>
      <c r="V67" s="614"/>
      <c r="W67" s="614"/>
      <c r="X67" s="614"/>
      <c r="Y67" s="614"/>
      <c r="Z67" s="614"/>
      <c r="AA67" s="614" t="s">
        <v>164</v>
      </c>
      <c r="AB67" s="614"/>
      <c r="AC67" s="614"/>
      <c r="AD67" s="614"/>
      <c r="AE67" s="614"/>
      <c r="AF67" s="614"/>
      <c r="AG67" s="614"/>
      <c r="AH67" s="614"/>
      <c r="AI67" s="614"/>
      <c r="AJ67" s="614"/>
      <c r="AK67" s="614"/>
      <c r="AL67" s="614"/>
      <c r="AM67" s="614"/>
      <c r="AN67" s="614" t="s">
        <v>164</v>
      </c>
      <c r="AO67" s="614"/>
      <c r="AP67" s="617"/>
      <c r="AQ67" s="619"/>
      <c r="AR67" s="618">
        <v>13</v>
      </c>
      <c r="AS67" s="614" t="s">
        <v>149</v>
      </c>
      <c r="AT67" s="618">
        <v>0</v>
      </c>
      <c r="AU67" s="622"/>
      <c r="AV67" s="622"/>
      <c r="AW67" s="622"/>
      <c r="AX67" s="622"/>
      <c r="AY67" s="622"/>
      <c r="AZ67" s="622"/>
      <c r="BA67" s="622"/>
      <c r="BB67" s="622"/>
      <c r="BC67" s="622"/>
      <c r="BD67" s="622"/>
      <c r="BE67" s="622"/>
      <c r="BF67" s="622"/>
      <c r="BG67" s="622"/>
      <c r="BH67" s="622"/>
      <c r="BI67" s="622"/>
      <c r="BJ67" s="622"/>
      <c r="BK67" s="622"/>
      <c r="BL67" s="622"/>
      <c r="BM67" s="622"/>
      <c r="BN67" s="622"/>
      <c r="BO67" s="622"/>
      <c r="BP67" s="575"/>
      <c r="BQ67" s="473"/>
      <c r="BR67" s="473"/>
      <c r="BS67" s="473"/>
      <c r="BT67" s="473"/>
      <c r="BU67" s="473"/>
      <c r="BV67" s="473"/>
      <c r="BW67" s="473"/>
      <c r="BX67" s="473"/>
      <c r="BY67" s="473"/>
      <c r="BZ67" s="473"/>
      <c r="CA67" s="473"/>
      <c r="CB67" s="473"/>
      <c r="CC67" s="473"/>
      <c r="CD67" s="473"/>
      <c r="CE67" s="473"/>
      <c r="CF67" s="473"/>
      <c r="CG67" s="473"/>
      <c r="CH67" s="473"/>
      <c r="CI67" s="473"/>
    </row>
    <row r="68" spans="1:87" ht="12.75" customHeight="1" x14ac:dyDescent="0.2">
      <c r="A68" s="614"/>
      <c r="B68" s="614"/>
      <c r="C68" s="620" t="s">
        <v>97</v>
      </c>
      <c r="D68" s="618" t="s">
        <v>131</v>
      </c>
      <c r="E68" s="618" t="s">
        <v>131</v>
      </c>
      <c r="F68" s="618"/>
      <c r="G68" s="618"/>
      <c r="H68" s="618" t="s">
        <v>131</v>
      </c>
      <c r="I68" s="618" t="s">
        <v>131</v>
      </c>
      <c r="J68" s="618" t="s">
        <v>131</v>
      </c>
      <c r="K68" s="618"/>
      <c r="L68" s="618"/>
      <c r="M68" s="618"/>
      <c r="N68" s="621"/>
      <c r="O68" s="618" t="s">
        <v>131</v>
      </c>
      <c r="P68" s="618" t="s">
        <v>131</v>
      </c>
      <c r="Q68" s="614"/>
      <c r="R68" s="614"/>
      <c r="S68" s="614"/>
      <c r="T68" s="614"/>
      <c r="U68" s="614"/>
      <c r="V68" s="614"/>
      <c r="W68" s="614"/>
      <c r="X68" s="614"/>
      <c r="Y68" s="614"/>
      <c r="Z68" s="614"/>
      <c r="AA68" s="614" t="s">
        <v>137</v>
      </c>
      <c r="AB68" s="614"/>
      <c r="AC68" s="614"/>
      <c r="AD68" s="614"/>
      <c r="AE68" s="614"/>
      <c r="AF68" s="614"/>
      <c r="AG68" s="614"/>
      <c r="AH68" s="614"/>
      <c r="AI68" s="614"/>
      <c r="AJ68" s="614"/>
      <c r="AK68" s="614"/>
      <c r="AL68" s="614"/>
      <c r="AM68" s="614"/>
      <c r="AN68" s="614" t="s">
        <v>137</v>
      </c>
      <c r="AO68" s="614"/>
      <c r="AP68" s="617"/>
      <c r="AQ68" s="614"/>
      <c r="AR68" s="618">
        <v>14</v>
      </c>
      <c r="AS68" s="614" t="s">
        <v>132</v>
      </c>
      <c r="AT68" s="618">
        <v>60</v>
      </c>
      <c r="AU68" s="622"/>
      <c r="AV68" s="622"/>
      <c r="AW68" s="622"/>
      <c r="AX68" s="622"/>
      <c r="AY68" s="622"/>
      <c r="AZ68" s="622"/>
      <c r="BA68" s="622"/>
      <c r="BB68" s="622"/>
      <c r="BC68" s="622"/>
      <c r="BD68" s="622"/>
      <c r="BE68" s="622"/>
      <c r="BF68" s="622"/>
      <c r="BG68" s="622"/>
      <c r="BH68" s="622"/>
      <c r="BI68" s="622"/>
      <c r="BJ68" s="622"/>
      <c r="BK68" s="622"/>
      <c r="BL68" s="622"/>
      <c r="BM68" s="622"/>
      <c r="BN68" s="622"/>
      <c r="BO68" s="622"/>
      <c r="BP68" s="575"/>
      <c r="BQ68" s="473"/>
      <c r="BR68" s="473"/>
      <c r="BS68" s="473"/>
      <c r="BT68" s="473"/>
      <c r="BU68" s="473"/>
      <c r="BV68" s="473"/>
      <c r="BW68" s="473"/>
      <c r="BX68" s="473"/>
      <c r="BY68" s="473"/>
      <c r="BZ68" s="473"/>
      <c r="CA68" s="473"/>
      <c r="CB68" s="473"/>
      <c r="CC68" s="473"/>
      <c r="CD68" s="473"/>
      <c r="CE68" s="473"/>
      <c r="CF68" s="473"/>
      <c r="CG68" s="473"/>
      <c r="CH68" s="473"/>
      <c r="CI68" s="473"/>
    </row>
    <row r="69" spans="1:87" ht="12.75" customHeight="1" x14ac:dyDescent="0.2">
      <c r="A69" s="614"/>
      <c r="B69" s="614"/>
      <c r="C69" s="620" t="s">
        <v>165</v>
      </c>
      <c r="D69" s="614"/>
      <c r="E69" s="614"/>
      <c r="F69" s="614"/>
      <c r="G69" s="614"/>
      <c r="H69" s="614"/>
      <c r="I69" s="614"/>
      <c r="J69" s="618" t="s">
        <v>131</v>
      </c>
      <c r="K69" s="618" t="s">
        <v>131</v>
      </c>
      <c r="L69" s="618"/>
      <c r="M69" s="614"/>
      <c r="N69" s="614"/>
      <c r="O69" s="618" t="s">
        <v>149</v>
      </c>
      <c r="P69" s="618" t="s">
        <v>149</v>
      </c>
      <c r="Q69" s="614"/>
      <c r="R69" s="614"/>
      <c r="S69" s="614"/>
      <c r="T69" s="614"/>
      <c r="U69" s="614"/>
      <c r="V69" s="614"/>
      <c r="W69" s="614"/>
      <c r="X69" s="614"/>
      <c r="Y69" s="614"/>
      <c r="Z69" s="614"/>
      <c r="AA69" s="614" t="s">
        <v>152</v>
      </c>
      <c r="AB69" s="614"/>
      <c r="AC69" s="614"/>
      <c r="AD69" s="614"/>
      <c r="AE69" s="614"/>
      <c r="AF69" s="614"/>
      <c r="AG69" s="614"/>
      <c r="AH69" s="614"/>
      <c r="AI69" s="614"/>
      <c r="AJ69" s="614"/>
      <c r="AK69" s="614"/>
      <c r="AL69" s="614"/>
      <c r="AM69" s="614"/>
      <c r="AN69" s="614" t="s">
        <v>152</v>
      </c>
      <c r="AO69" s="614"/>
      <c r="AP69" s="614"/>
      <c r="AQ69" s="614"/>
      <c r="AR69" s="618">
        <v>15</v>
      </c>
      <c r="AS69" s="614" t="s">
        <v>158</v>
      </c>
      <c r="AT69" s="618">
        <v>25</v>
      </c>
      <c r="AU69" s="622"/>
      <c r="AV69" s="622"/>
      <c r="AW69" s="622"/>
      <c r="AX69" s="622"/>
      <c r="AY69" s="622"/>
      <c r="AZ69" s="622"/>
      <c r="BA69" s="622"/>
      <c r="BB69" s="622"/>
      <c r="BC69" s="622"/>
      <c r="BD69" s="622"/>
      <c r="BE69" s="622"/>
      <c r="BF69" s="622"/>
      <c r="BG69" s="622"/>
      <c r="BH69" s="622"/>
      <c r="BI69" s="622"/>
      <c r="BJ69" s="622"/>
      <c r="BK69" s="622"/>
      <c r="BL69" s="622"/>
      <c r="BM69" s="622"/>
      <c r="BN69" s="622"/>
      <c r="BO69" s="622"/>
      <c r="BP69" s="575"/>
      <c r="BQ69" s="473"/>
      <c r="BR69" s="473"/>
      <c r="BS69" s="473"/>
      <c r="BT69" s="473"/>
      <c r="BU69" s="473"/>
      <c r="BV69" s="473"/>
      <c r="BW69" s="473"/>
      <c r="BX69" s="473"/>
      <c r="BY69" s="473"/>
      <c r="BZ69" s="473"/>
      <c r="CA69" s="473"/>
      <c r="CB69" s="473"/>
      <c r="CC69" s="473"/>
      <c r="CD69" s="473"/>
      <c r="CE69" s="473"/>
      <c r="CF69" s="473"/>
      <c r="CG69" s="473"/>
      <c r="CH69" s="473"/>
      <c r="CI69" s="473"/>
    </row>
    <row r="70" spans="1:87" ht="12.75" customHeight="1" x14ac:dyDescent="0.2">
      <c r="A70" s="614"/>
      <c r="B70" s="614"/>
      <c r="C70" s="620" t="s">
        <v>166</v>
      </c>
      <c r="D70" s="614"/>
      <c r="E70" s="614"/>
      <c r="F70" s="614"/>
      <c r="G70" s="614"/>
      <c r="H70" s="614"/>
      <c r="I70" s="614"/>
      <c r="J70" s="618" t="s">
        <v>131</v>
      </c>
      <c r="K70" s="618" t="s">
        <v>131</v>
      </c>
      <c r="L70" s="618"/>
      <c r="M70" s="614"/>
      <c r="N70" s="614"/>
      <c r="O70" s="618" t="s">
        <v>149</v>
      </c>
      <c r="P70" s="618" t="s">
        <v>149</v>
      </c>
      <c r="Q70" s="614"/>
      <c r="R70" s="614"/>
      <c r="S70" s="614"/>
      <c r="T70" s="614"/>
      <c r="U70" s="614"/>
      <c r="V70" s="614"/>
      <c r="W70" s="614"/>
      <c r="X70" s="614"/>
      <c r="Y70" s="614"/>
      <c r="Z70" s="614"/>
      <c r="AA70" s="614" t="s">
        <v>155</v>
      </c>
      <c r="AB70" s="614"/>
      <c r="AC70" s="614"/>
      <c r="AD70" s="614"/>
      <c r="AE70" s="614"/>
      <c r="AF70" s="614"/>
      <c r="AG70" s="614"/>
      <c r="AH70" s="614"/>
      <c r="AI70" s="614"/>
      <c r="AJ70" s="614"/>
      <c r="AK70" s="614"/>
      <c r="AL70" s="614"/>
      <c r="AM70" s="614"/>
      <c r="AN70" s="614" t="s">
        <v>155</v>
      </c>
      <c r="AO70" s="614"/>
      <c r="AP70" s="614"/>
      <c r="AQ70" s="614"/>
      <c r="AR70" s="618">
        <v>16</v>
      </c>
      <c r="AS70" s="614" t="s">
        <v>164</v>
      </c>
      <c r="AT70" s="618">
        <v>50</v>
      </c>
      <c r="AU70" s="622"/>
      <c r="AV70" s="622"/>
      <c r="AW70" s="622"/>
      <c r="AX70" s="622"/>
      <c r="AY70" s="622"/>
      <c r="AZ70" s="622"/>
      <c r="BA70" s="622"/>
      <c r="BB70" s="622"/>
      <c r="BC70" s="622"/>
      <c r="BD70" s="622"/>
      <c r="BE70" s="622"/>
      <c r="BF70" s="622"/>
      <c r="BG70" s="622"/>
      <c r="BH70" s="622"/>
      <c r="BI70" s="622"/>
      <c r="BJ70" s="622"/>
      <c r="BK70" s="622"/>
      <c r="BL70" s="622"/>
      <c r="BM70" s="622"/>
      <c r="BN70" s="622"/>
      <c r="BO70" s="622"/>
      <c r="BP70" s="575"/>
      <c r="BQ70" s="473"/>
      <c r="BR70" s="473"/>
      <c r="BS70" s="473"/>
      <c r="BT70" s="473"/>
      <c r="BU70" s="473"/>
      <c r="BV70" s="473"/>
      <c r="BW70" s="473"/>
      <c r="BX70" s="473"/>
      <c r="BY70" s="473"/>
      <c r="BZ70" s="473"/>
      <c r="CA70" s="473"/>
      <c r="CB70" s="473"/>
      <c r="CC70" s="473"/>
      <c r="CD70" s="473"/>
      <c r="CE70" s="473"/>
      <c r="CF70" s="473"/>
      <c r="CG70" s="473"/>
      <c r="CH70" s="473"/>
      <c r="CI70" s="473"/>
    </row>
    <row r="71" spans="1:87" ht="12.75" customHeight="1" x14ac:dyDescent="0.2">
      <c r="A71" s="614"/>
      <c r="B71" s="614"/>
      <c r="C71" s="620" t="s">
        <v>167</v>
      </c>
      <c r="D71" s="614"/>
      <c r="E71" s="614"/>
      <c r="F71" s="614"/>
      <c r="G71" s="614"/>
      <c r="H71" s="614"/>
      <c r="I71" s="614"/>
      <c r="J71" s="618" t="s">
        <v>131</v>
      </c>
      <c r="K71" s="618" t="s">
        <v>131</v>
      </c>
      <c r="L71" s="618"/>
      <c r="M71" s="614"/>
      <c r="N71" s="614"/>
      <c r="O71" s="618" t="s">
        <v>149</v>
      </c>
      <c r="P71" s="618" t="s">
        <v>149</v>
      </c>
      <c r="Q71" s="614"/>
      <c r="R71" s="614"/>
      <c r="S71" s="614"/>
      <c r="T71" s="614"/>
      <c r="U71" s="614"/>
      <c r="V71" s="614"/>
      <c r="W71" s="614"/>
      <c r="X71" s="614"/>
      <c r="Y71" s="614"/>
      <c r="Z71" s="614"/>
      <c r="AA71" s="614"/>
      <c r="AB71" s="614"/>
      <c r="AC71" s="614"/>
      <c r="AD71" s="614"/>
      <c r="AE71" s="614"/>
      <c r="AF71" s="614"/>
      <c r="AG71" s="614"/>
      <c r="AH71" s="614"/>
      <c r="AI71" s="614"/>
      <c r="AJ71" s="614"/>
      <c r="AK71" s="614"/>
      <c r="AL71" s="614"/>
      <c r="AM71" s="614"/>
      <c r="AN71" s="614"/>
      <c r="AO71" s="614"/>
      <c r="AP71" s="614"/>
      <c r="AQ71" s="614"/>
      <c r="AR71" s="618">
        <v>17</v>
      </c>
      <c r="AS71" s="614" t="s">
        <v>137</v>
      </c>
      <c r="AT71" s="618">
        <v>50</v>
      </c>
      <c r="AU71" s="622"/>
      <c r="AV71" s="622"/>
      <c r="AW71" s="622"/>
      <c r="AX71" s="622"/>
      <c r="AY71" s="622"/>
      <c r="AZ71" s="622"/>
      <c r="BA71" s="622"/>
      <c r="BB71" s="622"/>
      <c r="BC71" s="622"/>
      <c r="BD71" s="622"/>
      <c r="BE71" s="622"/>
      <c r="BF71" s="622"/>
      <c r="BG71" s="622"/>
      <c r="BH71" s="622"/>
      <c r="BI71" s="622"/>
      <c r="BJ71" s="622"/>
      <c r="BK71" s="622"/>
      <c r="BL71" s="622"/>
      <c r="BM71" s="622"/>
      <c r="BN71" s="622"/>
      <c r="BO71" s="622"/>
      <c r="BP71" s="575"/>
      <c r="BQ71" s="473"/>
      <c r="BR71" s="473"/>
      <c r="BS71" s="473"/>
      <c r="BT71" s="473"/>
      <c r="BU71" s="473"/>
      <c r="BV71" s="473"/>
      <c r="BW71" s="473"/>
      <c r="BX71" s="473"/>
      <c r="BY71" s="473"/>
      <c r="BZ71" s="473"/>
      <c r="CA71" s="473"/>
      <c r="CB71" s="473"/>
      <c r="CC71" s="473"/>
      <c r="CD71" s="473"/>
      <c r="CE71" s="473"/>
      <c r="CF71" s="473"/>
      <c r="CG71" s="473"/>
      <c r="CH71" s="473"/>
      <c r="CI71" s="473"/>
    </row>
    <row r="72" spans="1:87" ht="12.75" customHeight="1" x14ac:dyDescent="0.2">
      <c r="A72" s="614"/>
      <c r="B72" s="614"/>
      <c r="C72" s="620" t="s">
        <v>168</v>
      </c>
      <c r="D72" s="614"/>
      <c r="E72" s="614"/>
      <c r="F72" s="614"/>
      <c r="G72" s="614"/>
      <c r="H72" s="614"/>
      <c r="I72" s="614"/>
      <c r="J72" s="618" t="s">
        <v>131</v>
      </c>
      <c r="K72" s="618" t="s">
        <v>131</v>
      </c>
      <c r="L72" s="618"/>
      <c r="M72" s="614"/>
      <c r="N72" s="614"/>
      <c r="O72" s="618" t="s">
        <v>149</v>
      </c>
      <c r="P72" s="618" t="s">
        <v>149</v>
      </c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4"/>
      <c r="AK72" s="614"/>
      <c r="AL72" s="614"/>
      <c r="AM72" s="614"/>
      <c r="AN72" s="614"/>
      <c r="AO72" s="614"/>
      <c r="AP72" s="614"/>
      <c r="AQ72" s="614"/>
      <c r="AR72" s="614"/>
      <c r="AS72" s="614"/>
      <c r="AT72" s="614"/>
      <c r="AU72" s="622"/>
      <c r="AV72" s="622"/>
      <c r="AW72" s="622"/>
      <c r="AX72" s="622"/>
      <c r="AY72" s="622"/>
      <c r="AZ72" s="622"/>
      <c r="BA72" s="622"/>
      <c r="BB72" s="622"/>
      <c r="BC72" s="622"/>
      <c r="BD72" s="622"/>
      <c r="BE72" s="622"/>
      <c r="BF72" s="622"/>
      <c r="BG72" s="622"/>
      <c r="BH72" s="622"/>
      <c r="BI72" s="622"/>
      <c r="BJ72" s="622"/>
      <c r="BK72" s="622"/>
      <c r="BL72" s="622"/>
      <c r="BM72" s="622"/>
      <c r="BN72" s="622"/>
      <c r="BO72" s="622"/>
      <c r="BP72" s="575"/>
      <c r="BQ72" s="473"/>
      <c r="BR72" s="473"/>
      <c r="BS72" s="473"/>
      <c r="BT72" s="473"/>
      <c r="BU72" s="473"/>
      <c r="BV72" s="473"/>
      <c r="BW72" s="473"/>
      <c r="BX72" s="473"/>
      <c r="BY72" s="473"/>
      <c r="BZ72" s="473"/>
      <c r="CA72" s="473"/>
      <c r="CB72" s="473"/>
      <c r="CC72" s="473"/>
      <c r="CD72" s="473"/>
      <c r="CE72" s="473"/>
      <c r="CF72" s="473"/>
      <c r="CG72" s="473"/>
      <c r="CH72" s="473"/>
      <c r="CI72" s="473"/>
    </row>
    <row r="73" spans="1:87" ht="12.75" customHeight="1" x14ac:dyDescent="0.2">
      <c r="A73" s="614"/>
      <c r="B73" s="614"/>
      <c r="C73" s="620" t="s">
        <v>98</v>
      </c>
      <c r="D73" s="618"/>
      <c r="E73" s="618"/>
      <c r="F73" s="618"/>
      <c r="G73" s="618"/>
      <c r="H73" s="618"/>
      <c r="I73" s="618"/>
      <c r="J73" s="618" t="s">
        <v>131</v>
      </c>
      <c r="K73" s="618" t="s">
        <v>131</v>
      </c>
      <c r="L73" s="618"/>
      <c r="M73" s="618"/>
      <c r="N73" s="621"/>
      <c r="O73" s="618" t="s">
        <v>140</v>
      </c>
      <c r="P73" s="618" t="s">
        <v>140</v>
      </c>
      <c r="Q73" s="614"/>
      <c r="R73" s="614"/>
      <c r="S73" s="614"/>
      <c r="T73" s="614"/>
      <c r="U73" s="614"/>
      <c r="V73" s="614"/>
      <c r="W73" s="614"/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4"/>
      <c r="AK73" s="614"/>
      <c r="AL73" s="614"/>
      <c r="AM73" s="614"/>
      <c r="AN73" s="614"/>
      <c r="AO73" s="614"/>
      <c r="AP73" s="614"/>
      <c r="AQ73" s="614"/>
      <c r="AR73" s="618"/>
      <c r="AS73" s="614" t="s">
        <v>128</v>
      </c>
      <c r="AT73" s="618">
        <v>15</v>
      </c>
      <c r="AU73" s="622"/>
      <c r="AV73" s="622"/>
      <c r="AW73" s="622"/>
      <c r="AX73" s="622"/>
      <c r="AY73" s="622"/>
      <c r="AZ73" s="622"/>
      <c r="BA73" s="622"/>
      <c r="BB73" s="622"/>
      <c r="BC73" s="622"/>
      <c r="BD73" s="622"/>
      <c r="BE73" s="622"/>
      <c r="BF73" s="622"/>
      <c r="BG73" s="622"/>
      <c r="BH73" s="622"/>
      <c r="BI73" s="622"/>
      <c r="BJ73" s="622"/>
      <c r="BK73" s="622"/>
      <c r="BL73" s="622"/>
      <c r="BM73" s="622"/>
      <c r="BN73" s="622"/>
      <c r="BO73" s="622"/>
      <c r="BP73" s="575"/>
      <c r="BQ73" s="473"/>
      <c r="BR73" s="473"/>
      <c r="BS73" s="473"/>
      <c r="BT73" s="473"/>
      <c r="BU73" s="473"/>
      <c r="BV73" s="473"/>
      <c r="BW73" s="473"/>
      <c r="BX73" s="473"/>
      <c r="BY73" s="473"/>
      <c r="BZ73" s="473"/>
      <c r="CA73" s="473"/>
      <c r="CB73" s="473"/>
      <c r="CC73" s="473"/>
      <c r="CD73" s="473"/>
      <c r="CE73" s="473"/>
      <c r="CF73" s="473"/>
      <c r="CG73" s="473"/>
      <c r="CH73" s="473"/>
      <c r="CI73" s="473"/>
    </row>
    <row r="74" spans="1:87" ht="12.75" customHeight="1" x14ac:dyDescent="0.2">
      <c r="A74" s="614"/>
      <c r="B74" s="614"/>
      <c r="C74" s="620" t="s">
        <v>169</v>
      </c>
      <c r="D74" s="618" t="s">
        <v>131</v>
      </c>
      <c r="E74" s="618" t="s">
        <v>131</v>
      </c>
      <c r="F74" s="614"/>
      <c r="G74" s="614"/>
      <c r="H74" s="618" t="s">
        <v>131</v>
      </c>
      <c r="I74" s="618" t="s">
        <v>131</v>
      </c>
      <c r="J74" s="618" t="s">
        <v>131</v>
      </c>
      <c r="K74" s="614"/>
      <c r="L74" s="614"/>
      <c r="M74" s="625"/>
      <c r="N74" s="625"/>
      <c r="O74" s="618" t="s">
        <v>149</v>
      </c>
      <c r="P74" s="618" t="s">
        <v>149</v>
      </c>
      <c r="Q74" s="614"/>
      <c r="R74" s="614"/>
      <c r="S74" s="614"/>
      <c r="T74" s="614"/>
      <c r="U74" s="614"/>
      <c r="V74" s="614"/>
      <c r="W74" s="614"/>
      <c r="X74" s="614"/>
      <c r="Y74" s="614"/>
      <c r="Z74" s="614"/>
      <c r="AA74" s="614"/>
      <c r="AB74" s="625" t="s">
        <v>170</v>
      </c>
      <c r="AC74" s="614"/>
      <c r="AD74" s="614"/>
      <c r="AE74" s="614"/>
      <c r="AF74" s="614"/>
      <c r="AG74" s="614"/>
      <c r="AH74" s="614"/>
      <c r="AI74" s="614"/>
      <c r="AJ74" s="614"/>
      <c r="AK74" s="614"/>
      <c r="AL74" s="614"/>
      <c r="AM74" s="614"/>
      <c r="AN74" s="614"/>
      <c r="AO74" s="614"/>
      <c r="AP74" s="614"/>
      <c r="AQ74" s="614"/>
      <c r="AR74" s="614"/>
      <c r="AS74" s="614" t="s">
        <v>90</v>
      </c>
      <c r="AT74" s="618">
        <v>20</v>
      </c>
      <c r="AU74" s="622"/>
      <c r="AV74" s="622"/>
      <c r="AW74" s="622"/>
      <c r="AX74" s="622"/>
      <c r="AY74" s="622"/>
      <c r="AZ74" s="622"/>
      <c r="BA74" s="622"/>
      <c r="BB74" s="622"/>
      <c r="BC74" s="622"/>
      <c r="BD74" s="622"/>
      <c r="BE74" s="622"/>
      <c r="BF74" s="622"/>
      <c r="BG74" s="622"/>
      <c r="BH74" s="622"/>
      <c r="BI74" s="622"/>
      <c r="BJ74" s="622"/>
      <c r="BK74" s="622"/>
      <c r="BL74" s="622"/>
      <c r="BM74" s="622"/>
      <c r="BN74" s="622"/>
      <c r="BO74" s="622"/>
      <c r="BP74" s="575"/>
      <c r="BQ74" s="473"/>
      <c r="BR74" s="473"/>
      <c r="BS74" s="473"/>
      <c r="BT74" s="473"/>
      <c r="BU74" s="473"/>
      <c r="BV74" s="473"/>
      <c r="BW74" s="473"/>
      <c r="BX74" s="473"/>
      <c r="BY74" s="473"/>
      <c r="BZ74" s="473"/>
      <c r="CA74" s="473"/>
      <c r="CB74" s="473"/>
      <c r="CC74" s="473"/>
      <c r="CD74" s="473"/>
      <c r="CE74" s="473"/>
      <c r="CF74" s="473"/>
      <c r="CG74" s="473"/>
      <c r="CH74" s="473"/>
      <c r="CI74" s="473"/>
    </row>
    <row r="75" spans="1:87" ht="12.75" customHeight="1" x14ac:dyDescent="0.2">
      <c r="A75" s="614"/>
      <c r="B75" s="614"/>
      <c r="C75" s="620" t="s">
        <v>171</v>
      </c>
      <c r="D75" s="618" t="s">
        <v>131</v>
      </c>
      <c r="E75" s="618" t="s">
        <v>131</v>
      </c>
      <c r="F75" s="614"/>
      <c r="G75" s="614"/>
      <c r="H75" s="618" t="s">
        <v>131</v>
      </c>
      <c r="I75" s="618" t="s">
        <v>131</v>
      </c>
      <c r="J75" s="618" t="s">
        <v>131</v>
      </c>
      <c r="K75" s="614"/>
      <c r="L75" s="614"/>
      <c r="M75" s="614"/>
      <c r="N75" s="614"/>
      <c r="O75" s="618" t="s">
        <v>149</v>
      </c>
      <c r="P75" s="618" t="s">
        <v>149</v>
      </c>
      <c r="Q75" s="614"/>
      <c r="R75" s="614"/>
      <c r="S75" s="614"/>
      <c r="T75" s="614"/>
      <c r="U75" s="614"/>
      <c r="V75" s="614"/>
      <c r="W75" s="614"/>
      <c r="X75" s="614"/>
      <c r="Y75" s="614"/>
      <c r="Z75" s="614"/>
      <c r="AA75" s="614">
        <v>1</v>
      </c>
      <c r="AB75" s="256" t="s">
        <v>228</v>
      </c>
      <c r="AC75" s="614"/>
      <c r="AD75" s="614"/>
      <c r="AE75" s="614"/>
      <c r="AF75" s="614"/>
      <c r="AG75" s="614"/>
      <c r="AH75" s="614"/>
      <c r="AI75" s="614"/>
      <c r="AJ75" s="614"/>
      <c r="AK75" s="614"/>
      <c r="AL75" s="614"/>
      <c r="AM75" s="614"/>
      <c r="AN75" s="614"/>
      <c r="AO75" s="614"/>
      <c r="AP75" s="614"/>
      <c r="AQ75" s="614"/>
      <c r="AR75" s="614"/>
      <c r="AS75" s="614" t="s">
        <v>134</v>
      </c>
      <c r="AT75" s="618">
        <v>200</v>
      </c>
      <c r="AU75" s="622"/>
      <c r="AV75" s="622"/>
      <c r="AW75" s="622"/>
      <c r="AX75" s="622"/>
      <c r="AY75" s="622"/>
      <c r="AZ75" s="622"/>
      <c r="BA75" s="622"/>
      <c r="BB75" s="622"/>
      <c r="BC75" s="622"/>
      <c r="BD75" s="622"/>
      <c r="BE75" s="622"/>
      <c r="BF75" s="622"/>
      <c r="BG75" s="622"/>
      <c r="BH75" s="622"/>
      <c r="BI75" s="622"/>
      <c r="BJ75" s="622"/>
      <c r="BK75" s="622"/>
      <c r="BL75" s="622"/>
      <c r="BM75" s="622"/>
      <c r="BN75" s="622"/>
      <c r="BO75" s="622"/>
      <c r="BP75" s="575"/>
      <c r="BQ75" s="473"/>
      <c r="BR75" s="473"/>
      <c r="BS75" s="473"/>
      <c r="BT75" s="473"/>
      <c r="BU75" s="473"/>
      <c r="BV75" s="473"/>
      <c r="BW75" s="473"/>
      <c r="BX75" s="473"/>
      <c r="BY75" s="473"/>
      <c r="BZ75" s="473"/>
      <c r="CA75" s="473"/>
      <c r="CB75" s="473"/>
      <c r="CC75" s="473"/>
      <c r="CD75" s="473"/>
      <c r="CE75" s="473"/>
      <c r="CF75" s="473"/>
      <c r="CG75" s="473"/>
      <c r="CH75" s="473"/>
      <c r="CI75" s="473"/>
    </row>
    <row r="76" spans="1:87" ht="12.75" customHeight="1" x14ac:dyDescent="0.2">
      <c r="A76" s="614"/>
      <c r="B76" s="614"/>
      <c r="C76" s="620" t="s">
        <v>172</v>
      </c>
      <c r="D76" s="618" t="s">
        <v>131</v>
      </c>
      <c r="E76" s="618" t="s">
        <v>131</v>
      </c>
      <c r="F76" s="614"/>
      <c r="G76" s="614"/>
      <c r="H76" s="618" t="s">
        <v>131</v>
      </c>
      <c r="I76" s="618" t="s">
        <v>131</v>
      </c>
      <c r="J76" s="618" t="s">
        <v>131</v>
      </c>
      <c r="K76" s="614"/>
      <c r="L76" s="614"/>
      <c r="M76" s="614"/>
      <c r="N76" s="614"/>
      <c r="O76" s="618" t="s">
        <v>149</v>
      </c>
      <c r="P76" s="618" t="s">
        <v>149</v>
      </c>
      <c r="Q76" s="614"/>
      <c r="R76" s="614"/>
      <c r="S76" s="614"/>
      <c r="T76" s="614"/>
      <c r="U76" s="614"/>
      <c r="V76" s="614"/>
      <c r="W76" s="614"/>
      <c r="X76" s="614"/>
      <c r="Y76" s="614"/>
      <c r="Z76" s="614"/>
      <c r="AA76" s="614">
        <f t="shared" ref="AA76:AA95" si="40">AA75+1</f>
        <v>2</v>
      </c>
      <c r="AB76" s="256" t="s">
        <v>229</v>
      </c>
      <c r="AC76" s="614"/>
      <c r="AD76" s="614"/>
      <c r="AE76" s="614"/>
      <c r="AF76" s="614"/>
      <c r="AG76" s="614"/>
      <c r="AH76" s="614"/>
      <c r="AI76" s="614"/>
      <c r="AJ76" s="614"/>
      <c r="AK76" s="614"/>
      <c r="AL76" s="614"/>
      <c r="AM76" s="614"/>
      <c r="AN76" s="614"/>
      <c r="AO76" s="614"/>
      <c r="AP76" s="614"/>
      <c r="AQ76" s="614"/>
      <c r="AR76" s="618"/>
      <c r="AS76" s="614" t="s">
        <v>140</v>
      </c>
      <c r="AT76" s="618"/>
      <c r="AU76" s="622"/>
      <c r="AV76" s="622"/>
      <c r="AW76" s="622"/>
      <c r="AX76" s="622"/>
      <c r="AY76" s="622"/>
      <c r="AZ76" s="622"/>
      <c r="BA76" s="622"/>
      <c r="BB76" s="622"/>
      <c r="BC76" s="622"/>
      <c r="BD76" s="622"/>
      <c r="BE76" s="622"/>
      <c r="BF76" s="622"/>
      <c r="BG76" s="622"/>
      <c r="BH76" s="622"/>
      <c r="BI76" s="622"/>
      <c r="BJ76" s="622"/>
      <c r="BK76" s="622"/>
      <c r="BL76" s="622"/>
      <c r="BM76" s="622"/>
      <c r="BN76" s="622"/>
      <c r="BO76" s="622"/>
      <c r="BP76" s="575"/>
      <c r="BQ76" s="473"/>
      <c r="BR76" s="473"/>
      <c r="BS76" s="473"/>
      <c r="BT76" s="473"/>
      <c r="BU76" s="473"/>
      <c r="BV76" s="473"/>
      <c r="BW76" s="473"/>
      <c r="BX76" s="473"/>
      <c r="BY76" s="473"/>
      <c r="BZ76" s="473"/>
      <c r="CA76" s="473"/>
      <c r="CB76" s="473"/>
      <c r="CC76" s="473"/>
      <c r="CD76" s="473"/>
      <c r="CE76" s="473"/>
      <c r="CF76" s="473"/>
      <c r="CG76" s="473"/>
      <c r="CH76" s="473"/>
      <c r="CI76" s="473"/>
    </row>
    <row r="77" spans="1:87" ht="12.75" customHeight="1" x14ac:dyDescent="0.2">
      <c r="A77" s="614"/>
      <c r="B77" s="614"/>
      <c r="C77" s="620" t="s">
        <v>173</v>
      </c>
      <c r="D77" s="618" t="s">
        <v>131</v>
      </c>
      <c r="E77" s="618" t="s">
        <v>131</v>
      </c>
      <c r="F77" s="614"/>
      <c r="G77" s="614"/>
      <c r="H77" s="618" t="s">
        <v>131</v>
      </c>
      <c r="I77" s="618" t="s">
        <v>131</v>
      </c>
      <c r="J77" s="618" t="s">
        <v>131</v>
      </c>
      <c r="K77" s="614"/>
      <c r="L77" s="614"/>
      <c r="M77" s="614"/>
      <c r="N77" s="614"/>
      <c r="O77" s="618" t="s">
        <v>149</v>
      </c>
      <c r="P77" s="618" t="s">
        <v>149</v>
      </c>
      <c r="Q77" s="614"/>
      <c r="R77" s="614"/>
      <c r="S77" s="614"/>
      <c r="T77" s="614"/>
      <c r="U77" s="614"/>
      <c r="V77" s="614"/>
      <c r="W77" s="614"/>
      <c r="X77" s="614"/>
      <c r="Y77" s="614"/>
      <c r="Z77" s="614"/>
      <c r="AA77" s="614">
        <f t="shared" si="40"/>
        <v>3</v>
      </c>
      <c r="AB77" s="256" t="s">
        <v>230</v>
      </c>
      <c r="AC77" s="614"/>
      <c r="AD77" s="614"/>
      <c r="AE77" s="614"/>
      <c r="AF77" s="614"/>
      <c r="AG77" s="614"/>
      <c r="AH77" s="614"/>
      <c r="AI77" s="614"/>
      <c r="AJ77" s="614"/>
      <c r="AK77" s="614"/>
      <c r="AL77" s="614"/>
      <c r="AM77" s="614"/>
      <c r="AN77" s="614"/>
      <c r="AO77" s="614"/>
      <c r="AP77" s="614"/>
      <c r="AQ77" s="614"/>
      <c r="AR77" s="614"/>
      <c r="AS77" s="614" t="s">
        <v>143</v>
      </c>
      <c r="AT77" s="618">
        <v>50</v>
      </c>
      <c r="AU77" s="622"/>
      <c r="AV77" s="622"/>
      <c r="AW77" s="622"/>
      <c r="AX77" s="622"/>
      <c r="AY77" s="622"/>
      <c r="AZ77" s="622"/>
      <c r="BA77" s="622"/>
      <c r="BB77" s="622"/>
      <c r="BC77" s="622"/>
      <c r="BD77" s="622"/>
      <c r="BE77" s="622"/>
      <c r="BF77" s="622"/>
      <c r="BG77" s="622"/>
      <c r="BH77" s="622"/>
      <c r="BI77" s="622"/>
      <c r="BJ77" s="622"/>
      <c r="BK77" s="622"/>
      <c r="BL77" s="622"/>
      <c r="BM77" s="622"/>
      <c r="BN77" s="622"/>
      <c r="BO77" s="622"/>
      <c r="BP77" s="575"/>
      <c r="BQ77" s="473"/>
      <c r="BR77" s="473"/>
      <c r="BS77" s="473"/>
      <c r="BT77" s="473"/>
      <c r="BU77" s="473"/>
      <c r="BV77" s="473"/>
      <c r="BW77" s="473"/>
      <c r="BX77" s="473"/>
      <c r="BY77" s="473"/>
      <c r="BZ77" s="473"/>
      <c r="CA77" s="473"/>
      <c r="CB77" s="473"/>
      <c r="CC77" s="473"/>
      <c r="CD77" s="473"/>
      <c r="CE77" s="473"/>
      <c r="CF77" s="473"/>
      <c r="CG77" s="473"/>
      <c r="CH77" s="473"/>
      <c r="CI77" s="473"/>
    </row>
    <row r="78" spans="1:87" ht="12.75" customHeight="1" x14ac:dyDescent="0.2">
      <c r="A78" s="614"/>
      <c r="B78" s="614"/>
      <c r="C78" s="620" t="s">
        <v>99</v>
      </c>
      <c r="D78" s="618" t="s">
        <v>131</v>
      </c>
      <c r="E78" s="618" t="s">
        <v>131</v>
      </c>
      <c r="F78" s="618"/>
      <c r="G78" s="618"/>
      <c r="H78" s="618" t="s">
        <v>131</v>
      </c>
      <c r="I78" s="618" t="s">
        <v>131</v>
      </c>
      <c r="J78" s="618" t="s">
        <v>131</v>
      </c>
      <c r="K78" s="618"/>
      <c r="L78" s="618"/>
      <c r="M78" s="618"/>
      <c r="N78" s="621"/>
      <c r="O78" s="618" t="s">
        <v>131</v>
      </c>
      <c r="P78" s="618" t="s">
        <v>131</v>
      </c>
      <c r="Q78" s="614"/>
      <c r="R78" s="614"/>
      <c r="S78" s="614"/>
      <c r="T78" s="614"/>
      <c r="U78" s="614"/>
      <c r="V78" s="614"/>
      <c r="W78" s="614"/>
      <c r="X78" s="614"/>
      <c r="Y78" s="614"/>
      <c r="Z78" s="614"/>
      <c r="AA78" s="614">
        <f t="shared" si="40"/>
        <v>4</v>
      </c>
      <c r="AB78" s="256" t="s">
        <v>231</v>
      </c>
      <c r="AC78" s="614"/>
      <c r="AD78" s="614"/>
      <c r="AE78" s="614"/>
      <c r="AF78" s="614"/>
      <c r="AG78" s="614"/>
      <c r="AH78" s="614"/>
      <c r="AI78" s="614"/>
      <c r="AJ78" s="614"/>
      <c r="AK78" s="614"/>
      <c r="AL78" s="614"/>
      <c r="AM78" s="614"/>
      <c r="AN78" s="614"/>
      <c r="AO78" s="614"/>
      <c r="AP78" s="614"/>
      <c r="AQ78" s="614"/>
      <c r="AR78" s="618"/>
      <c r="AS78" s="614" t="s">
        <v>146</v>
      </c>
      <c r="AT78" s="618">
        <v>25</v>
      </c>
      <c r="AU78" s="622"/>
      <c r="AV78" s="622"/>
      <c r="AW78" s="622"/>
      <c r="AX78" s="622"/>
      <c r="AY78" s="622"/>
      <c r="AZ78" s="622"/>
      <c r="BA78" s="622"/>
      <c r="BB78" s="622"/>
      <c r="BC78" s="622"/>
      <c r="BD78" s="622"/>
      <c r="BE78" s="622"/>
      <c r="BF78" s="622"/>
      <c r="BG78" s="622"/>
      <c r="BH78" s="622"/>
      <c r="BI78" s="622"/>
      <c r="BJ78" s="622"/>
      <c r="BK78" s="622"/>
      <c r="BL78" s="622"/>
      <c r="BM78" s="622"/>
      <c r="BN78" s="622"/>
      <c r="BO78" s="622"/>
      <c r="BP78" s="575"/>
      <c r="BQ78" s="473"/>
      <c r="BR78" s="473"/>
      <c r="BS78" s="473"/>
      <c r="BT78" s="473"/>
      <c r="BU78" s="473"/>
      <c r="BV78" s="473"/>
      <c r="BW78" s="473"/>
      <c r="BX78" s="473"/>
      <c r="BY78" s="473"/>
      <c r="BZ78" s="473"/>
      <c r="CA78" s="473"/>
      <c r="CB78" s="473"/>
      <c r="CC78" s="473"/>
      <c r="CD78" s="473"/>
      <c r="CE78" s="473"/>
      <c r="CF78" s="473"/>
      <c r="CG78" s="473"/>
      <c r="CH78" s="473"/>
      <c r="CI78" s="473"/>
    </row>
    <row r="79" spans="1:87" ht="12.75" customHeight="1" x14ac:dyDescent="0.2">
      <c r="A79" s="614"/>
      <c r="B79" s="614"/>
      <c r="C79" s="620" t="s">
        <v>100</v>
      </c>
      <c r="D79" s="618" t="s">
        <v>131</v>
      </c>
      <c r="E79" s="618" t="s">
        <v>131</v>
      </c>
      <c r="F79" s="618"/>
      <c r="G79" s="618"/>
      <c r="H79" s="618"/>
      <c r="I79" s="618"/>
      <c r="J79" s="618"/>
      <c r="K79" s="618"/>
      <c r="L79" s="618"/>
      <c r="M79" s="618"/>
      <c r="N79" s="621">
        <v>45</v>
      </c>
      <c r="O79" s="618" t="s">
        <v>131</v>
      </c>
      <c r="P79" s="618" t="s">
        <v>131</v>
      </c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14">
        <f t="shared" si="40"/>
        <v>5</v>
      </c>
      <c r="AB79" s="614" t="s">
        <v>235</v>
      </c>
      <c r="AC79" s="614"/>
      <c r="AD79" s="614"/>
      <c r="AE79" s="614"/>
      <c r="AF79" s="614"/>
      <c r="AG79" s="614"/>
      <c r="AH79" s="614"/>
      <c r="AI79" s="614"/>
      <c r="AJ79" s="614"/>
      <c r="AK79" s="614"/>
      <c r="AL79" s="614"/>
      <c r="AM79" s="614"/>
      <c r="AN79" s="614"/>
      <c r="AO79" s="614"/>
      <c r="AP79" s="614"/>
      <c r="AQ79" s="614"/>
      <c r="AR79" s="618"/>
      <c r="AS79" s="614" t="s">
        <v>149</v>
      </c>
      <c r="AT79" s="618"/>
      <c r="AU79" s="622"/>
      <c r="AV79" s="622"/>
      <c r="AW79" s="622"/>
      <c r="AX79" s="622"/>
      <c r="AY79" s="622"/>
      <c r="AZ79" s="622"/>
      <c r="BA79" s="622"/>
      <c r="BB79" s="622"/>
      <c r="BC79" s="622"/>
      <c r="BD79" s="622"/>
      <c r="BE79" s="622"/>
      <c r="BF79" s="622"/>
      <c r="BG79" s="622"/>
      <c r="BH79" s="622"/>
      <c r="BI79" s="622"/>
      <c r="BJ79" s="622"/>
      <c r="BK79" s="622"/>
      <c r="BL79" s="622"/>
      <c r="BM79" s="622"/>
      <c r="BN79" s="622"/>
      <c r="BO79" s="622"/>
      <c r="BP79" s="575"/>
      <c r="BQ79" s="473"/>
      <c r="BR79" s="473"/>
      <c r="BS79" s="473"/>
      <c r="BT79" s="473"/>
      <c r="BU79" s="473"/>
      <c r="BV79" s="473"/>
      <c r="BW79" s="473"/>
      <c r="BX79" s="473"/>
      <c r="BY79" s="473"/>
      <c r="BZ79" s="473"/>
      <c r="CA79" s="473"/>
      <c r="CB79" s="473"/>
      <c r="CC79" s="473"/>
      <c r="CD79" s="473"/>
      <c r="CE79" s="473"/>
      <c r="CF79" s="473"/>
      <c r="CG79" s="473"/>
      <c r="CH79" s="473"/>
      <c r="CI79" s="473"/>
    </row>
    <row r="80" spans="1:87" ht="12.75" customHeight="1" x14ac:dyDescent="0.2">
      <c r="A80" s="614"/>
      <c r="B80" s="614"/>
      <c r="C80" s="620" t="s">
        <v>101</v>
      </c>
      <c r="D80" s="618" t="s">
        <v>131</v>
      </c>
      <c r="E80" s="618" t="s">
        <v>131</v>
      </c>
      <c r="F80" s="618"/>
      <c r="G80" s="618"/>
      <c r="H80" s="618"/>
      <c r="I80" s="618"/>
      <c r="J80" s="618" t="s">
        <v>131</v>
      </c>
      <c r="K80" s="618"/>
      <c r="L80" s="618"/>
      <c r="M80" s="618"/>
      <c r="N80" s="621"/>
      <c r="O80" s="618" t="s">
        <v>158</v>
      </c>
      <c r="P80" s="618"/>
      <c r="Q80" s="614"/>
      <c r="R80" s="614"/>
      <c r="S80" s="614"/>
      <c r="T80" s="614"/>
      <c r="U80" s="614"/>
      <c r="V80" s="614"/>
      <c r="W80" s="614"/>
      <c r="X80" s="614"/>
      <c r="Y80" s="614"/>
      <c r="Z80" s="614"/>
      <c r="AA80" s="614">
        <f t="shared" si="40"/>
        <v>6</v>
      </c>
      <c r="AB80" s="614"/>
      <c r="AC80" s="614"/>
      <c r="AD80" s="614"/>
      <c r="AE80" s="614"/>
      <c r="AF80" s="614"/>
      <c r="AG80" s="614"/>
      <c r="AH80" s="614"/>
      <c r="AI80" s="614"/>
      <c r="AJ80" s="614"/>
      <c r="AK80" s="614"/>
      <c r="AL80" s="614"/>
      <c r="AM80" s="614"/>
      <c r="AN80" s="614"/>
      <c r="AO80" s="614"/>
      <c r="AP80" s="614"/>
      <c r="AQ80" s="614"/>
      <c r="AR80" s="618"/>
      <c r="AS80" s="614" t="s">
        <v>138</v>
      </c>
      <c r="AT80" s="618"/>
      <c r="AU80" s="622"/>
      <c r="AV80" s="622"/>
      <c r="AW80" s="622"/>
      <c r="AX80" s="622"/>
      <c r="AY80" s="622"/>
      <c r="AZ80" s="622"/>
      <c r="BA80" s="622"/>
      <c r="BB80" s="622"/>
      <c r="BC80" s="622"/>
      <c r="BD80" s="622"/>
      <c r="BE80" s="622"/>
      <c r="BF80" s="622"/>
      <c r="BG80" s="622"/>
      <c r="BH80" s="622"/>
      <c r="BI80" s="622"/>
      <c r="BJ80" s="622"/>
      <c r="BK80" s="622"/>
      <c r="BL80" s="622"/>
      <c r="BM80" s="622"/>
      <c r="BN80" s="622"/>
      <c r="BO80" s="622"/>
      <c r="BP80" s="575"/>
      <c r="BQ80" s="473"/>
      <c r="BR80" s="473"/>
      <c r="BS80" s="473"/>
      <c r="BT80" s="473"/>
      <c r="BU80" s="473"/>
      <c r="BV80" s="473"/>
      <c r="BW80" s="473"/>
      <c r="BX80" s="473"/>
      <c r="BY80" s="473"/>
      <c r="BZ80" s="473"/>
      <c r="CA80" s="473"/>
      <c r="CB80" s="473"/>
      <c r="CC80" s="473"/>
      <c r="CD80" s="473"/>
      <c r="CE80" s="473"/>
      <c r="CF80" s="473"/>
      <c r="CG80" s="473"/>
      <c r="CH80" s="473"/>
      <c r="CI80" s="473"/>
    </row>
    <row r="81" spans="1:87" ht="12.75" customHeight="1" x14ac:dyDescent="0.2">
      <c r="A81" s="614"/>
      <c r="B81" s="614"/>
      <c r="C81" s="620" t="s">
        <v>34</v>
      </c>
      <c r="D81" s="618" t="s">
        <v>131</v>
      </c>
      <c r="E81" s="618" t="s">
        <v>131</v>
      </c>
      <c r="F81" s="618" t="s">
        <v>131</v>
      </c>
      <c r="G81" s="618"/>
      <c r="H81" s="618"/>
      <c r="I81" s="618"/>
      <c r="J81" s="618" t="s">
        <v>131</v>
      </c>
      <c r="K81" s="618"/>
      <c r="L81" s="618"/>
      <c r="M81" s="618"/>
      <c r="N81" s="621"/>
      <c r="O81" s="618" t="s">
        <v>131</v>
      </c>
      <c r="P81" s="618" t="s">
        <v>131</v>
      </c>
      <c r="Q81" s="614"/>
      <c r="R81" s="614"/>
      <c r="S81" s="614"/>
      <c r="T81" s="614"/>
      <c r="U81" s="614"/>
      <c r="V81" s="614"/>
      <c r="W81" s="614"/>
      <c r="X81" s="614"/>
      <c r="Y81" s="614"/>
      <c r="Z81" s="614"/>
      <c r="AA81" s="614">
        <f t="shared" si="40"/>
        <v>7</v>
      </c>
      <c r="AB81" s="614"/>
      <c r="AC81" s="614"/>
      <c r="AD81" s="614"/>
      <c r="AE81" s="614"/>
      <c r="AF81" s="614"/>
      <c r="AG81" s="614"/>
      <c r="AH81" s="614"/>
      <c r="AI81" s="614"/>
      <c r="AJ81" s="614"/>
      <c r="AK81" s="614"/>
      <c r="AL81" s="614"/>
      <c r="AM81" s="614"/>
      <c r="AN81" s="614"/>
      <c r="AO81" s="614"/>
      <c r="AP81" s="614"/>
      <c r="AQ81" s="614"/>
      <c r="AR81" s="614"/>
      <c r="AS81" s="614" t="s">
        <v>147</v>
      </c>
      <c r="AT81" s="618">
        <v>0</v>
      </c>
      <c r="AU81" s="622"/>
      <c r="AV81" s="622"/>
      <c r="AW81" s="622"/>
      <c r="AX81" s="622"/>
      <c r="AY81" s="622"/>
      <c r="AZ81" s="622"/>
      <c r="BA81" s="622"/>
      <c r="BB81" s="622"/>
      <c r="BC81" s="622"/>
      <c r="BD81" s="622"/>
      <c r="BE81" s="622"/>
      <c r="BF81" s="622"/>
      <c r="BG81" s="622"/>
      <c r="BH81" s="622"/>
      <c r="BI81" s="622"/>
      <c r="BJ81" s="622"/>
      <c r="BK81" s="622"/>
      <c r="BL81" s="622"/>
      <c r="BM81" s="622"/>
      <c r="BN81" s="622"/>
      <c r="BO81" s="622"/>
      <c r="BP81" s="575"/>
      <c r="BQ81" s="473"/>
      <c r="BR81" s="473"/>
      <c r="BS81" s="473"/>
      <c r="BT81" s="473"/>
      <c r="BU81" s="473"/>
      <c r="BV81" s="473"/>
      <c r="BW81" s="473"/>
      <c r="BX81" s="473"/>
      <c r="BY81" s="473"/>
      <c r="BZ81" s="473"/>
      <c r="CA81" s="473"/>
      <c r="CB81" s="473"/>
      <c r="CC81" s="473"/>
      <c r="CD81" s="473"/>
      <c r="CE81" s="473"/>
      <c r="CF81" s="473"/>
      <c r="CG81" s="473"/>
      <c r="CH81" s="473"/>
      <c r="CI81" s="473"/>
    </row>
    <row r="82" spans="1:87" ht="12.75" customHeight="1" x14ac:dyDescent="0.2">
      <c r="A82" s="614"/>
      <c r="B82" s="614"/>
      <c r="C82" s="620" t="s">
        <v>102</v>
      </c>
      <c r="D82" s="618" t="s">
        <v>131</v>
      </c>
      <c r="E82" s="618" t="s">
        <v>131</v>
      </c>
      <c r="F82" s="618" t="s">
        <v>131</v>
      </c>
      <c r="G82" s="618" t="s">
        <v>131</v>
      </c>
      <c r="H82" s="618" t="s">
        <v>131</v>
      </c>
      <c r="I82" s="618" t="s">
        <v>131</v>
      </c>
      <c r="J82" s="618" t="s">
        <v>131</v>
      </c>
      <c r="K82" s="618"/>
      <c r="L82" s="618"/>
      <c r="M82" s="618"/>
      <c r="N82" s="621"/>
      <c r="O82" s="618" t="s">
        <v>131</v>
      </c>
      <c r="P82" s="618" t="s">
        <v>131</v>
      </c>
      <c r="Q82" s="625"/>
      <c r="R82" s="625"/>
      <c r="S82" s="614"/>
      <c r="T82" s="614"/>
      <c r="U82" s="614"/>
      <c r="V82" s="614"/>
      <c r="W82" s="614"/>
      <c r="X82" s="614"/>
      <c r="Y82" s="614"/>
      <c r="Z82" s="614"/>
      <c r="AA82" s="614">
        <f t="shared" si="40"/>
        <v>8</v>
      </c>
      <c r="AB82" s="614"/>
      <c r="AC82" s="614"/>
      <c r="AD82" s="614"/>
      <c r="AE82" s="614"/>
      <c r="AF82" s="614"/>
      <c r="AG82" s="614"/>
      <c r="AH82" s="614"/>
      <c r="AI82" s="614"/>
      <c r="AJ82" s="614"/>
      <c r="AK82" s="614"/>
      <c r="AL82" s="614"/>
      <c r="AM82" s="614"/>
      <c r="AN82" s="614"/>
      <c r="AO82" s="614"/>
      <c r="AP82" s="614"/>
      <c r="AQ82" s="614"/>
      <c r="AR82" s="618"/>
      <c r="AS82" s="614" t="s">
        <v>132</v>
      </c>
      <c r="AT82" s="618">
        <v>60</v>
      </c>
      <c r="AU82" s="622"/>
      <c r="AV82" s="622"/>
      <c r="AW82" s="622"/>
      <c r="AX82" s="622"/>
      <c r="AY82" s="622"/>
      <c r="AZ82" s="622"/>
      <c r="BA82" s="622"/>
      <c r="BB82" s="622"/>
      <c r="BC82" s="622"/>
      <c r="BD82" s="622"/>
      <c r="BE82" s="622"/>
      <c r="BF82" s="622"/>
      <c r="BG82" s="622"/>
      <c r="BH82" s="622"/>
      <c r="BI82" s="622"/>
      <c r="BJ82" s="622"/>
      <c r="BK82" s="622"/>
      <c r="BL82" s="622"/>
      <c r="BM82" s="622"/>
      <c r="BN82" s="622"/>
      <c r="BO82" s="622"/>
      <c r="BP82" s="575"/>
      <c r="BQ82" s="473"/>
      <c r="BR82" s="473"/>
      <c r="BS82" s="473"/>
      <c r="BT82" s="473"/>
      <c r="BU82" s="473"/>
      <c r="BV82" s="473"/>
      <c r="BW82" s="473"/>
      <c r="BX82" s="473"/>
      <c r="BY82" s="473"/>
      <c r="BZ82" s="473"/>
      <c r="CA82" s="473"/>
      <c r="CB82" s="473"/>
      <c r="CC82" s="473"/>
      <c r="CD82" s="473"/>
      <c r="CE82" s="473"/>
      <c r="CF82" s="473"/>
      <c r="CG82" s="473"/>
      <c r="CH82" s="473"/>
      <c r="CI82" s="473"/>
    </row>
    <row r="83" spans="1:87" ht="12.75" customHeight="1" x14ac:dyDescent="0.2">
      <c r="A83" s="614"/>
      <c r="B83" s="614"/>
      <c r="C83" s="620" t="s">
        <v>103</v>
      </c>
      <c r="D83" s="618" t="s">
        <v>131</v>
      </c>
      <c r="E83" s="618" t="s">
        <v>131</v>
      </c>
      <c r="F83" s="618"/>
      <c r="G83" s="618"/>
      <c r="H83" s="618"/>
      <c r="I83" s="618"/>
      <c r="J83" s="618"/>
      <c r="K83" s="618"/>
      <c r="L83" s="618"/>
      <c r="M83" s="618"/>
      <c r="N83" s="621"/>
      <c r="O83" s="618" t="s">
        <v>162</v>
      </c>
      <c r="P83" s="618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>
        <f t="shared" si="40"/>
        <v>9</v>
      </c>
      <c r="AB83" s="614"/>
      <c r="AC83" s="614"/>
      <c r="AD83" s="614"/>
      <c r="AE83" s="614"/>
      <c r="AF83" s="614"/>
      <c r="AG83" s="614"/>
      <c r="AH83" s="614"/>
      <c r="AI83" s="614"/>
      <c r="AJ83" s="614"/>
      <c r="AK83" s="614"/>
      <c r="AL83" s="614"/>
      <c r="AM83" s="614"/>
      <c r="AN83" s="614"/>
      <c r="AO83" s="614"/>
      <c r="AP83" s="614"/>
      <c r="AQ83" s="619"/>
      <c r="AR83" s="614"/>
      <c r="AS83" s="619" t="s">
        <v>129</v>
      </c>
      <c r="AT83" s="618">
        <v>15</v>
      </c>
      <c r="AU83" s="622"/>
      <c r="AV83" s="622"/>
      <c r="AW83" s="622"/>
      <c r="AX83" s="622"/>
      <c r="AY83" s="622"/>
      <c r="AZ83" s="622"/>
      <c r="BA83" s="622"/>
      <c r="BB83" s="622"/>
      <c r="BC83" s="622"/>
      <c r="BD83" s="622"/>
      <c r="BE83" s="622"/>
      <c r="BF83" s="622"/>
      <c r="BG83" s="622"/>
      <c r="BH83" s="622"/>
      <c r="BI83" s="622"/>
      <c r="BJ83" s="622"/>
      <c r="BK83" s="622"/>
      <c r="BL83" s="622"/>
      <c r="BM83" s="622"/>
      <c r="BN83" s="622"/>
      <c r="BO83" s="622"/>
      <c r="BP83" s="575"/>
      <c r="BQ83" s="473"/>
      <c r="BR83" s="473"/>
      <c r="BS83" s="473"/>
      <c r="BT83" s="473"/>
      <c r="BU83" s="473"/>
      <c r="BV83" s="473"/>
      <c r="BW83" s="473"/>
      <c r="BX83" s="473"/>
      <c r="BY83" s="473"/>
      <c r="BZ83" s="473"/>
      <c r="CA83" s="473"/>
      <c r="CB83" s="473"/>
      <c r="CC83" s="473"/>
      <c r="CD83" s="473"/>
      <c r="CE83" s="473"/>
      <c r="CF83" s="473"/>
      <c r="CG83" s="473"/>
      <c r="CH83" s="473"/>
      <c r="CI83" s="473"/>
    </row>
    <row r="84" spans="1:87" ht="12.75" customHeight="1" x14ac:dyDescent="0.2">
      <c r="A84" s="614"/>
      <c r="B84" s="614"/>
      <c r="C84" s="620" t="s">
        <v>104</v>
      </c>
      <c r="D84" s="618" t="s">
        <v>131</v>
      </c>
      <c r="E84" s="618" t="s">
        <v>131</v>
      </c>
      <c r="F84" s="618"/>
      <c r="G84" s="618" t="s">
        <v>174</v>
      </c>
      <c r="H84" s="618"/>
      <c r="I84" s="618"/>
      <c r="J84" s="618" t="s">
        <v>131</v>
      </c>
      <c r="K84" s="618"/>
      <c r="L84" s="618"/>
      <c r="M84" s="618" t="s">
        <v>131</v>
      </c>
      <c r="N84" s="621"/>
      <c r="O84" s="618" t="s">
        <v>131</v>
      </c>
      <c r="P84" s="618" t="s">
        <v>138</v>
      </c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14">
        <f t="shared" si="40"/>
        <v>10</v>
      </c>
      <c r="AB84" s="614"/>
      <c r="AC84" s="614"/>
      <c r="AD84" s="614"/>
      <c r="AE84" s="614"/>
      <c r="AF84" s="614"/>
      <c r="AG84" s="614"/>
      <c r="AH84" s="614"/>
      <c r="AI84" s="614"/>
      <c r="AJ84" s="614"/>
      <c r="AK84" s="614"/>
      <c r="AL84" s="614"/>
      <c r="AM84" s="614"/>
      <c r="AN84" s="614"/>
      <c r="AO84" s="614"/>
      <c r="AP84" s="614"/>
      <c r="AQ84" s="614"/>
      <c r="AR84" s="614"/>
      <c r="AS84" s="614" t="s">
        <v>158</v>
      </c>
      <c r="AT84" s="618">
        <v>25</v>
      </c>
      <c r="AU84" s="622"/>
      <c r="AV84" s="622"/>
      <c r="AW84" s="622"/>
      <c r="AX84" s="622"/>
      <c r="AY84" s="622"/>
      <c r="AZ84" s="622"/>
      <c r="BA84" s="622"/>
      <c r="BB84" s="622"/>
      <c r="BC84" s="622"/>
      <c r="BD84" s="622"/>
      <c r="BE84" s="622"/>
      <c r="BF84" s="622"/>
      <c r="BG84" s="622"/>
      <c r="BH84" s="622"/>
      <c r="BI84" s="622"/>
      <c r="BJ84" s="622"/>
      <c r="BK84" s="622"/>
      <c r="BL84" s="622"/>
      <c r="BM84" s="622"/>
      <c r="BN84" s="622"/>
      <c r="BO84" s="622"/>
      <c r="BP84" s="575"/>
      <c r="BQ84" s="473"/>
      <c r="BR84" s="473"/>
      <c r="BS84" s="473"/>
      <c r="BT84" s="473"/>
      <c r="BU84" s="473"/>
      <c r="BV84" s="473"/>
      <c r="BW84" s="473"/>
      <c r="BX84" s="473"/>
      <c r="BY84" s="473"/>
      <c r="BZ84" s="473"/>
      <c r="CA84" s="473"/>
      <c r="CB84" s="473"/>
      <c r="CC84" s="473"/>
      <c r="CD84" s="473"/>
      <c r="CE84" s="473"/>
      <c r="CF84" s="473"/>
      <c r="CG84" s="473"/>
      <c r="CH84" s="473"/>
      <c r="CI84" s="473"/>
    </row>
    <row r="85" spans="1:87" ht="12.75" customHeight="1" x14ac:dyDescent="0.2">
      <c r="A85" s="614"/>
      <c r="B85" s="614"/>
      <c r="C85" s="620" t="s">
        <v>105</v>
      </c>
      <c r="D85" s="618" t="s">
        <v>131</v>
      </c>
      <c r="E85" s="618" t="s">
        <v>131</v>
      </c>
      <c r="F85" s="618"/>
      <c r="G85" s="618" t="s">
        <v>131</v>
      </c>
      <c r="H85" s="618" t="s">
        <v>131</v>
      </c>
      <c r="I85" s="618" t="s">
        <v>131</v>
      </c>
      <c r="J85" s="618" t="s">
        <v>131</v>
      </c>
      <c r="K85" s="618"/>
      <c r="L85" s="618"/>
      <c r="M85" s="618"/>
      <c r="N85" s="621"/>
      <c r="O85" s="618" t="s">
        <v>131</v>
      </c>
      <c r="P85" s="618" t="s">
        <v>131</v>
      </c>
      <c r="Q85" s="614"/>
      <c r="R85" s="614"/>
      <c r="S85" s="614"/>
      <c r="T85" s="614"/>
      <c r="U85" s="614"/>
      <c r="V85" s="614"/>
      <c r="W85" s="614"/>
      <c r="X85" s="614"/>
      <c r="Y85" s="614"/>
      <c r="Z85" s="614"/>
      <c r="AA85" s="614">
        <f t="shared" si="40"/>
        <v>11</v>
      </c>
      <c r="AB85" s="614"/>
      <c r="AC85" s="614"/>
      <c r="AD85" s="614"/>
      <c r="AE85" s="614"/>
      <c r="AF85" s="614"/>
      <c r="AG85" s="614"/>
      <c r="AH85" s="614"/>
      <c r="AI85" s="614"/>
      <c r="AJ85" s="614"/>
      <c r="AK85" s="614"/>
      <c r="AL85" s="614"/>
      <c r="AM85" s="614"/>
      <c r="AN85" s="614"/>
      <c r="AO85" s="614"/>
      <c r="AP85" s="614"/>
      <c r="AQ85" s="619"/>
      <c r="AR85" s="614"/>
      <c r="AS85" s="619" t="s">
        <v>135</v>
      </c>
      <c r="AT85" s="618">
        <v>30</v>
      </c>
      <c r="AU85" s="622"/>
      <c r="AV85" s="622"/>
      <c r="AW85" s="622"/>
      <c r="AX85" s="622"/>
      <c r="AY85" s="622"/>
      <c r="AZ85" s="622"/>
      <c r="BA85" s="622"/>
      <c r="BB85" s="622"/>
      <c r="BC85" s="622"/>
      <c r="BD85" s="622"/>
      <c r="BE85" s="622"/>
      <c r="BF85" s="622"/>
      <c r="BG85" s="622"/>
      <c r="BH85" s="622"/>
      <c r="BI85" s="622"/>
      <c r="BJ85" s="622"/>
      <c r="BK85" s="622"/>
      <c r="BL85" s="622"/>
      <c r="BM85" s="622"/>
      <c r="BN85" s="622"/>
      <c r="BO85" s="622"/>
      <c r="BP85" s="575"/>
      <c r="BQ85" s="473"/>
      <c r="BR85" s="473"/>
      <c r="BS85" s="473"/>
      <c r="BT85" s="473"/>
      <c r="BU85" s="473"/>
      <c r="BV85" s="473"/>
      <c r="BW85" s="473"/>
      <c r="BX85" s="473"/>
      <c r="BY85" s="473"/>
      <c r="BZ85" s="473"/>
      <c r="CA85" s="473"/>
      <c r="CB85" s="473"/>
      <c r="CC85" s="473"/>
      <c r="CD85" s="473"/>
      <c r="CE85" s="473"/>
      <c r="CF85" s="473"/>
      <c r="CG85" s="473"/>
      <c r="CH85" s="473"/>
      <c r="CI85" s="473"/>
    </row>
    <row r="86" spans="1:87" ht="12.75" customHeight="1" x14ac:dyDescent="0.2">
      <c r="A86" s="614"/>
      <c r="B86" s="614"/>
      <c r="C86" s="620" t="s">
        <v>106</v>
      </c>
      <c r="D86" s="618" t="s">
        <v>131</v>
      </c>
      <c r="E86" s="618" t="s">
        <v>131</v>
      </c>
      <c r="F86" s="618"/>
      <c r="G86" s="618"/>
      <c r="H86" s="618"/>
      <c r="I86" s="618"/>
      <c r="J86" s="618">
        <v>0.2</v>
      </c>
      <c r="K86" s="618"/>
      <c r="L86" s="618"/>
      <c r="M86" s="618"/>
      <c r="N86" s="621"/>
      <c r="O86" s="618" t="s">
        <v>131</v>
      </c>
      <c r="P86" s="618" t="s">
        <v>131</v>
      </c>
      <c r="Q86" s="614"/>
      <c r="R86" s="614"/>
      <c r="S86" s="614"/>
      <c r="T86" s="614"/>
      <c r="U86" s="614"/>
      <c r="V86" s="614"/>
      <c r="W86" s="614"/>
      <c r="X86" s="614"/>
      <c r="Y86" s="614"/>
      <c r="Z86" s="614"/>
      <c r="AA86" s="614">
        <f t="shared" si="40"/>
        <v>12</v>
      </c>
      <c r="AB86" s="614"/>
      <c r="AC86" s="614"/>
      <c r="AD86" s="614"/>
      <c r="AE86" s="614"/>
      <c r="AF86" s="614"/>
      <c r="AG86" s="614"/>
      <c r="AH86" s="614"/>
      <c r="AI86" s="614"/>
      <c r="AJ86" s="614"/>
      <c r="AK86" s="614"/>
      <c r="AL86" s="614"/>
      <c r="AM86" s="614"/>
      <c r="AN86" s="614"/>
      <c r="AO86" s="614"/>
      <c r="AP86" s="614"/>
      <c r="AQ86" s="619"/>
      <c r="AR86" s="614"/>
      <c r="AS86" s="614" t="s">
        <v>162</v>
      </c>
      <c r="AT86" s="618">
        <v>40</v>
      </c>
      <c r="AU86" s="622"/>
      <c r="AV86" s="622"/>
      <c r="AW86" s="622"/>
      <c r="AX86" s="622"/>
      <c r="AY86" s="622"/>
      <c r="AZ86" s="622"/>
      <c r="BA86" s="622"/>
      <c r="BB86" s="622"/>
      <c r="BC86" s="622"/>
      <c r="BD86" s="622"/>
      <c r="BE86" s="622"/>
      <c r="BF86" s="622"/>
      <c r="BG86" s="622"/>
      <c r="BH86" s="622"/>
      <c r="BI86" s="622"/>
      <c r="BJ86" s="622"/>
      <c r="BK86" s="622"/>
      <c r="BL86" s="622"/>
      <c r="BM86" s="622"/>
      <c r="BN86" s="622"/>
      <c r="BO86" s="622"/>
      <c r="BP86" s="575"/>
      <c r="BQ86" s="473"/>
      <c r="BR86" s="473"/>
      <c r="BS86" s="473"/>
      <c r="BT86" s="473"/>
      <c r="BU86" s="473"/>
      <c r="BV86" s="473"/>
      <c r="BW86" s="473"/>
      <c r="BX86" s="473"/>
      <c r="BY86" s="473"/>
      <c r="BZ86" s="473"/>
      <c r="CA86" s="473"/>
      <c r="CB86" s="473"/>
      <c r="CC86" s="473"/>
      <c r="CD86" s="473"/>
      <c r="CE86" s="473"/>
      <c r="CF86" s="473"/>
      <c r="CG86" s="473"/>
      <c r="CH86" s="473"/>
      <c r="CI86" s="473"/>
    </row>
    <row r="87" spans="1:87" ht="12.75" customHeight="1" x14ac:dyDescent="0.2">
      <c r="A87" s="614"/>
      <c r="B87" s="614"/>
      <c r="C87" s="620" t="s">
        <v>107</v>
      </c>
      <c r="D87" s="618" t="s">
        <v>131</v>
      </c>
      <c r="E87" s="618" t="s">
        <v>131</v>
      </c>
      <c r="F87" s="618"/>
      <c r="G87" s="618"/>
      <c r="H87" s="618"/>
      <c r="I87" s="618"/>
      <c r="J87" s="618"/>
      <c r="K87" s="618"/>
      <c r="L87" s="618"/>
      <c r="M87" s="618"/>
      <c r="N87" s="621"/>
      <c r="O87" s="618" t="s">
        <v>131</v>
      </c>
      <c r="P87" s="618" t="s">
        <v>132</v>
      </c>
      <c r="Q87" s="614"/>
      <c r="R87" s="614"/>
      <c r="S87" s="614"/>
      <c r="T87" s="614"/>
      <c r="U87" s="614"/>
      <c r="V87" s="614"/>
      <c r="W87" s="614"/>
      <c r="X87" s="614"/>
      <c r="Y87" s="614"/>
      <c r="Z87" s="614"/>
      <c r="AA87" s="614">
        <f t="shared" si="40"/>
        <v>13</v>
      </c>
      <c r="AB87" s="614"/>
      <c r="AC87" s="614"/>
      <c r="AD87" s="614"/>
      <c r="AE87" s="614"/>
      <c r="AF87" s="614"/>
      <c r="AG87" s="614"/>
      <c r="AH87" s="614"/>
      <c r="AI87" s="614"/>
      <c r="AJ87" s="614"/>
      <c r="AK87" s="614"/>
      <c r="AL87" s="614"/>
      <c r="AM87" s="614"/>
      <c r="AN87" s="614"/>
      <c r="AO87" s="614"/>
      <c r="AP87" s="614"/>
      <c r="AQ87" s="619"/>
      <c r="AR87" s="614"/>
      <c r="AS87" s="614" t="s">
        <v>164</v>
      </c>
      <c r="AT87" s="618">
        <v>50</v>
      </c>
      <c r="AU87" s="622"/>
      <c r="AV87" s="622"/>
      <c r="AW87" s="622"/>
      <c r="AX87" s="622"/>
      <c r="AY87" s="622"/>
      <c r="AZ87" s="622"/>
      <c r="BA87" s="622"/>
      <c r="BB87" s="622"/>
      <c r="BC87" s="622"/>
      <c r="BD87" s="622"/>
      <c r="BE87" s="622"/>
      <c r="BF87" s="622"/>
      <c r="BG87" s="622"/>
      <c r="BH87" s="622"/>
      <c r="BI87" s="622"/>
      <c r="BJ87" s="622"/>
      <c r="BK87" s="622"/>
      <c r="BL87" s="622"/>
      <c r="BM87" s="622"/>
      <c r="BN87" s="622"/>
      <c r="BO87" s="622"/>
      <c r="BP87" s="575"/>
      <c r="BQ87" s="473"/>
      <c r="BR87" s="473"/>
      <c r="BS87" s="473"/>
      <c r="BT87" s="473"/>
      <c r="BU87" s="473"/>
      <c r="BV87" s="473"/>
      <c r="BW87" s="473"/>
      <c r="BX87" s="473"/>
      <c r="BY87" s="473"/>
      <c r="BZ87" s="473"/>
      <c r="CA87" s="473"/>
      <c r="CB87" s="473"/>
      <c r="CC87" s="473"/>
      <c r="CD87" s="473"/>
      <c r="CE87" s="473"/>
      <c r="CF87" s="473"/>
      <c r="CG87" s="473"/>
      <c r="CH87" s="473"/>
      <c r="CI87" s="473"/>
    </row>
    <row r="88" spans="1:87" ht="12.75" customHeight="1" x14ac:dyDescent="0.2">
      <c r="A88" s="614"/>
      <c r="B88" s="614"/>
      <c r="C88" s="620" t="s">
        <v>108</v>
      </c>
      <c r="D88" s="618" t="s">
        <v>131</v>
      </c>
      <c r="E88" s="618" t="s">
        <v>131</v>
      </c>
      <c r="F88" s="618"/>
      <c r="G88" s="618"/>
      <c r="H88" s="618"/>
      <c r="I88" s="618"/>
      <c r="J88" s="618">
        <v>0.1</v>
      </c>
      <c r="K88" s="618"/>
      <c r="L88" s="618"/>
      <c r="M88" s="618"/>
      <c r="N88" s="621"/>
      <c r="O88" s="618" t="s">
        <v>131</v>
      </c>
      <c r="P88" s="618" t="s">
        <v>155</v>
      </c>
      <c r="Q88" s="614"/>
      <c r="R88" s="614"/>
      <c r="S88" s="614"/>
      <c r="T88" s="614"/>
      <c r="U88" s="614"/>
      <c r="V88" s="614"/>
      <c r="W88" s="614"/>
      <c r="X88" s="614"/>
      <c r="Y88" s="614"/>
      <c r="Z88" s="614"/>
      <c r="AA88" s="614">
        <f t="shared" si="40"/>
        <v>14</v>
      </c>
      <c r="AB88" s="614"/>
      <c r="AC88" s="614"/>
      <c r="AD88" s="614"/>
      <c r="AE88" s="614"/>
      <c r="AF88" s="614"/>
      <c r="AG88" s="614"/>
      <c r="AH88" s="614"/>
      <c r="AI88" s="614"/>
      <c r="AJ88" s="614"/>
      <c r="AK88" s="614"/>
      <c r="AL88" s="614"/>
      <c r="AM88" s="614"/>
      <c r="AN88" s="614"/>
      <c r="AO88" s="614"/>
      <c r="AP88" s="614"/>
      <c r="AQ88" s="619"/>
      <c r="AR88" s="614"/>
      <c r="AS88" s="614" t="s">
        <v>137</v>
      </c>
      <c r="AT88" s="618">
        <v>50</v>
      </c>
      <c r="AU88" s="622"/>
      <c r="AV88" s="622"/>
      <c r="AW88" s="622"/>
      <c r="AX88" s="622"/>
      <c r="AY88" s="622"/>
      <c r="AZ88" s="622"/>
      <c r="BA88" s="622"/>
      <c r="BB88" s="622"/>
      <c r="BC88" s="622"/>
      <c r="BD88" s="622"/>
      <c r="BE88" s="622"/>
      <c r="BF88" s="622"/>
      <c r="BG88" s="622"/>
      <c r="BH88" s="622"/>
      <c r="BI88" s="622"/>
      <c r="BJ88" s="622"/>
      <c r="BK88" s="622"/>
      <c r="BL88" s="622"/>
      <c r="BM88" s="622"/>
      <c r="BN88" s="622"/>
      <c r="BO88" s="622"/>
      <c r="BP88" s="575"/>
      <c r="BQ88" s="473"/>
      <c r="BR88" s="473"/>
      <c r="BS88" s="473"/>
      <c r="BT88" s="473"/>
      <c r="BU88" s="473"/>
      <c r="BV88" s="473"/>
      <c r="BW88" s="473"/>
      <c r="BX88" s="473"/>
      <c r="BY88" s="473"/>
      <c r="BZ88" s="473"/>
      <c r="CA88" s="473"/>
      <c r="CB88" s="473"/>
      <c r="CC88" s="473"/>
      <c r="CD88" s="473"/>
      <c r="CE88" s="473"/>
      <c r="CF88" s="473"/>
      <c r="CG88" s="473"/>
      <c r="CH88" s="473"/>
      <c r="CI88" s="473"/>
    </row>
    <row r="89" spans="1:87" ht="12.75" customHeight="1" x14ac:dyDescent="0.2">
      <c r="A89" s="614"/>
      <c r="B89" s="614"/>
      <c r="C89" s="620" t="s">
        <v>109</v>
      </c>
      <c r="D89" s="618" t="s">
        <v>131</v>
      </c>
      <c r="E89" s="618" t="s">
        <v>131</v>
      </c>
      <c r="F89" s="618"/>
      <c r="G89" s="618"/>
      <c r="H89" s="618"/>
      <c r="I89" s="618"/>
      <c r="J89" s="618">
        <v>0.1</v>
      </c>
      <c r="K89" s="618"/>
      <c r="L89" s="618"/>
      <c r="M89" s="618"/>
      <c r="N89" s="621"/>
      <c r="O89" s="618" t="s">
        <v>131</v>
      </c>
      <c r="P89" s="618" t="s">
        <v>155</v>
      </c>
      <c r="Q89" s="614"/>
      <c r="R89" s="614"/>
      <c r="S89" s="614"/>
      <c r="T89" s="614"/>
      <c r="U89" s="614"/>
      <c r="V89" s="614"/>
      <c r="W89" s="614"/>
      <c r="X89" s="614"/>
      <c r="Y89" s="614"/>
      <c r="Z89" s="614"/>
      <c r="AA89" s="614">
        <f t="shared" si="40"/>
        <v>15</v>
      </c>
      <c r="AB89" s="614"/>
      <c r="AC89" s="614"/>
      <c r="AD89" s="614"/>
      <c r="AE89" s="614"/>
      <c r="AF89" s="614"/>
      <c r="AG89" s="614"/>
      <c r="AH89" s="614"/>
      <c r="AI89" s="614"/>
      <c r="AJ89" s="614"/>
      <c r="AK89" s="614"/>
      <c r="AL89" s="614"/>
      <c r="AM89" s="614"/>
      <c r="AN89" s="614"/>
      <c r="AO89" s="614"/>
      <c r="AP89" s="614"/>
      <c r="AQ89" s="619"/>
      <c r="AR89" s="614"/>
      <c r="AS89" s="614" t="s">
        <v>152</v>
      </c>
      <c r="AT89" s="623">
        <v>50</v>
      </c>
      <c r="AU89" s="622"/>
      <c r="AV89" s="622"/>
      <c r="AW89" s="622"/>
      <c r="AX89" s="622"/>
      <c r="AY89" s="622"/>
      <c r="AZ89" s="622"/>
      <c r="BA89" s="622"/>
      <c r="BB89" s="622"/>
      <c r="BC89" s="622"/>
      <c r="BD89" s="622"/>
      <c r="BE89" s="622"/>
      <c r="BF89" s="622"/>
      <c r="BG89" s="622"/>
      <c r="BH89" s="622"/>
      <c r="BI89" s="622"/>
      <c r="BJ89" s="622"/>
      <c r="BK89" s="622"/>
      <c r="BL89" s="622"/>
      <c r="BM89" s="622"/>
      <c r="BN89" s="622"/>
      <c r="BO89" s="622"/>
      <c r="BP89" s="575"/>
      <c r="BQ89" s="473"/>
      <c r="BR89" s="473"/>
      <c r="BS89" s="473"/>
      <c r="BT89" s="473"/>
      <c r="BU89" s="473"/>
      <c r="BV89" s="473"/>
      <c r="BW89" s="473"/>
      <c r="BX89" s="473"/>
      <c r="BY89" s="473"/>
      <c r="BZ89" s="473"/>
      <c r="CA89" s="473"/>
      <c r="CB89" s="473"/>
      <c r="CC89" s="473"/>
      <c r="CD89" s="473"/>
      <c r="CE89" s="473"/>
      <c r="CF89" s="473"/>
      <c r="CG89" s="473"/>
      <c r="CH89" s="473"/>
      <c r="CI89" s="473"/>
    </row>
    <row r="90" spans="1:87" ht="12.75" customHeight="1" x14ac:dyDescent="0.2">
      <c r="A90" s="614"/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14">
        <f t="shared" si="40"/>
        <v>16</v>
      </c>
      <c r="AB90" s="614"/>
      <c r="AC90" s="614"/>
      <c r="AD90" s="614"/>
      <c r="AE90" s="614"/>
      <c r="AF90" s="614"/>
      <c r="AG90" s="614"/>
      <c r="AH90" s="614"/>
      <c r="AI90" s="614"/>
      <c r="AJ90" s="614"/>
      <c r="AK90" s="614"/>
      <c r="AL90" s="614"/>
      <c r="AM90" s="614"/>
      <c r="AN90" s="614"/>
      <c r="AO90" s="614"/>
      <c r="AP90" s="614"/>
      <c r="AQ90" s="619"/>
      <c r="AR90" s="614"/>
      <c r="AS90" s="614" t="s">
        <v>155</v>
      </c>
      <c r="AT90" s="618">
        <v>60</v>
      </c>
      <c r="AU90" s="622"/>
      <c r="AV90" s="622"/>
      <c r="AW90" s="622"/>
      <c r="AX90" s="622"/>
      <c r="AY90" s="622"/>
      <c r="AZ90" s="622"/>
      <c r="BA90" s="622"/>
      <c r="BB90" s="622"/>
      <c r="BC90" s="622"/>
      <c r="BD90" s="622"/>
      <c r="BE90" s="622"/>
      <c r="BF90" s="622"/>
      <c r="BG90" s="622"/>
      <c r="BH90" s="622"/>
      <c r="BI90" s="622"/>
      <c r="BJ90" s="622"/>
      <c r="BK90" s="622"/>
      <c r="BL90" s="622"/>
      <c r="BM90" s="622"/>
      <c r="BN90" s="622"/>
      <c r="BO90" s="622"/>
      <c r="BP90" s="575"/>
      <c r="BQ90" s="473"/>
      <c r="BR90" s="473"/>
      <c r="BS90" s="473"/>
      <c r="BT90" s="473"/>
      <c r="BU90" s="473"/>
      <c r="BV90" s="473"/>
      <c r="BW90" s="473"/>
      <c r="BX90" s="473"/>
      <c r="BY90" s="473"/>
      <c r="BZ90" s="473"/>
      <c r="CA90" s="473"/>
      <c r="CB90" s="473"/>
      <c r="CC90" s="473"/>
      <c r="CD90" s="473"/>
      <c r="CE90" s="473"/>
      <c r="CF90" s="473"/>
      <c r="CG90" s="473"/>
      <c r="CH90" s="473"/>
      <c r="CI90" s="473"/>
    </row>
    <row r="91" spans="1:87" ht="12.75" customHeight="1" x14ac:dyDescent="0.2">
      <c r="A91" s="614"/>
      <c r="B91" s="614"/>
      <c r="C91" s="614"/>
      <c r="D91" s="614"/>
      <c r="E91" s="614"/>
      <c r="F91" s="614"/>
      <c r="G91" s="614"/>
      <c r="H91" s="614"/>
      <c r="I91" s="614"/>
      <c r="J91" s="614"/>
      <c r="K91" s="614"/>
      <c r="L91" s="614"/>
      <c r="M91" s="614"/>
      <c r="N91" s="614"/>
      <c r="O91" s="614"/>
      <c r="P91" s="614"/>
      <c r="Q91" s="614"/>
      <c r="R91" s="614"/>
      <c r="S91" s="614"/>
      <c r="T91" s="614"/>
      <c r="U91" s="614"/>
      <c r="V91" s="614"/>
      <c r="W91" s="614"/>
      <c r="X91" s="614"/>
      <c r="Y91" s="614"/>
      <c r="Z91" s="614"/>
      <c r="AA91" s="614">
        <f t="shared" si="40"/>
        <v>17</v>
      </c>
      <c r="AB91" s="614"/>
      <c r="AC91" s="614"/>
      <c r="AD91" s="614"/>
      <c r="AE91" s="614"/>
      <c r="AF91" s="614"/>
      <c r="AG91" s="614"/>
      <c r="AH91" s="614"/>
      <c r="AI91" s="614"/>
      <c r="AJ91" s="614"/>
      <c r="AK91" s="614"/>
      <c r="AL91" s="614"/>
      <c r="AM91" s="614"/>
      <c r="AN91" s="614"/>
      <c r="AO91" s="614"/>
      <c r="AP91" s="614"/>
      <c r="AQ91" s="619"/>
      <c r="AR91" s="614"/>
      <c r="AS91" s="614"/>
      <c r="AT91" s="614"/>
      <c r="AU91" s="622"/>
      <c r="AV91" s="622"/>
      <c r="AW91" s="622"/>
      <c r="AX91" s="622"/>
      <c r="AY91" s="622"/>
      <c r="AZ91" s="622"/>
      <c r="BA91" s="622"/>
      <c r="BB91" s="622"/>
      <c r="BC91" s="622"/>
      <c r="BD91" s="622"/>
      <c r="BE91" s="622"/>
      <c r="BF91" s="622"/>
      <c r="BG91" s="622"/>
      <c r="BH91" s="622"/>
      <c r="BI91" s="622"/>
      <c r="BJ91" s="622"/>
      <c r="BK91" s="622"/>
      <c r="BL91" s="622"/>
      <c r="BM91" s="622"/>
      <c r="BN91" s="622"/>
      <c r="BO91" s="622"/>
      <c r="BP91" s="575"/>
      <c r="BQ91" s="473"/>
      <c r="BR91" s="473"/>
      <c r="BS91" s="473"/>
      <c r="BT91" s="473"/>
      <c r="BU91" s="473"/>
      <c r="BV91" s="473"/>
      <c r="BW91" s="473"/>
      <c r="BX91" s="473"/>
      <c r="BY91" s="473"/>
      <c r="BZ91" s="473"/>
      <c r="CA91" s="473"/>
      <c r="CB91" s="473"/>
      <c r="CC91" s="473"/>
      <c r="CD91" s="473"/>
      <c r="CE91" s="473"/>
      <c r="CF91" s="473"/>
      <c r="CG91" s="473"/>
      <c r="CH91" s="473"/>
      <c r="CI91" s="473"/>
    </row>
    <row r="92" spans="1:87" ht="12.75" customHeight="1" x14ac:dyDescent="0.2">
      <c r="A92" s="614"/>
      <c r="B92" s="614"/>
      <c r="C92" s="614"/>
      <c r="D92" s="614"/>
      <c r="E92" s="614"/>
      <c r="F92" s="625" t="s">
        <v>175</v>
      </c>
      <c r="G92" s="625"/>
      <c r="H92" s="614"/>
      <c r="I92" s="614"/>
      <c r="J92" s="614"/>
      <c r="K92" s="625" t="s">
        <v>61</v>
      </c>
      <c r="L92" s="625"/>
      <c r="M92" s="614"/>
      <c r="N92" s="614"/>
      <c r="O92" s="614"/>
      <c r="P92" s="614"/>
      <c r="Q92" s="614"/>
      <c r="R92" s="614"/>
      <c r="S92" s="614"/>
      <c r="T92" s="614"/>
      <c r="U92" s="614"/>
      <c r="V92" s="614"/>
      <c r="W92" s="614"/>
      <c r="X92" s="614"/>
      <c r="Y92" s="614"/>
      <c r="Z92" s="614"/>
      <c r="AA92" s="614">
        <f t="shared" si="40"/>
        <v>18</v>
      </c>
      <c r="AB92" s="614"/>
      <c r="AC92" s="614"/>
      <c r="AD92" s="614"/>
      <c r="AE92" s="614"/>
      <c r="AF92" s="614"/>
      <c r="AG92" s="614"/>
      <c r="AH92" s="614"/>
      <c r="AI92" s="614"/>
      <c r="AJ92" s="614"/>
      <c r="AK92" s="614"/>
      <c r="AL92" s="614"/>
      <c r="AM92" s="614"/>
      <c r="AN92" s="614"/>
      <c r="AO92" s="614"/>
      <c r="AP92" s="614"/>
      <c r="AQ92" s="619"/>
      <c r="AR92" s="614"/>
      <c r="AS92" s="614"/>
      <c r="AT92" s="614"/>
      <c r="AU92" s="622"/>
      <c r="AV92" s="622"/>
      <c r="AW92" s="622"/>
      <c r="AX92" s="622"/>
      <c r="AY92" s="622"/>
      <c r="AZ92" s="622"/>
      <c r="BA92" s="622"/>
      <c r="BB92" s="622"/>
      <c r="BC92" s="622"/>
      <c r="BD92" s="622"/>
      <c r="BE92" s="622"/>
      <c r="BF92" s="622"/>
      <c r="BG92" s="622"/>
      <c r="BH92" s="622"/>
      <c r="BI92" s="622"/>
      <c r="BJ92" s="622"/>
      <c r="BK92" s="622"/>
      <c r="BL92" s="622"/>
      <c r="BM92" s="622"/>
      <c r="BN92" s="622"/>
      <c r="BO92" s="622"/>
      <c r="BP92" s="575"/>
      <c r="BQ92" s="473"/>
      <c r="BR92" s="473"/>
      <c r="BS92" s="473"/>
      <c r="BT92" s="473"/>
      <c r="BU92" s="473"/>
      <c r="BV92" s="473"/>
      <c r="BW92" s="473"/>
      <c r="BX92" s="473"/>
      <c r="BY92" s="473"/>
      <c r="BZ92" s="473"/>
      <c r="CA92" s="473"/>
      <c r="CB92" s="473"/>
      <c r="CC92" s="473"/>
      <c r="CD92" s="473"/>
      <c r="CE92" s="473"/>
      <c r="CF92" s="473"/>
      <c r="CG92" s="473"/>
      <c r="CH92" s="473"/>
      <c r="CI92" s="473"/>
    </row>
    <row r="93" spans="1:87" ht="12.75" customHeight="1" x14ac:dyDescent="0.2">
      <c r="A93" s="614"/>
      <c r="B93" s="614"/>
      <c r="C93" s="614"/>
      <c r="D93" s="614"/>
      <c r="E93" s="614"/>
      <c r="F93" s="614" t="s">
        <v>176</v>
      </c>
      <c r="G93" s="614"/>
      <c r="H93" s="614"/>
      <c r="I93" s="614"/>
      <c r="J93" s="614"/>
      <c r="K93" s="614" t="s">
        <v>177</v>
      </c>
      <c r="L93" s="614"/>
      <c r="M93" s="614"/>
      <c r="N93" s="614"/>
      <c r="O93" s="614"/>
      <c r="P93" s="614"/>
      <c r="Q93" s="614"/>
      <c r="R93" s="614"/>
      <c r="S93" s="614"/>
      <c r="T93" s="614"/>
      <c r="U93" s="614"/>
      <c r="V93" s="614"/>
      <c r="W93" s="614"/>
      <c r="X93" s="614"/>
      <c r="Y93" s="614"/>
      <c r="Z93" s="614"/>
      <c r="AA93" s="614">
        <f t="shared" si="40"/>
        <v>19</v>
      </c>
      <c r="AB93" s="614"/>
      <c r="AC93" s="614"/>
      <c r="AD93" s="614"/>
      <c r="AE93" s="614"/>
      <c r="AF93" s="614"/>
      <c r="AG93" s="614"/>
      <c r="AH93" s="614"/>
      <c r="AI93" s="614"/>
      <c r="AJ93" s="614"/>
      <c r="AK93" s="614"/>
      <c r="AL93" s="614"/>
      <c r="AM93" s="614"/>
      <c r="AN93" s="614"/>
      <c r="AO93" s="614"/>
      <c r="AP93" s="614"/>
      <c r="AQ93" s="619"/>
      <c r="AR93" s="614"/>
      <c r="AS93" s="614"/>
      <c r="AT93" s="614"/>
      <c r="AU93" s="622"/>
      <c r="AV93" s="622"/>
      <c r="AW93" s="622"/>
      <c r="AX93" s="622"/>
      <c r="AY93" s="622"/>
      <c r="AZ93" s="622"/>
      <c r="BA93" s="622"/>
      <c r="BB93" s="622"/>
      <c r="BC93" s="622"/>
      <c r="BD93" s="622"/>
      <c r="BE93" s="622"/>
      <c r="BF93" s="622"/>
      <c r="BG93" s="622"/>
      <c r="BH93" s="622"/>
      <c r="BI93" s="622"/>
      <c r="BJ93" s="622"/>
      <c r="BK93" s="622"/>
      <c r="BL93" s="622"/>
      <c r="BM93" s="622"/>
      <c r="BN93" s="622"/>
      <c r="BO93" s="622"/>
      <c r="BP93" s="575"/>
      <c r="BQ93" s="473"/>
      <c r="BR93" s="473"/>
      <c r="BS93" s="473"/>
      <c r="BT93" s="473"/>
      <c r="BU93" s="473"/>
      <c r="BV93" s="473"/>
      <c r="BW93" s="473"/>
      <c r="BX93" s="473"/>
      <c r="BY93" s="473"/>
      <c r="BZ93" s="473"/>
      <c r="CA93" s="473"/>
      <c r="CB93" s="473"/>
      <c r="CC93" s="473"/>
      <c r="CD93" s="473"/>
      <c r="CE93" s="473"/>
      <c r="CF93" s="473"/>
      <c r="CG93" s="473"/>
      <c r="CH93" s="473"/>
      <c r="CI93" s="473"/>
    </row>
    <row r="94" spans="1:87" ht="12.75" customHeight="1" x14ac:dyDescent="0.2">
      <c r="A94" s="614"/>
      <c r="B94" s="614"/>
      <c r="C94" s="614"/>
      <c r="D94" s="614"/>
      <c r="E94" s="614"/>
      <c r="F94" s="614" t="s">
        <v>178</v>
      </c>
      <c r="G94" s="614"/>
      <c r="H94" s="614"/>
      <c r="I94" s="614"/>
      <c r="J94" s="614"/>
      <c r="K94" s="614" t="s">
        <v>179</v>
      </c>
      <c r="L94" s="614"/>
      <c r="M94" s="614"/>
      <c r="N94" s="614"/>
      <c r="O94" s="614"/>
      <c r="P94" s="614"/>
      <c r="Q94" s="614"/>
      <c r="R94" s="614"/>
      <c r="S94" s="614"/>
      <c r="T94" s="614"/>
      <c r="U94" s="614"/>
      <c r="V94" s="614"/>
      <c r="W94" s="614"/>
      <c r="X94" s="614"/>
      <c r="Y94" s="614"/>
      <c r="Z94" s="614"/>
      <c r="AA94" s="614">
        <f t="shared" si="40"/>
        <v>20</v>
      </c>
      <c r="AB94" s="614"/>
      <c r="AC94" s="614"/>
      <c r="AD94" s="614"/>
      <c r="AE94" s="614"/>
      <c r="AF94" s="614"/>
      <c r="AG94" s="614"/>
      <c r="AH94" s="614"/>
      <c r="AI94" s="614"/>
      <c r="AJ94" s="614"/>
      <c r="AK94" s="614"/>
      <c r="AL94" s="614"/>
      <c r="AM94" s="614"/>
      <c r="AN94" s="614"/>
      <c r="AO94" s="614"/>
      <c r="AP94" s="614"/>
      <c r="AQ94" s="619"/>
      <c r="AR94" s="614"/>
      <c r="AS94" s="614"/>
      <c r="AT94" s="614"/>
      <c r="AU94" s="622"/>
      <c r="AV94" s="622"/>
      <c r="AW94" s="622"/>
      <c r="AX94" s="622"/>
      <c r="AY94" s="622"/>
      <c r="AZ94" s="622"/>
      <c r="BA94" s="622"/>
      <c r="BB94" s="622"/>
      <c r="BC94" s="622"/>
      <c r="BD94" s="622"/>
      <c r="BE94" s="622"/>
      <c r="BF94" s="622"/>
      <c r="BG94" s="622"/>
      <c r="BH94" s="622"/>
      <c r="BI94" s="622"/>
      <c r="BJ94" s="622"/>
      <c r="BK94" s="622"/>
      <c r="BL94" s="622"/>
      <c r="BM94" s="622"/>
      <c r="BN94" s="622"/>
      <c r="BO94" s="622"/>
      <c r="BP94" s="575"/>
      <c r="BQ94" s="473"/>
      <c r="BR94" s="473"/>
      <c r="BS94" s="473"/>
      <c r="BT94" s="473"/>
      <c r="BU94" s="473"/>
      <c r="BV94" s="473"/>
      <c r="BW94" s="473"/>
      <c r="BX94" s="473"/>
      <c r="BY94" s="473"/>
      <c r="BZ94" s="473"/>
      <c r="CA94" s="473"/>
      <c r="CB94" s="473"/>
      <c r="CC94" s="473"/>
      <c r="CD94" s="473"/>
      <c r="CE94" s="473"/>
      <c r="CF94" s="473"/>
      <c r="CG94" s="473"/>
      <c r="CH94" s="473"/>
      <c r="CI94" s="473"/>
    </row>
    <row r="95" spans="1:87" ht="12.75" customHeight="1" x14ac:dyDescent="0.2">
      <c r="A95" s="614"/>
      <c r="B95" s="614"/>
      <c r="C95" s="614"/>
      <c r="D95" s="614"/>
      <c r="E95" s="614"/>
      <c r="F95" s="614" t="s">
        <v>180</v>
      </c>
      <c r="G95" s="614"/>
      <c r="H95" s="614"/>
      <c r="I95" s="614"/>
      <c r="J95" s="614"/>
      <c r="K95" s="614" t="s">
        <v>181</v>
      </c>
      <c r="L95" s="614"/>
      <c r="M95" s="614"/>
      <c r="N95" s="614"/>
      <c r="O95" s="614"/>
      <c r="P95" s="614"/>
      <c r="Q95" s="614"/>
      <c r="R95" s="614"/>
      <c r="S95" s="614"/>
      <c r="T95" s="614"/>
      <c r="U95" s="614"/>
      <c r="V95" s="614"/>
      <c r="W95" s="614"/>
      <c r="X95" s="614"/>
      <c r="Y95" s="614"/>
      <c r="Z95" s="614"/>
      <c r="AA95" s="614">
        <f t="shared" si="40"/>
        <v>21</v>
      </c>
      <c r="AB95" s="614"/>
      <c r="AC95" s="614"/>
      <c r="AD95" s="614"/>
      <c r="AE95" s="614"/>
      <c r="AF95" s="614"/>
      <c r="AG95" s="614"/>
      <c r="AH95" s="614"/>
      <c r="AI95" s="614"/>
      <c r="AJ95" s="614"/>
      <c r="AK95" s="614"/>
      <c r="AL95" s="614"/>
      <c r="AM95" s="614"/>
      <c r="AN95" s="614"/>
      <c r="AO95" s="614"/>
      <c r="AP95" s="614"/>
      <c r="AQ95" s="619"/>
      <c r="AR95" s="614"/>
      <c r="AS95" s="614"/>
      <c r="AT95" s="614"/>
      <c r="AU95" s="622"/>
      <c r="AV95" s="622"/>
      <c r="AW95" s="622"/>
      <c r="AX95" s="622"/>
      <c r="AY95" s="622"/>
      <c r="AZ95" s="622"/>
      <c r="BA95" s="622"/>
      <c r="BB95" s="622"/>
      <c r="BC95" s="622"/>
      <c r="BD95" s="622"/>
      <c r="BE95" s="622"/>
      <c r="BF95" s="622"/>
      <c r="BG95" s="622"/>
      <c r="BH95" s="622"/>
      <c r="BI95" s="622"/>
      <c r="BJ95" s="622"/>
      <c r="BK95" s="622"/>
      <c r="BL95" s="622"/>
      <c r="BM95" s="622"/>
      <c r="BN95" s="622"/>
      <c r="BO95" s="622"/>
      <c r="BP95" s="575"/>
      <c r="BQ95" s="473"/>
      <c r="BR95" s="473"/>
      <c r="BS95" s="473"/>
      <c r="BT95" s="473"/>
      <c r="BU95" s="473"/>
      <c r="BV95" s="473"/>
      <c r="BW95" s="473"/>
      <c r="BX95" s="473"/>
      <c r="BY95" s="473"/>
      <c r="BZ95" s="473"/>
      <c r="CA95" s="473"/>
      <c r="CB95" s="473"/>
      <c r="CC95" s="473"/>
      <c r="CD95" s="473"/>
      <c r="CE95" s="473"/>
      <c r="CF95" s="473"/>
      <c r="CG95" s="473"/>
      <c r="CH95" s="473"/>
      <c r="CI95" s="473"/>
    </row>
    <row r="96" spans="1:87" ht="12.75" customHeight="1" x14ac:dyDescent="0.2">
      <c r="A96" s="614"/>
      <c r="B96" s="614"/>
      <c r="C96" s="614"/>
      <c r="D96" s="614"/>
      <c r="E96" s="614"/>
      <c r="F96" s="614" t="s">
        <v>182</v>
      </c>
      <c r="G96" s="614"/>
      <c r="H96" s="614"/>
      <c r="I96" s="614"/>
      <c r="J96" s="614"/>
      <c r="K96" s="614" t="s">
        <v>183</v>
      </c>
      <c r="L96" s="614"/>
      <c r="M96" s="614"/>
      <c r="N96" s="614"/>
      <c r="O96" s="614"/>
      <c r="P96" s="614"/>
      <c r="Q96" s="614"/>
      <c r="R96" s="614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4"/>
      <c r="AK96" s="614"/>
      <c r="AL96" s="614"/>
      <c r="AM96" s="614"/>
      <c r="AN96" s="614"/>
      <c r="AO96" s="614"/>
      <c r="AP96" s="614"/>
      <c r="AQ96" s="614"/>
      <c r="AR96" s="614"/>
      <c r="AS96" s="614"/>
      <c r="AT96" s="614"/>
      <c r="AU96" s="622"/>
      <c r="AV96" s="622"/>
      <c r="AW96" s="622"/>
      <c r="AX96" s="622"/>
      <c r="AY96" s="622"/>
      <c r="AZ96" s="622"/>
      <c r="BA96" s="622"/>
      <c r="BB96" s="622"/>
      <c r="BC96" s="622"/>
      <c r="BD96" s="622"/>
      <c r="BE96" s="622"/>
      <c r="BF96" s="622"/>
      <c r="BG96" s="622"/>
      <c r="BH96" s="622"/>
      <c r="BI96" s="622"/>
      <c r="BJ96" s="622"/>
      <c r="BK96" s="622"/>
      <c r="BL96" s="622"/>
      <c r="BM96" s="622"/>
      <c r="BN96" s="622"/>
      <c r="BO96" s="622"/>
      <c r="BP96" s="575"/>
      <c r="BQ96" s="473"/>
      <c r="BR96" s="473"/>
      <c r="BS96" s="473"/>
      <c r="BT96" s="473"/>
      <c r="BU96" s="473"/>
      <c r="BV96" s="473"/>
      <c r="BW96" s="473"/>
      <c r="BX96" s="473"/>
      <c r="BY96" s="473"/>
      <c r="BZ96" s="473"/>
      <c r="CA96" s="473"/>
      <c r="CB96" s="473"/>
      <c r="CC96" s="473"/>
      <c r="CD96" s="473"/>
      <c r="CE96" s="473"/>
      <c r="CF96" s="473"/>
      <c r="CG96" s="473"/>
      <c r="CH96" s="473"/>
      <c r="CI96" s="473"/>
    </row>
    <row r="97" spans="1:87" ht="12.75" customHeight="1" x14ac:dyDescent="0.2">
      <c r="A97" s="614"/>
      <c r="B97" s="614"/>
      <c r="C97" s="614"/>
      <c r="D97" s="614"/>
      <c r="E97" s="614"/>
      <c r="F97" s="614"/>
      <c r="G97" s="614"/>
      <c r="H97" s="614"/>
      <c r="I97" s="614"/>
      <c r="J97" s="614"/>
      <c r="K97" s="614" t="s">
        <v>184</v>
      </c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4"/>
      <c r="AK97" s="614"/>
      <c r="AL97" s="614"/>
      <c r="AM97" s="614"/>
      <c r="AN97" s="614"/>
      <c r="AO97" s="614"/>
      <c r="AP97" s="614"/>
      <c r="AQ97" s="614"/>
      <c r="AR97" s="614"/>
      <c r="AS97" s="614"/>
      <c r="AT97" s="614"/>
      <c r="AU97" s="622"/>
      <c r="AV97" s="622"/>
      <c r="AW97" s="622"/>
      <c r="AX97" s="622"/>
      <c r="AY97" s="622"/>
      <c r="AZ97" s="622"/>
      <c r="BA97" s="622"/>
      <c r="BB97" s="622"/>
      <c r="BC97" s="622"/>
      <c r="BD97" s="622"/>
      <c r="BE97" s="622"/>
      <c r="BF97" s="622"/>
      <c r="BG97" s="622"/>
      <c r="BH97" s="622"/>
      <c r="BI97" s="622"/>
      <c r="BJ97" s="622"/>
      <c r="BK97" s="622"/>
      <c r="BL97" s="622"/>
      <c r="BM97" s="622"/>
      <c r="BN97" s="622"/>
      <c r="BO97" s="622"/>
      <c r="BP97" s="575"/>
      <c r="BQ97" s="473"/>
      <c r="BR97" s="473"/>
      <c r="BS97" s="473"/>
      <c r="BT97" s="473"/>
      <c r="BU97" s="473"/>
      <c r="BV97" s="473"/>
      <c r="BW97" s="473"/>
      <c r="BX97" s="473"/>
      <c r="BY97" s="473"/>
      <c r="BZ97" s="473"/>
      <c r="CA97" s="473"/>
      <c r="CB97" s="473"/>
      <c r="CC97" s="473"/>
      <c r="CD97" s="473"/>
      <c r="CE97" s="473"/>
      <c r="CF97" s="473"/>
      <c r="CG97" s="473"/>
      <c r="CH97" s="473"/>
      <c r="CI97" s="473"/>
    </row>
    <row r="98" spans="1:87" ht="12.75" customHeight="1" x14ac:dyDescent="0.2">
      <c r="A98" s="614"/>
      <c r="B98" s="614"/>
      <c r="C98" s="614"/>
      <c r="D98" s="614"/>
      <c r="E98" s="614"/>
      <c r="F98" s="614"/>
      <c r="G98" s="614"/>
      <c r="H98" s="614"/>
      <c r="I98" s="614"/>
      <c r="J98" s="614"/>
      <c r="K98" s="614" t="s">
        <v>185</v>
      </c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4"/>
      <c r="AK98" s="614"/>
      <c r="AL98" s="614"/>
      <c r="AM98" s="614"/>
      <c r="AN98" s="614"/>
      <c r="AO98" s="614"/>
      <c r="AP98" s="614"/>
      <c r="AQ98" s="614"/>
      <c r="AR98" s="618"/>
      <c r="AS98" s="614"/>
      <c r="AT98" s="614"/>
      <c r="AU98" s="622"/>
      <c r="AV98" s="622"/>
      <c r="AW98" s="622"/>
      <c r="AX98" s="622"/>
      <c r="AY98" s="622"/>
      <c r="AZ98" s="622"/>
      <c r="BA98" s="622"/>
      <c r="BB98" s="622"/>
      <c r="BC98" s="622"/>
      <c r="BD98" s="622"/>
      <c r="BE98" s="622"/>
      <c r="BF98" s="622"/>
      <c r="BG98" s="622"/>
      <c r="BH98" s="622"/>
      <c r="BI98" s="622"/>
      <c r="BJ98" s="622"/>
      <c r="BK98" s="622"/>
      <c r="BL98" s="622"/>
      <c r="BM98" s="622"/>
      <c r="BN98" s="622"/>
      <c r="BO98" s="622"/>
      <c r="BP98" s="575"/>
      <c r="BQ98" s="473"/>
      <c r="BR98" s="473"/>
      <c r="BS98" s="473"/>
      <c r="BT98" s="473"/>
      <c r="BU98" s="473"/>
      <c r="BV98" s="473"/>
      <c r="BW98" s="473"/>
      <c r="BX98" s="473"/>
      <c r="BY98" s="473"/>
      <c r="BZ98" s="473"/>
      <c r="CA98" s="473"/>
      <c r="CB98" s="473"/>
      <c r="CC98" s="473"/>
      <c r="CD98" s="473"/>
      <c r="CE98" s="473"/>
      <c r="CF98" s="473"/>
      <c r="CG98" s="473"/>
      <c r="CH98" s="473"/>
      <c r="CI98" s="473"/>
    </row>
    <row r="99" spans="1:87" ht="12.75" customHeight="1" x14ac:dyDescent="0.2">
      <c r="A99" s="614"/>
      <c r="B99" s="614"/>
      <c r="C99" s="614"/>
      <c r="D99" s="614"/>
      <c r="E99" s="614"/>
      <c r="F99" s="614"/>
      <c r="G99" s="614"/>
      <c r="H99" s="614"/>
      <c r="I99" s="614"/>
      <c r="J99" s="614"/>
      <c r="K99" s="614" t="s">
        <v>186</v>
      </c>
      <c r="L99" s="614"/>
      <c r="M99" s="614"/>
      <c r="N99" s="614"/>
      <c r="O99" s="614"/>
      <c r="P99" s="614"/>
      <c r="Q99" s="614"/>
      <c r="R99" s="614"/>
      <c r="S99" s="614"/>
      <c r="T99" s="614"/>
      <c r="U99" s="614"/>
      <c r="V99" s="614"/>
      <c r="W99" s="614"/>
      <c r="X99" s="614"/>
      <c r="Y99" s="614"/>
      <c r="Z99" s="614"/>
      <c r="AA99" s="614"/>
      <c r="AB99" s="614"/>
      <c r="AC99" s="614"/>
      <c r="AD99" s="614"/>
      <c r="AE99" s="614"/>
      <c r="AF99" s="614"/>
      <c r="AG99" s="614"/>
      <c r="AH99" s="614"/>
      <c r="AI99" s="614"/>
      <c r="AJ99" s="614"/>
      <c r="AK99" s="614"/>
      <c r="AL99" s="614"/>
      <c r="AM99" s="614"/>
      <c r="AN99" s="614"/>
      <c r="AO99" s="614"/>
      <c r="AP99" s="614"/>
      <c r="AQ99" s="614"/>
      <c r="AR99" s="614"/>
      <c r="AS99" s="614"/>
      <c r="AT99" s="614"/>
      <c r="AU99" s="622"/>
      <c r="AV99" s="622"/>
      <c r="AW99" s="622"/>
      <c r="AX99" s="622"/>
      <c r="AY99" s="622"/>
      <c r="AZ99" s="622"/>
      <c r="BA99" s="622"/>
      <c r="BB99" s="622"/>
      <c r="BC99" s="622"/>
      <c r="BD99" s="622"/>
      <c r="BE99" s="622"/>
      <c r="BF99" s="622"/>
      <c r="BG99" s="622"/>
      <c r="BH99" s="622"/>
      <c r="BI99" s="622"/>
      <c r="BJ99" s="622"/>
      <c r="BK99" s="622"/>
      <c r="BL99" s="622"/>
      <c r="BM99" s="622"/>
      <c r="BN99" s="622"/>
      <c r="BO99" s="622"/>
      <c r="BP99" s="575"/>
      <c r="BQ99" s="473"/>
      <c r="BR99" s="473"/>
      <c r="BS99" s="473"/>
      <c r="BT99" s="473"/>
      <c r="BU99" s="473"/>
      <c r="BV99" s="473"/>
      <c r="BW99" s="473"/>
      <c r="BX99" s="473"/>
      <c r="BY99" s="473"/>
      <c r="BZ99" s="473"/>
      <c r="CA99" s="473"/>
      <c r="CB99" s="473"/>
      <c r="CC99" s="473"/>
      <c r="CD99" s="473"/>
      <c r="CE99" s="473"/>
      <c r="CF99" s="473"/>
      <c r="CG99" s="473"/>
      <c r="CH99" s="473"/>
      <c r="CI99" s="473"/>
    </row>
    <row r="100" spans="1:87" ht="12.75" customHeight="1" x14ac:dyDescent="0.2">
      <c r="A100" s="622"/>
      <c r="B100" s="622"/>
      <c r="C100" s="622"/>
      <c r="D100" s="622"/>
      <c r="E100" s="622"/>
      <c r="F100" s="622"/>
      <c r="G100" s="622"/>
      <c r="H100" s="622"/>
      <c r="I100" s="622"/>
      <c r="J100" s="622"/>
      <c r="K100" s="622" t="s">
        <v>187</v>
      </c>
      <c r="L100" s="622"/>
      <c r="M100" s="622"/>
      <c r="N100" s="622"/>
      <c r="O100" s="622"/>
      <c r="P100" s="622"/>
      <c r="Q100" s="622"/>
      <c r="R100" s="622"/>
      <c r="S100" s="622"/>
      <c r="T100" s="622"/>
      <c r="U100" s="622"/>
      <c r="V100" s="622"/>
      <c r="W100" s="622"/>
      <c r="X100" s="622"/>
      <c r="Y100" s="622"/>
      <c r="Z100" s="622"/>
      <c r="AA100" s="622"/>
      <c r="AB100" s="622"/>
      <c r="AC100" s="622"/>
      <c r="AD100" s="622"/>
      <c r="AE100" s="622"/>
      <c r="AF100" s="622"/>
      <c r="AG100" s="622"/>
      <c r="AH100" s="622"/>
      <c r="AI100" s="622"/>
      <c r="AJ100" s="622"/>
      <c r="AK100" s="622"/>
      <c r="AL100" s="622"/>
      <c r="AM100" s="622"/>
      <c r="AN100" s="622"/>
      <c r="AO100" s="622"/>
      <c r="AP100" s="622"/>
      <c r="AQ100" s="622"/>
      <c r="AR100" s="622"/>
      <c r="AS100" s="622"/>
      <c r="AT100" s="622"/>
      <c r="AU100" s="622"/>
      <c r="AV100" s="622"/>
      <c r="AW100" s="622"/>
      <c r="AX100" s="622"/>
      <c r="AY100" s="622"/>
      <c r="AZ100" s="622"/>
      <c r="BA100" s="622"/>
      <c r="BB100" s="622"/>
      <c r="BC100" s="622"/>
      <c r="BD100" s="622"/>
      <c r="BE100" s="622"/>
      <c r="BF100" s="622"/>
      <c r="BG100" s="622"/>
      <c r="BH100" s="622"/>
      <c r="BI100" s="622"/>
      <c r="BJ100" s="622"/>
      <c r="BK100" s="622"/>
      <c r="BL100" s="622"/>
      <c r="BM100" s="622"/>
      <c r="BN100" s="622"/>
      <c r="BO100" s="622"/>
      <c r="BP100" s="575"/>
      <c r="BQ100" s="473"/>
      <c r="BR100" s="473"/>
      <c r="BS100" s="473"/>
      <c r="BT100" s="473"/>
      <c r="BU100" s="473"/>
      <c r="BV100" s="473"/>
      <c r="BW100" s="473"/>
      <c r="BX100" s="473"/>
      <c r="BY100" s="473"/>
      <c r="BZ100" s="473"/>
      <c r="CA100" s="473"/>
      <c r="CB100" s="473"/>
      <c r="CC100" s="473"/>
      <c r="CD100" s="473"/>
      <c r="CE100" s="473"/>
      <c r="CF100" s="473"/>
      <c r="CG100" s="473"/>
      <c r="CH100" s="473"/>
      <c r="CI100" s="473"/>
    </row>
    <row r="101" spans="1:87" ht="12.75" customHeight="1" x14ac:dyDescent="0.2">
      <c r="A101" s="622"/>
      <c r="B101" s="622"/>
      <c r="C101" s="622"/>
      <c r="D101" s="622"/>
      <c r="E101" s="622"/>
      <c r="F101" s="622"/>
      <c r="G101" s="622"/>
      <c r="H101" s="622"/>
      <c r="I101" s="622"/>
      <c r="J101" s="622"/>
      <c r="K101" s="622" t="s">
        <v>188</v>
      </c>
      <c r="L101" s="622"/>
      <c r="M101" s="622"/>
      <c r="N101" s="622"/>
      <c r="O101" s="622"/>
      <c r="P101" s="622"/>
      <c r="Q101" s="622"/>
      <c r="R101" s="622"/>
      <c r="S101" s="622"/>
      <c r="T101" s="622"/>
      <c r="U101" s="622"/>
      <c r="V101" s="622"/>
      <c r="W101" s="622"/>
      <c r="X101" s="622"/>
      <c r="Y101" s="622"/>
      <c r="Z101" s="622"/>
      <c r="AA101" s="622"/>
      <c r="AB101" s="622"/>
      <c r="AC101" s="622"/>
      <c r="AD101" s="622"/>
      <c r="AE101" s="622"/>
      <c r="AF101" s="622"/>
      <c r="AG101" s="622"/>
      <c r="AH101" s="622"/>
      <c r="AI101" s="622"/>
      <c r="AJ101" s="622"/>
      <c r="AK101" s="622"/>
      <c r="AL101" s="622"/>
      <c r="AM101" s="622"/>
      <c r="AN101" s="622"/>
      <c r="AO101" s="622"/>
      <c r="AP101" s="622"/>
      <c r="AQ101" s="622"/>
      <c r="AR101" s="622"/>
      <c r="AS101" s="622"/>
      <c r="AT101" s="622"/>
      <c r="AU101" s="622"/>
      <c r="AV101" s="622"/>
      <c r="AW101" s="622"/>
      <c r="AX101" s="622"/>
      <c r="AY101" s="622"/>
      <c r="AZ101" s="622"/>
      <c r="BA101" s="622"/>
      <c r="BB101" s="622"/>
      <c r="BC101" s="622"/>
      <c r="BD101" s="622"/>
      <c r="BE101" s="622"/>
      <c r="BF101" s="622"/>
      <c r="BG101" s="622"/>
      <c r="BH101" s="622"/>
      <c r="BI101" s="622"/>
      <c r="BJ101" s="622"/>
      <c r="BK101" s="622"/>
      <c r="BL101" s="622"/>
      <c r="BM101" s="622"/>
      <c r="BN101" s="622"/>
      <c r="BO101" s="622"/>
      <c r="BP101" s="575"/>
      <c r="BQ101" s="473"/>
      <c r="BR101" s="473"/>
      <c r="BS101" s="473"/>
      <c r="BT101" s="473"/>
      <c r="BU101" s="473"/>
      <c r="BV101" s="473"/>
      <c r="BW101" s="473"/>
      <c r="BX101" s="473"/>
      <c r="BY101" s="473"/>
      <c r="BZ101" s="473"/>
      <c r="CA101" s="473"/>
      <c r="CB101" s="473"/>
      <c r="CC101" s="473"/>
      <c r="CD101" s="473"/>
      <c r="CE101" s="473"/>
      <c r="CF101" s="473"/>
      <c r="CG101" s="473"/>
      <c r="CH101" s="473"/>
      <c r="CI101" s="473"/>
    </row>
    <row r="102" spans="1:87" ht="12.75" customHeight="1" x14ac:dyDescent="0.2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O102" s="622"/>
      <c r="P102" s="622"/>
      <c r="Q102" s="622"/>
      <c r="R102" s="622"/>
      <c r="S102" s="622"/>
      <c r="T102" s="622"/>
      <c r="U102" s="622"/>
      <c r="V102" s="622"/>
      <c r="W102" s="622"/>
      <c r="X102" s="622"/>
      <c r="Y102" s="622"/>
      <c r="Z102" s="622"/>
      <c r="AA102" s="622"/>
      <c r="AB102" s="622"/>
      <c r="AC102" s="622"/>
      <c r="AD102" s="622"/>
      <c r="AE102" s="622"/>
      <c r="AF102" s="622"/>
      <c r="AG102" s="622"/>
      <c r="AH102" s="622"/>
      <c r="AI102" s="622"/>
      <c r="AJ102" s="622"/>
      <c r="AK102" s="622"/>
      <c r="AL102" s="622"/>
      <c r="AM102" s="622"/>
      <c r="AN102" s="622"/>
      <c r="AO102" s="622"/>
      <c r="AP102" s="622"/>
      <c r="AQ102" s="622"/>
      <c r="AR102" s="622"/>
      <c r="AS102" s="622"/>
      <c r="AT102" s="622"/>
      <c r="AU102" s="622"/>
      <c r="AV102" s="622"/>
      <c r="AW102" s="622"/>
      <c r="AX102" s="622"/>
      <c r="AY102" s="622"/>
      <c r="AZ102" s="622"/>
      <c r="BA102" s="622"/>
      <c r="BB102" s="622"/>
      <c r="BC102" s="622"/>
      <c r="BD102" s="622"/>
      <c r="BE102" s="622"/>
      <c r="BF102" s="622"/>
      <c r="BG102" s="622"/>
      <c r="BH102" s="622"/>
      <c r="BI102" s="622"/>
      <c r="BJ102" s="622"/>
      <c r="BK102" s="622"/>
      <c r="BL102" s="622"/>
      <c r="BM102" s="622"/>
      <c r="BN102" s="622"/>
      <c r="BO102" s="622"/>
      <c r="BP102" s="575"/>
      <c r="BQ102" s="473"/>
      <c r="BR102" s="473"/>
      <c r="BS102" s="473"/>
      <c r="BT102" s="473"/>
      <c r="BU102" s="473"/>
      <c r="BV102" s="473"/>
      <c r="BW102" s="473"/>
      <c r="BX102" s="473"/>
      <c r="BY102" s="473"/>
      <c r="BZ102" s="473"/>
      <c r="CA102" s="473"/>
      <c r="CB102" s="473"/>
      <c r="CC102" s="473"/>
      <c r="CD102" s="473"/>
      <c r="CE102" s="473"/>
      <c r="CF102" s="473"/>
      <c r="CG102" s="473"/>
      <c r="CH102" s="473"/>
      <c r="CI102" s="473"/>
    </row>
    <row r="103" spans="1:87" ht="12.75" customHeight="1" x14ac:dyDescent="0.2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O103" s="622"/>
      <c r="P103" s="622"/>
      <c r="Q103" s="622"/>
      <c r="R103" s="622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2"/>
      <c r="AD103" s="622"/>
      <c r="AE103" s="622"/>
      <c r="AF103" s="622"/>
      <c r="AG103" s="622"/>
      <c r="AH103" s="622"/>
      <c r="AI103" s="622"/>
      <c r="AJ103" s="622"/>
      <c r="AK103" s="622"/>
      <c r="AL103" s="622"/>
      <c r="AM103" s="622"/>
      <c r="AN103" s="622"/>
      <c r="AO103" s="622"/>
      <c r="AP103" s="622"/>
      <c r="AQ103" s="622"/>
      <c r="AR103" s="622"/>
      <c r="AS103" s="622"/>
      <c r="AT103" s="622"/>
      <c r="AU103" s="622"/>
      <c r="AV103" s="622"/>
      <c r="AW103" s="622"/>
      <c r="AX103" s="622"/>
      <c r="AY103" s="622"/>
      <c r="AZ103" s="622"/>
      <c r="BA103" s="622"/>
      <c r="BB103" s="622"/>
      <c r="BC103" s="622"/>
      <c r="BD103" s="622"/>
      <c r="BE103" s="622"/>
      <c r="BF103" s="622"/>
      <c r="BG103" s="622"/>
      <c r="BH103" s="622"/>
      <c r="BI103" s="622"/>
      <c r="BJ103" s="622"/>
      <c r="BK103" s="622"/>
      <c r="BL103" s="622"/>
      <c r="BM103" s="622"/>
      <c r="BN103" s="622"/>
      <c r="BO103" s="622"/>
      <c r="BP103" s="575"/>
      <c r="BQ103" s="473"/>
      <c r="BR103" s="473"/>
      <c r="BS103" s="473"/>
      <c r="BT103" s="473"/>
      <c r="BU103" s="473"/>
      <c r="BV103" s="473"/>
      <c r="BW103" s="473"/>
      <c r="BX103" s="473"/>
      <c r="BY103" s="473"/>
      <c r="BZ103" s="473"/>
      <c r="CA103" s="473"/>
      <c r="CB103" s="473"/>
      <c r="CC103" s="473"/>
      <c r="CD103" s="473"/>
      <c r="CE103" s="473"/>
      <c r="CF103" s="473"/>
      <c r="CG103" s="473"/>
      <c r="CH103" s="473"/>
      <c r="CI103" s="473"/>
    </row>
    <row r="104" spans="1:87" ht="12.75" customHeight="1" x14ac:dyDescent="0.2">
      <c r="A104" s="622"/>
      <c r="B104" s="622"/>
      <c r="C104" s="622"/>
      <c r="D104" s="622"/>
      <c r="E104" s="622"/>
      <c r="F104" s="622"/>
      <c r="G104" s="622"/>
      <c r="H104" s="622"/>
      <c r="I104" s="622"/>
      <c r="J104" s="622"/>
      <c r="K104" s="622"/>
      <c r="L104" s="622"/>
      <c r="M104" s="622"/>
      <c r="N104" s="622"/>
      <c r="O104" s="622"/>
      <c r="P104" s="622"/>
      <c r="Q104" s="622"/>
      <c r="R104" s="622"/>
      <c r="S104" s="622"/>
      <c r="T104" s="622"/>
      <c r="U104" s="622"/>
      <c r="V104" s="622"/>
      <c r="W104" s="622"/>
      <c r="X104" s="622"/>
      <c r="Y104" s="622"/>
      <c r="Z104" s="622"/>
      <c r="AA104" s="622"/>
      <c r="AB104" s="622"/>
      <c r="AC104" s="622"/>
      <c r="AD104" s="622"/>
      <c r="AE104" s="622"/>
      <c r="AF104" s="622"/>
      <c r="AG104" s="622"/>
      <c r="AH104" s="622"/>
      <c r="AI104" s="622"/>
      <c r="AJ104" s="622"/>
      <c r="AK104" s="622"/>
      <c r="AL104" s="622"/>
      <c r="AM104" s="622"/>
      <c r="AN104" s="622"/>
      <c r="AO104" s="622"/>
      <c r="AP104" s="622"/>
      <c r="AQ104" s="622"/>
      <c r="AR104" s="622"/>
      <c r="AS104" s="622"/>
      <c r="AT104" s="622"/>
      <c r="AU104" s="622"/>
      <c r="AV104" s="622"/>
      <c r="AW104" s="622"/>
      <c r="AX104" s="622"/>
      <c r="AY104" s="622"/>
      <c r="AZ104" s="622"/>
      <c r="BA104" s="622"/>
      <c r="BB104" s="622"/>
      <c r="BC104" s="622"/>
      <c r="BD104" s="622"/>
      <c r="BE104" s="622"/>
      <c r="BF104" s="622"/>
      <c r="BG104" s="622"/>
      <c r="BH104" s="622"/>
      <c r="BI104" s="622"/>
      <c r="BJ104" s="622"/>
      <c r="BK104" s="622"/>
      <c r="BL104" s="622"/>
      <c r="BM104" s="622"/>
      <c r="BN104" s="622"/>
      <c r="BO104" s="622"/>
      <c r="BP104" s="575"/>
      <c r="BQ104" s="473"/>
      <c r="BR104" s="473"/>
      <c r="BS104" s="473"/>
      <c r="BT104" s="473"/>
      <c r="BU104" s="473"/>
      <c r="BV104" s="473"/>
      <c r="BW104" s="473"/>
      <c r="BX104" s="473"/>
      <c r="BY104" s="473"/>
      <c r="BZ104" s="473"/>
      <c r="CA104" s="473"/>
      <c r="CB104" s="473"/>
      <c r="CC104" s="473"/>
      <c r="CD104" s="473"/>
      <c r="CE104" s="473"/>
      <c r="CF104" s="473"/>
      <c r="CG104" s="473"/>
      <c r="CH104" s="473"/>
      <c r="CI104" s="473"/>
    </row>
    <row r="105" spans="1:87" ht="12.75" customHeight="1" x14ac:dyDescent="0.2">
      <c r="A105" s="622"/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22"/>
      <c r="AB105" s="622"/>
      <c r="AC105" s="622"/>
      <c r="AD105" s="622"/>
      <c r="AE105" s="622"/>
      <c r="AF105" s="622"/>
      <c r="AG105" s="622"/>
      <c r="AH105" s="622"/>
      <c r="AI105" s="622"/>
      <c r="AJ105" s="622"/>
      <c r="AK105" s="622"/>
      <c r="AL105" s="622"/>
      <c r="AM105" s="622"/>
      <c r="AN105" s="622"/>
      <c r="AO105" s="622"/>
      <c r="AP105" s="622"/>
      <c r="AQ105" s="622"/>
      <c r="AR105" s="622"/>
      <c r="AS105" s="622"/>
      <c r="AT105" s="622"/>
      <c r="AU105" s="622"/>
      <c r="AV105" s="622"/>
      <c r="AW105" s="622"/>
      <c r="AX105" s="622"/>
      <c r="AY105" s="622"/>
      <c r="AZ105" s="622"/>
      <c r="BA105" s="622"/>
      <c r="BB105" s="622"/>
      <c r="BC105" s="622"/>
      <c r="BD105" s="622"/>
      <c r="BE105" s="622"/>
      <c r="BF105" s="622"/>
      <c r="BG105" s="622"/>
      <c r="BH105" s="622"/>
      <c r="BI105" s="622"/>
      <c r="BJ105" s="622"/>
      <c r="BK105" s="622"/>
      <c r="BL105" s="622"/>
      <c r="BM105" s="622"/>
      <c r="BN105" s="622"/>
      <c r="BO105" s="622"/>
      <c r="BP105" s="575"/>
      <c r="BQ105" s="473"/>
      <c r="BR105" s="473"/>
      <c r="BS105" s="473"/>
      <c r="BT105" s="473"/>
      <c r="BU105" s="473"/>
      <c r="BV105" s="473"/>
      <c r="BW105" s="473"/>
      <c r="BX105" s="473"/>
      <c r="BY105" s="473"/>
      <c r="BZ105" s="473"/>
      <c r="CA105" s="473"/>
      <c r="CB105" s="473"/>
      <c r="CC105" s="473"/>
      <c r="CD105" s="473"/>
      <c r="CE105" s="473"/>
      <c r="CF105" s="473"/>
      <c r="CG105" s="473"/>
      <c r="CH105" s="473"/>
      <c r="CI105" s="473"/>
    </row>
    <row r="106" spans="1:87" ht="12.75" customHeight="1" x14ac:dyDescent="0.2">
      <c r="A106" s="622"/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22"/>
      <c r="AB106" s="622"/>
      <c r="AC106" s="622"/>
      <c r="AD106" s="622"/>
      <c r="AE106" s="622"/>
      <c r="AF106" s="622"/>
      <c r="AG106" s="622"/>
      <c r="AH106" s="622"/>
      <c r="AI106" s="622"/>
      <c r="AJ106" s="622"/>
      <c r="AK106" s="622"/>
      <c r="AL106" s="622"/>
      <c r="AM106" s="622"/>
      <c r="AN106" s="622"/>
      <c r="AO106" s="622"/>
      <c r="AP106" s="622"/>
      <c r="AQ106" s="622"/>
      <c r="AR106" s="622"/>
      <c r="AS106" s="622"/>
      <c r="AT106" s="622"/>
      <c r="AU106" s="622"/>
      <c r="AV106" s="622"/>
      <c r="AW106" s="622"/>
      <c r="AX106" s="622"/>
      <c r="AY106" s="622"/>
      <c r="AZ106" s="622"/>
      <c r="BA106" s="622"/>
      <c r="BB106" s="622"/>
      <c r="BC106" s="622"/>
      <c r="BD106" s="622"/>
      <c r="BE106" s="622"/>
      <c r="BF106" s="622"/>
      <c r="BG106" s="622"/>
      <c r="BH106" s="622"/>
      <c r="BI106" s="622"/>
      <c r="BJ106" s="622"/>
      <c r="BK106" s="622"/>
      <c r="BL106" s="622"/>
      <c r="BM106" s="622"/>
      <c r="BN106" s="622"/>
      <c r="BO106" s="622"/>
      <c r="BP106" s="575"/>
      <c r="BQ106" s="473"/>
      <c r="BR106" s="473"/>
      <c r="BS106" s="473"/>
      <c r="BT106" s="473"/>
      <c r="BU106" s="473"/>
      <c r="BV106" s="473"/>
      <c r="BW106" s="473"/>
      <c r="BX106" s="473"/>
      <c r="BY106" s="473"/>
      <c r="BZ106" s="473"/>
      <c r="CA106" s="473"/>
      <c r="CB106" s="473"/>
      <c r="CC106" s="473"/>
      <c r="CD106" s="473"/>
      <c r="CE106" s="473"/>
      <c r="CF106" s="473"/>
      <c r="CG106" s="473"/>
      <c r="CH106" s="473"/>
      <c r="CI106" s="473"/>
    </row>
    <row r="107" spans="1:87" ht="12.75" customHeight="1" x14ac:dyDescent="0.2">
      <c r="A107" s="622"/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622"/>
      <c r="N107" s="622"/>
      <c r="O107" s="622"/>
      <c r="P107" s="622"/>
      <c r="Q107" s="622"/>
      <c r="R107" s="622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622"/>
      <c r="AM107" s="622"/>
      <c r="AN107" s="622"/>
      <c r="AO107" s="622"/>
      <c r="AP107" s="622"/>
      <c r="AQ107" s="622"/>
      <c r="AR107" s="622"/>
      <c r="AS107" s="622"/>
      <c r="AT107" s="622"/>
      <c r="AU107" s="622"/>
      <c r="AV107" s="622"/>
      <c r="AW107" s="622"/>
      <c r="AX107" s="622"/>
      <c r="AY107" s="622"/>
      <c r="AZ107" s="622"/>
      <c r="BA107" s="622"/>
      <c r="BB107" s="622"/>
      <c r="BC107" s="622"/>
      <c r="BD107" s="622"/>
      <c r="BE107" s="622"/>
      <c r="BF107" s="622"/>
      <c r="BG107" s="622"/>
      <c r="BH107" s="622"/>
      <c r="BI107" s="622"/>
      <c r="BJ107" s="622"/>
      <c r="BK107" s="622"/>
      <c r="BL107" s="622"/>
      <c r="BM107" s="622"/>
      <c r="BN107" s="622"/>
      <c r="BO107" s="622"/>
      <c r="BP107" s="575"/>
      <c r="BQ107" s="473"/>
      <c r="BR107" s="473"/>
      <c r="BS107" s="473"/>
      <c r="BT107" s="473"/>
      <c r="BU107" s="473"/>
      <c r="BV107" s="473"/>
      <c r="BW107" s="473"/>
      <c r="BX107" s="473"/>
      <c r="BY107" s="473"/>
      <c r="BZ107" s="473"/>
      <c r="CA107" s="473"/>
      <c r="CB107" s="473"/>
      <c r="CC107" s="473"/>
      <c r="CD107" s="473"/>
      <c r="CE107" s="473"/>
      <c r="CF107" s="473"/>
      <c r="CG107" s="473"/>
      <c r="CH107" s="473"/>
      <c r="CI107" s="473"/>
    </row>
    <row r="108" spans="1:87" ht="12.75" customHeight="1" x14ac:dyDescent="0.2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  <c r="M108" s="622"/>
      <c r="N108" s="622"/>
      <c r="O108" s="622"/>
      <c r="P108" s="622"/>
      <c r="Q108" s="622"/>
      <c r="R108" s="622"/>
      <c r="S108" s="622"/>
      <c r="T108" s="622"/>
      <c r="U108" s="622"/>
      <c r="V108" s="622"/>
      <c r="W108" s="622"/>
      <c r="X108" s="622"/>
      <c r="Y108" s="622"/>
      <c r="Z108" s="622"/>
      <c r="AA108" s="622"/>
      <c r="AB108" s="622"/>
      <c r="AC108" s="622"/>
      <c r="AD108" s="622"/>
      <c r="AE108" s="622"/>
      <c r="AF108" s="622"/>
      <c r="AG108" s="622"/>
      <c r="AH108" s="622"/>
      <c r="AI108" s="622"/>
      <c r="AJ108" s="622"/>
      <c r="AK108" s="622"/>
      <c r="AL108" s="622"/>
      <c r="AM108" s="622"/>
      <c r="AN108" s="622"/>
      <c r="AO108" s="622"/>
      <c r="AP108" s="622"/>
      <c r="AQ108" s="622"/>
      <c r="AR108" s="622"/>
      <c r="AS108" s="622"/>
      <c r="AT108" s="622"/>
      <c r="AU108" s="622"/>
      <c r="AV108" s="622"/>
      <c r="AW108" s="622"/>
      <c r="AX108" s="622"/>
      <c r="AY108" s="622"/>
      <c r="AZ108" s="622"/>
      <c r="BA108" s="622"/>
      <c r="BB108" s="622"/>
      <c r="BC108" s="622"/>
      <c r="BD108" s="622"/>
      <c r="BE108" s="622"/>
      <c r="BF108" s="622"/>
      <c r="BG108" s="622"/>
      <c r="BH108" s="622"/>
      <c r="BI108" s="622"/>
      <c r="BJ108" s="622"/>
      <c r="BK108" s="622"/>
      <c r="BL108" s="622"/>
      <c r="BM108" s="622"/>
      <c r="BN108" s="622"/>
      <c r="BO108" s="622"/>
      <c r="BP108" s="575"/>
      <c r="BQ108" s="473"/>
      <c r="BR108" s="473"/>
      <c r="BS108" s="473"/>
      <c r="BT108" s="473"/>
      <c r="BU108" s="473"/>
      <c r="BV108" s="473"/>
      <c r="BW108" s="473"/>
      <c r="BX108" s="473"/>
      <c r="BY108" s="473"/>
      <c r="BZ108" s="473"/>
      <c r="CA108" s="473"/>
      <c r="CB108" s="473"/>
      <c r="CC108" s="473"/>
      <c r="CD108" s="473"/>
      <c r="CE108" s="473"/>
      <c r="CF108" s="473"/>
      <c r="CG108" s="473"/>
      <c r="CH108" s="473"/>
      <c r="CI108" s="473"/>
    </row>
    <row r="109" spans="1:87" ht="12.75" customHeight="1" x14ac:dyDescent="0.2">
      <c r="A109" s="622"/>
      <c r="B109" s="622"/>
      <c r="C109" s="622"/>
      <c r="D109" s="622"/>
      <c r="E109" s="622"/>
      <c r="F109" s="622"/>
      <c r="G109" s="622"/>
      <c r="H109" s="622"/>
      <c r="I109" s="622"/>
      <c r="J109" s="622"/>
      <c r="K109" s="622"/>
      <c r="L109" s="622"/>
      <c r="M109" s="622"/>
      <c r="N109" s="622"/>
      <c r="O109" s="622"/>
      <c r="P109" s="622"/>
      <c r="Q109" s="622"/>
      <c r="R109" s="622"/>
      <c r="S109" s="622"/>
      <c r="T109" s="622"/>
      <c r="U109" s="622"/>
      <c r="V109" s="622"/>
      <c r="W109" s="622"/>
      <c r="X109" s="622"/>
      <c r="Y109" s="622"/>
      <c r="Z109" s="622"/>
      <c r="AA109" s="622"/>
      <c r="AB109" s="622"/>
      <c r="AC109" s="622"/>
      <c r="AD109" s="622"/>
      <c r="AE109" s="622"/>
      <c r="AF109" s="622"/>
      <c r="AG109" s="622"/>
      <c r="AH109" s="622"/>
      <c r="AI109" s="622"/>
      <c r="AJ109" s="622"/>
      <c r="AK109" s="622"/>
      <c r="AL109" s="622"/>
      <c r="AM109" s="622"/>
      <c r="AN109" s="622"/>
      <c r="AO109" s="622"/>
      <c r="AP109" s="622"/>
      <c r="AQ109" s="622"/>
      <c r="AR109" s="622"/>
      <c r="AS109" s="622"/>
      <c r="AT109" s="622"/>
      <c r="AU109" s="622"/>
      <c r="AV109" s="622"/>
      <c r="AW109" s="622"/>
      <c r="AX109" s="622"/>
      <c r="AY109" s="622"/>
      <c r="AZ109" s="622"/>
      <c r="BA109" s="622"/>
      <c r="BB109" s="622"/>
      <c r="BC109" s="622"/>
      <c r="BD109" s="622"/>
      <c r="BE109" s="622"/>
      <c r="BF109" s="622"/>
      <c r="BG109" s="622"/>
      <c r="BH109" s="622"/>
      <c r="BI109" s="622"/>
      <c r="BJ109" s="622"/>
      <c r="BK109" s="622"/>
      <c r="BL109" s="622"/>
      <c r="BM109" s="622"/>
      <c r="BN109" s="622"/>
      <c r="BO109" s="622"/>
      <c r="BP109" s="575"/>
      <c r="BQ109" s="473"/>
      <c r="BR109" s="473"/>
      <c r="BS109" s="473"/>
      <c r="BT109" s="473"/>
      <c r="BU109" s="473"/>
      <c r="BV109" s="473"/>
      <c r="BW109" s="473"/>
      <c r="BX109" s="473"/>
      <c r="BY109" s="473"/>
      <c r="BZ109" s="473"/>
      <c r="CA109" s="473"/>
      <c r="CB109" s="473"/>
      <c r="CC109" s="473"/>
      <c r="CD109" s="473"/>
      <c r="CE109" s="473"/>
      <c r="CF109" s="473"/>
      <c r="CG109" s="473"/>
      <c r="CH109" s="473"/>
      <c r="CI109" s="473"/>
    </row>
    <row r="110" spans="1:87" ht="12.75" customHeight="1" x14ac:dyDescent="0.2">
      <c r="A110" s="622"/>
      <c r="B110" s="622"/>
      <c r="C110" s="622"/>
      <c r="D110" s="622"/>
      <c r="E110" s="622"/>
      <c r="F110" s="622"/>
      <c r="G110" s="622"/>
      <c r="H110" s="622"/>
      <c r="I110" s="622"/>
      <c r="J110" s="622"/>
      <c r="K110" s="622"/>
      <c r="L110" s="622"/>
      <c r="M110" s="622"/>
      <c r="N110" s="622"/>
      <c r="O110" s="622"/>
      <c r="P110" s="622"/>
      <c r="Q110" s="622"/>
      <c r="R110" s="622"/>
      <c r="S110" s="622"/>
      <c r="T110" s="622"/>
      <c r="U110" s="622"/>
      <c r="V110" s="622"/>
      <c r="W110" s="622"/>
      <c r="X110" s="622"/>
      <c r="Y110" s="622"/>
      <c r="Z110" s="622"/>
      <c r="AA110" s="622"/>
      <c r="AB110" s="622"/>
      <c r="AC110" s="622"/>
      <c r="AD110" s="622"/>
      <c r="AE110" s="622"/>
      <c r="AF110" s="622"/>
      <c r="AG110" s="622"/>
      <c r="AH110" s="622"/>
      <c r="AI110" s="622"/>
      <c r="AJ110" s="622"/>
      <c r="AK110" s="622"/>
      <c r="AL110" s="622"/>
      <c r="AM110" s="622"/>
      <c r="AN110" s="622"/>
      <c r="AO110" s="622"/>
      <c r="AP110" s="622"/>
      <c r="AQ110" s="622"/>
      <c r="AR110" s="622"/>
      <c r="AS110" s="622"/>
      <c r="AT110" s="622"/>
      <c r="AU110" s="622"/>
      <c r="AV110" s="622"/>
      <c r="AW110" s="622"/>
      <c r="AX110" s="622"/>
      <c r="AY110" s="622"/>
      <c r="AZ110" s="622"/>
      <c r="BA110" s="622"/>
      <c r="BB110" s="622"/>
      <c r="BC110" s="622"/>
      <c r="BD110" s="622"/>
      <c r="BE110" s="622"/>
      <c r="BF110" s="622"/>
      <c r="BG110" s="622"/>
      <c r="BH110" s="622"/>
      <c r="BI110" s="622"/>
      <c r="BJ110" s="622"/>
      <c r="BK110" s="622"/>
      <c r="BL110" s="622"/>
      <c r="BM110" s="622"/>
      <c r="BN110" s="622"/>
      <c r="BO110" s="622"/>
      <c r="BP110" s="575"/>
      <c r="BQ110" s="473"/>
      <c r="BR110" s="473"/>
      <c r="BS110" s="473"/>
      <c r="BT110" s="473"/>
      <c r="BU110" s="473"/>
      <c r="BV110" s="473"/>
      <c r="BW110" s="473"/>
      <c r="BX110" s="473"/>
      <c r="BY110" s="473"/>
      <c r="BZ110" s="473"/>
      <c r="CA110" s="473"/>
      <c r="CB110" s="473"/>
      <c r="CC110" s="473"/>
      <c r="CD110" s="473"/>
      <c r="CE110" s="473"/>
      <c r="CF110" s="473"/>
      <c r="CG110" s="473"/>
      <c r="CH110" s="473"/>
      <c r="CI110" s="473"/>
    </row>
    <row r="111" spans="1:87" ht="12.75" customHeight="1" x14ac:dyDescent="0.2">
      <c r="A111" s="622"/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22"/>
      <c r="AB111" s="622"/>
      <c r="AC111" s="622"/>
      <c r="AD111" s="622"/>
      <c r="AE111" s="622"/>
      <c r="AF111" s="622"/>
      <c r="AG111" s="622"/>
      <c r="AH111" s="622"/>
      <c r="AI111" s="622"/>
      <c r="AJ111" s="622"/>
      <c r="AK111" s="622"/>
      <c r="AL111" s="622"/>
      <c r="AM111" s="622"/>
      <c r="AN111" s="622"/>
      <c r="AO111" s="622"/>
      <c r="AP111" s="622"/>
      <c r="AQ111" s="622"/>
      <c r="AR111" s="622"/>
      <c r="AS111" s="622"/>
      <c r="AT111" s="622"/>
      <c r="AU111" s="622"/>
      <c r="AV111" s="622"/>
      <c r="AW111" s="622"/>
      <c r="AX111" s="622"/>
      <c r="AY111" s="622"/>
      <c r="AZ111" s="622"/>
      <c r="BA111" s="622"/>
      <c r="BB111" s="622"/>
      <c r="BC111" s="622"/>
      <c r="BD111" s="622"/>
      <c r="BE111" s="622"/>
      <c r="BF111" s="622"/>
      <c r="BG111" s="622"/>
      <c r="BH111" s="622"/>
      <c r="BI111" s="622"/>
      <c r="BJ111" s="622"/>
      <c r="BK111" s="622"/>
      <c r="BL111" s="622"/>
      <c r="BM111" s="622"/>
      <c r="BN111" s="622"/>
      <c r="BO111" s="622"/>
      <c r="BP111" s="575"/>
      <c r="BQ111" s="471"/>
      <c r="BR111" s="471"/>
      <c r="BS111" s="471"/>
      <c r="BT111" s="471"/>
      <c r="BU111" s="471"/>
      <c r="BV111" s="471"/>
      <c r="BW111" s="471"/>
      <c r="BX111" s="471"/>
      <c r="BY111" s="471"/>
      <c r="BZ111" s="471"/>
      <c r="CA111" s="471"/>
      <c r="CB111" s="471"/>
      <c r="CC111" s="471"/>
      <c r="CD111" s="471"/>
      <c r="CE111" s="471"/>
      <c r="CF111" s="471"/>
      <c r="CG111" s="471"/>
      <c r="CH111" s="471"/>
      <c r="CI111" s="471"/>
    </row>
    <row r="112" spans="1:87" ht="12.75" customHeight="1" x14ac:dyDescent="0.2">
      <c r="A112" s="622"/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22"/>
      <c r="AB112" s="622"/>
      <c r="AC112" s="622"/>
      <c r="AD112" s="622"/>
      <c r="AE112" s="622"/>
      <c r="AF112" s="622"/>
      <c r="AG112" s="622"/>
      <c r="AH112" s="622"/>
      <c r="AI112" s="622"/>
      <c r="AJ112" s="622"/>
      <c r="AK112" s="622"/>
      <c r="AL112" s="622"/>
      <c r="AM112" s="622"/>
      <c r="AN112" s="622"/>
      <c r="AO112" s="622"/>
      <c r="AP112" s="622"/>
      <c r="AQ112" s="622"/>
      <c r="AR112" s="622"/>
      <c r="AS112" s="622"/>
      <c r="AT112" s="622"/>
      <c r="AU112" s="622"/>
      <c r="AV112" s="622"/>
      <c r="AW112" s="622"/>
      <c r="AX112" s="622"/>
      <c r="AY112" s="622"/>
      <c r="AZ112" s="622"/>
      <c r="BA112" s="622"/>
      <c r="BB112" s="622"/>
      <c r="BC112" s="622"/>
      <c r="BD112" s="622"/>
      <c r="BE112" s="622"/>
      <c r="BF112" s="622"/>
      <c r="BG112" s="622"/>
      <c r="BH112" s="622"/>
      <c r="BI112" s="622"/>
      <c r="BJ112" s="622"/>
      <c r="BK112" s="622"/>
      <c r="BL112" s="622"/>
      <c r="BM112" s="622"/>
      <c r="BN112" s="622"/>
      <c r="BO112" s="622"/>
      <c r="BP112" s="575"/>
      <c r="BQ112" s="471"/>
      <c r="BR112" s="471"/>
      <c r="BS112" s="471"/>
      <c r="BT112" s="471"/>
      <c r="BU112" s="471"/>
      <c r="BV112" s="471"/>
      <c r="BW112" s="471"/>
      <c r="BX112" s="471"/>
      <c r="BY112" s="471"/>
      <c r="BZ112" s="471"/>
      <c r="CA112" s="471"/>
      <c r="CB112" s="471"/>
      <c r="CC112" s="471"/>
      <c r="CD112" s="471"/>
      <c r="CE112" s="471"/>
      <c r="CF112" s="471"/>
      <c r="CG112" s="471"/>
      <c r="CH112" s="471"/>
      <c r="CI112" s="471"/>
    </row>
    <row r="113" spans="1:87" ht="12.75" customHeight="1" x14ac:dyDescent="0.2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O113" s="622"/>
      <c r="P113" s="622"/>
      <c r="Q113" s="622"/>
      <c r="R113" s="622"/>
      <c r="S113" s="622"/>
      <c r="T113" s="622"/>
      <c r="U113" s="622"/>
      <c r="V113" s="622"/>
      <c r="W113" s="622"/>
      <c r="X113" s="622"/>
      <c r="Y113" s="622"/>
      <c r="Z113" s="622"/>
      <c r="AA113" s="622"/>
      <c r="AB113" s="622"/>
      <c r="AC113" s="622"/>
      <c r="AD113" s="622"/>
      <c r="AE113" s="622"/>
      <c r="AF113" s="622"/>
      <c r="AG113" s="622"/>
      <c r="AH113" s="622"/>
      <c r="AI113" s="622"/>
      <c r="AJ113" s="622"/>
      <c r="AK113" s="622"/>
      <c r="AL113" s="622"/>
      <c r="AM113" s="622"/>
      <c r="AN113" s="622"/>
      <c r="AO113" s="622"/>
      <c r="AP113" s="622"/>
      <c r="AQ113" s="622"/>
      <c r="AR113" s="622"/>
      <c r="AS113" s="622"/>
      <c r="AT113" s="622"/>
      <c r="AU113" s="622"/>
      <c r="AV113" s="622"/>
      <c r="AW113" s="622"/>
      <c r="AX113" s="622"/>
      <c r="AY113" s="622"/>
      <c r="AZ113" s="622"/>
      <c r="BA113" s="622"/>
      <c r="BB113" s="622"/>
      <c r="BC113" s="622"/>
      <c r="BD113" s="622"/>
      <c r="BE113" s="622"/>
      <c r="BF113" s="622"/>
      <c r="BG113" s="622"/>
      <c r="BH113" s="622"/>
      <c r="BI113" s="622"/>
      <c r="BJ113" s="622"/>
      <c r="BK113" s="622"/>
      <c r="BL113" s="622"/>
      <c r="BM113" s="622"/>
      <c r="BN113" s="622"/>
      <c r="BO113" s="622"/>
      <c r="BP113" s="575"/>
      <c r="BQ113" s="471"/>
      <c r="BR113" s="471"/>
      <c r="BS113" s="471"/>
      <c r="BT113" s="471"/>
      <c r="BU113" s="471"/>
      <c r="BV113" s="471"/>
      <c r="BW113" s="471"/>
      <c r="BX113" s="471"/>
      <c r="BY113" s="471"/>
      <c r="BZ113" s="471"/>
      <c r="CA113" s="471"/>
      <c r="CB113" s="471"/>
      <c r="CC113" s="471"/>
      <c r="CD113" s="471"/>
      <c r="CE113" s="471"/>
      <c r="CF113" s="471"/>
      <c r="CG113" s="471"/>
      <c r="CH113" s="471"/>
      <c r="CI113" s="471"/>
    </row>
    <row r="114" spans="1:87" ht="12.75" customHeight="1" x14ac:dyDescent="0.2">
      <c r="A114" s="575"/>
      <c r="B114" s="575"/>
      <c r="C114" s="575"/>
      <c r="D114" s="575"/>
      <c r="E114" s="575"/>
      <c r="F114" s="575"/>
      <c r="G114" s="575"/>
      <c r="H114" s="575"/>
      <c r="I114" s="575"/>
      <c r="J114" s="575"/>
      <c r="K114" s="575"/>
      <c r="L114" s="575"/>
      <c r="M114" s="575"/>
      <c r="N114" s="575"/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  <c r="Y114" s="575"/>
      <c r="Z114" s="575"/>
      <c r="AA114" s="575"/>
      <c r="AB114" s="575"/>
      <c r="AC114" s="575"/>
      <c r="AD114" s="575"/>
      <c r="AE114" s="575"/>
      <c r="AF114" s="575"/>
      <c r="AG114" s="575"/>
      <c r="AH114" s="575"/>
      <c r="AI114" s="575"/>
      <c r="AJ114" s="575"/>
      <c r="AK114" s="575"/>
      <c r="AL114" s="575"/>
      <c r="AM114" s="575"/>
      <c r="AN114" s="575"/>
      <c r="AO114" s="575"/>
      <c r="AP114" s="575"/>
      <c r="AQ114" s="575"/>
      <c r="AR114" s="575"/>
      <c r="AS114" s="575"/>
      <c r="AT114" s="575"/>
      <c r="AU114" s="575"/>
      <c r="AV114" s="575"/>
      <c r="AW114" s="575"/>
      <c r="AX114" s="575"/>
      <c r="AY114" s="575"/>
      <c r="AZ114" s="575"/>
      <c r="BA114" s="575"/>
      <c r="BB114" s="575"/>
      <c r="BC114" s="575"/>
      <c r="BD114" s="575"/>
      <c r="BE114" s="575"/>
      <c r="BF114" s="575"/>
      <c r="BG114" s="575"/>
      <c r="BH114" s="575"/>
      <c r="BI114" s="575"/>
      <c r="BJ114" s="575"/>
      <c r="BK114" s="575"/>
      <c r="BL114" s="575"/>
      <c r="BM114" s="575"/>
      <c r="BN114" s="575"/>
      <c r="BO114" s="575"/>
      <c r="BP114" s="575"/>
      <c r="BQ114" s="471"/>
      <c r="BR114" s="471"/>
      <c r="BS114" s="471"/>
      <c r="BT114" s="471"/>
      <c r="BU114" s="471"/>
      <c r="BV114" s="471"/>
      <c r="BW114" s="471"/>
      <c r="BX114" s="471"/>
      <c r="BY114" s="471"/>
      <c r="BZ114" s="471"/>
      <c r="CA114" s="471"/>
      <c r="CB114" s="471"/>
      <c r="CC114" s="471"/>
      <c r="CD114" s="471"/>
      <c r="CE114" s="471"/>
      <c r="CF114" s="471"/>
      <c r="CG114" s="471"/>
      <c r="CH114" s="471"/>
      <c r="CI114" s="471"/>
    </row>
    <row r="115" spans="1:87" ht="12.75" customHeight="1" x14ac:dyDescent="0.2">
      <c r="A115" s="575"/>
      <c r="B115" s="575"/>
      <c r="C115" s="575"/>
      <c r="D115" s="575"/>
      <c r="E115" s="575"/>
      <c r="F115" s="575"/>
      <c r="G115" s="575"/>
      <c r="H115" s="575"/>
      <c r="I115" s="575"/>
      <c r="J115" s="575"/>
      <c r="K115" s="575"/>
      <c r="L115" s="575"/>
      <c r="M115" s="575"/>
      <c r="N115" s="575"/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  <c r="Y115" s="575"/>
      <c r="Z115" s="575"/>
      <c r="AA115" s="575"/>
      <c r="AB115" s="575"/>
      <c r="AC115" s="575"/>
      <c r="AD115" s="575"/>
      <c r="AE115" s="575"/>
      <c r="AF115" s="575"/>
      <c r="AG115" s="575"/>
      <c r="AH115" s="575"/>
      <c r="AI115" s="575"/>
      <c r="AJ115" s="575"/>
      <c r="AK115" s="575"/>
      <c r="AL115" s="575"/>
      <c r="AM115" s="575"/>
      <c r="AN115" s="575"/>
      <c r="AO115" s="575"/>
      <c r="AP115" s="575"/>
      <c r="AQ115" s="575"/>
      <c r="AR115" s="575"/>
      <c r="AS115" s="575"/>
      <c r="AT115" s="575"/>
      <c r="AU115" s="575"/>
      <c r="AV115" s="575"/>
      <c r="AW115" s="575"/>
      <c r="AX115" s="575"/>
      <c r="AY115" s="575"/>
      <c r="AZ115" s="575"/>
      <c r="BA115" s="575"/>
      <c r="BB115" s="575"/>
      <c r="BC115" s="575"/>
      <c r="BD115" s="575"/>
      <c r="BE115" s="575"/>
      <c r="BF115" s="575"/>
      <c r="BG115" s="575"/>
      <c r="BH115" s="575"/>
      <c r="BI115" s="575"/>
      <c r="BJ115" s="575"/>
      <c r="BK115" s="575"/>
      <c r="BL115" s="575"/>
      <c r="BM115" s="575"/>
      <c r="BN115" s="575"/>
      <c r="BO115" s="575"/>
      <c r="BP115" s="575"/>
      <c r="BQ115" s="471"/>
      <c r="BR115" s="471"/>
      <c r="BS115" s="471"/>
      <c r="BT115" s="471"/>
      <c r="BU115" s="471"/>
      <c r="BV115" s="471"/>
      <c r="BW115" s="471"/>
      <c r="BX115" s="471"/>
      <c r="BY115" s="471"/>
      <c r="BZ115" s="471"/>
      <c r="CA115" s="471"/>
      <c r="CB115" s="471"/>
      <c r="CC115" s="471"/>
      <c r="CD115" s="471"/>
      <c r="CE115" s="471"/>
      <c r="CF115" s="471"/>
      <c r="CG115" s="471"/>
      <c r="CH115" s="471"/>
      <c r="CI115" s="471"/>
    </row>
    <row r="116" spans="1:87" ht="12.75" customHeight="1" x14ac:dyDescent="0.2">
      <c r="A116" s="575"/>
      <c r="B116" s="575"/>
      <c r="C116" s="575"/>
      <c r="D116" s="575"/>
      <c r="E116" s="575"/>
      <c r="F116" s="575"/>
      <c r="G116" s="575"/>
      <c r="H116" s="575"/>
      <c r="I116" s="575"/>
      <c r="J116" s="575"/>
      <c r="K116" s="575"/>
      <c r="L116" s="575"/>
      <c r="M116" s="575"/>
      <c r="N116" s="575"/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  <c r="Y116" s="575"/>
      <c r="Z116" s="575"/>
      <c r="AA116" s="575"/>
      <c r="AB116" s="575"/>
      <c r="AC116" s="575"/>
      <c r="AD116" s="575"/>
      <c r="AE116" s="575"/>
      <c r="AF116" s="575"/>
      <c r="AG116" s="575"/>
      <c r="AH116" s="575"/>
      <c r="AI116" s="575"/>
      <c r="AJ116" s="575"/>
      <c r="AK116" s="575"/>
      <c r="AL116" s="575"/>
      <c r="AM116" s="575"/>
      <c r="AN116" s="575"/>
      <c r="AO116" s="575"/>
      <c r="AP116" s="575"/>
      <c r="AQ116" s="575"/>
      <c r="AR116" s="575"/>
      <c r="AS116" s="575"/>
      <c r="AT116" s="575"/>
      <c r="AU116" s="575"/>
      <c r="AV116" s="575"/>
      <c r="AW116" s="575"/>
      <c r="AX116" s="575"/>
      <c r="AY116" s="575"/>
      <c r="AZ116" s="575"/>
      <c r="BA116" s="575"/>
      <c r="BB116" s="575"/>
      <c r="BC116" s="575"/>
      <c r="BD116" s="575"/>
      <c r="BE116" s="575"/>
      <c r="BF116" s="575"/>
      <c r="BG116" s="575"/>
      <c r="BH116" s="575"/>
      <c r="BI116" s="575"/>
      <c r="BJ116" s="575"/>
      <c r="BK116" s="575"/>
      <c r="BL116" s="575"/>
      <c r="BM116" s="575"/>
      <c r="BN116" s="575"/>
      <c r="BO116" s="575"/>
      <c r="BP116" s="575"/>
      <c r="BQ116" s="471"/>
      <c r="BR116" s="471"/>
      <c r="BS116" s="471"/>
      <c r="BT116" s="471"/>
      <c r="BU116" s="471"/>
      <c r="BV116" s="471"/>
      <c r="BW116" s="471"/>
      <c r="BX116" s="471"/>
      <c r="BY116" s="471"/>
      <c r="BZ116" s="471"/>
      <c r="CA116" s="471"/>
      <c r="CB116" s="471"/>
      <c r="CC116" s="471"/>
      <c r="CD116" s="471"/>
      <c r="CE116" s="471"/>
      <c r="CF116" s="471"/>
      <c r="CG116" s="471"/>
      <c r="CH116" s="471"/>
      <c r="CI116" s="471"/>
    </row>
    <row r="117" spans="1:87" ht="12.75" customHeight="1" x14ac:dyDescent="0.2">
      <c r="A117" s="575"/>
      <c r="B117" s="575"/>
      <c r="C117" s="575"/>
      <c r="D117" s="575"/>
      <c r="E117" s="575"/>
      <c r="F117" s="575"/>
      <c r="G117" s="575"/>
      <c r="H117" s="575"/>
      <c r="I117" s="575"/>
      <c r="J117" s="575"/>
      <c r="K117" s="575"/>
      <c r="L117" s="575"/>
      <c r="M117" s="575"/>
      <c r="N117" s="575"/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  <c r="Y117" s="575"/>
      <c r="Z117" s="575"/>
      <c r="AA117" s="575"/>
      <c r="AB117" s="575"/>
      <c r="AC117" s="575"/>
      <c r="AD117" s="575"/>
      <c r="AE117" s="575"/>
      <c r="AF117" s="575"/>
      <c r="AG117" s="575"/>
      <c r="AH117" s="575"/>
      <c r="AI117" s="575"/>
      <c r="AJ117" s="575"/>
      <c r="AK117" s="575"/>
      <c r="AL117" s="575"/>
      <c r="AM117" s="575"/>
      <c r="AN117" s="575"/>
      <c r="AO117" s="575"/>
      <c r="AP117" s="575"/>
      <c r="AQ117" s="575"/>
      <c r="AR117" s="575"/>
      <c r="AS117" s="575"/>
      <c r="AT117" s="575"/>
      <c r="AU117" s="575"/>
      <c r="AV117" s="575"/>
      <c r="AW117" s="575"/>
      <c r="AX117" s="575"/>
      <c r="AY117" s="575"/>
      <c r="AZ117" s="575"/>
      <c r="BA117" s="575"/>
      <c r="BB117" s="575"/>
      <c r="BC117" s="575"/>
      <c r="BD117" s="575"/>
      <c r="BE117" s="575"/>
      <c r="BF117" s="575"/>
      <c r="BG117" s="575"/>
      <c r="BH117" s="575"/>
      <c r="BI117" s="575"/>
      <c r="BJ117" s="575"/>
      <c r="BK117" s="575"/>
      <c r="BL117" s="575"/>
      <c r="BM117" s="575"/>
      <c r="BN117" s="575"/>
      <c r="BO117" s="575"/>
      <c r="BP117" s="575"/>
      <c r="BQ117" s="471"/>
      <c r="BR117" s="471"/>
      <c r="BS117" s="471"/>
      <c r="BT117" s="471"/>
      <c r="BU117" s="471"/>
      <c r="BV117" s="471"/>
      <c r="BW117" s="471"/>
      <c r="BX117" s="471"/>
      <c r="BY117" s="471"/>
      <c r="BZ117" s="471"/>
      <c r="CA117" s="471"/>
      <c r="CB117" s="471"/>
      <c r="CC117" s="471"/>
      <c r="CD117" s="471"/>
      <c r="CE117" s="471"/>
      <c r="CF117" s="471"/>
      <c r="CG117" s="471"/>
      <c r="CH117" s="471"/>
      <c r="CI117" s="471"/>
    </row>
    <row r="118" spans="1:87" ht="12.75" customHeight="1" x14ac:dyDescent="0.2">
      <c r="A118" s="575"/>
      <c r="B118" s="575"/>
      <c r="C118" s="575"/>
      <c r="D118" s="575"/>
      <c r="E118" s="575"/>
      <c r="F118" s="575"/>
      <c r="G118" s="575"/>
      <c r="H118" s="575"/>
      <c r="I118" s="575"/>
      <c r="J118" s="575"/>
      <c r="K118" s="575"/>
      <c r="L118" s="575"/>
      <c r="M118" s="575"/>
      <c r="N118" s="575"/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  <c r="Y118" s="575"/>
      <c r="Z118" s="575"/>
      <c r="AA118" s="575"/>
      <c r="AB118" s="575"/>
      <c r="AC118" s="575"/>
      <c r="AD118" s="575"/>
      <c r="AE118" s="575"/>
      <c r="AF118" s="575"/>
      <c r="AG118" s="575"/>
      <c r="AH118" s="575"/>
      <c r="AI118" s="575"/>
      <c r="AJ118" s="575"/>
      <c r="AK118" s="575"/>
      <c r="AL118" s="575"/>
      <c r="AM118" s="575"/>
      <c r="AN118" s="575"/>
      <c r="AO118" s="575"/>
      <c r="AP118" s="575"/>
      <c r="AQ118" s="575"/>
      <c r="AR118" s="575"/>
      <c r="AS118" s="575"/>
      <c r="AT118" s="575"/>
      <c r="AU118" s="575"/>
      <c r="AV118" s="575"/>
      <c r="AW118" s="575"/>
      <c r="AX118" s="575"/>
      <c r="AY118" s="575"/>
      <c r="AZ118" s="575"/>
      <c r="BA118" s="575"/>
      <c r="BB118" s="575"/>
      <c r="BC118" s="575"/>
      <c r="BD118" s="575"/>
      <c r="BE118" s="575"/>
      <c r="BF118" s="575"/>
      <c r="BG118" s="575"/>
      <c r="BH118" s="575"/>
      <c r="BI118" s="575"/>
      <c r="BJ118" s="575"/>
      <c r="BK118" s="575"/>
      <c r="BL118" s="575"/>
      <c r="BM118" s="575"/>
      <c r="BN118" s="575"/>
      <c r="BO118" s="575"/>
      <c r="BP118" s="575"/>
      <c r="BQ118" s="471"/>
      <c r="BR118" s="471"/>
      <c r="BS118" s="471"/>
      <c r="BT118" s="471"/>
      <c r="BU118" s="471"/>
      <c r="BV118" s="471"/>
      <c r="BW118" s="471"/>
      <c r="BX118" s="471"/>
      <c r="BY118" s="471"/>
      <c r="BZ118" s="471"/>
      <c r="CA118" s="471"/>
      <c r="CB118" s="471"/>
      <c r="CC118" s="471"/>
      <c r="CD118" s="471"/>
      <c r="CE118" s="471"/>
      <c r="CF118" s="471"/>
      <c r="CG118" s="471"/>
      <c r="CH118" s="471"/>
      <c r="CI118" s="471"/>
    </row>
    <row r="119" spans="1:87" ht="12.75" customHeight="1" x14ac:dyDescent="0.2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5"/>
      <c r="P119" s="575"/>
      <c r="Q119" s="575"/>
      <c r="R119" s="575"/>
      <c r="S119" s="575"/>
      <c r="T119" s="575"/>
      <c r="U119" s="575"/>
      <c r="V119" s="575"/>
      <c r="W119" s="575"/>
      <c r="X119" s="575"/>
      <c r="Y119" s="575"/>
      <c r="Z119" s="575"/>
      <c r="AA119" s="575"/>
      <c r="AB119" s="575"/>
      <c r="AC119" s="575"/>
      <c r="AD119" s="575"/>
      <c r="AE119" s="575"/>
      <c r="AF119" s="575"/>
      <c r="AG119" s="575"/>
      <c r="AH119" s="575"/>
      <c r="AI119" s="575"/>
      <c r="AJ119" s="575"/>
      <c r="AK119" s="575"/>
      <c r="AL119" s="575"/>
      <c r="AM119" s="575"/>
      <c r="AN119" s="575"/>
      <c r="AO119" s="575"/>
      <c r="AP119" s="575"/>
      <c r="AQ119" s="575"/>
      <c r="AR119" s="575"/>
      <c r="AS119" s="575"/>
      <c r="AT119" s="575"/>
      <c r="AU119" s="575"/>
      <c r="AV119" s="575"/>
      <c r="AW119" s="575"/>
      <c r="AX119" s="575"/>
      <c r="AY119" s="575"/>
      <c r="AZ119" s="575"/>
      <c r="BA119" s="575"/>
      <c r="BB119" s="575"/>
      <c r="BC119" s="575"/>
      <c r="BD119" s="575"/>
      <c r="BE119" s="575"/>
      <c r="BF119" s="575"/>
      <c r="BG119" s="575"/>
      <c r="BH119" s="575"/>
      <c r="BI119" s="575"/>
      <c r="BJ119" s="575"/>
      <c r="BK119" s="575"/>
      <c r="BL119" s="575"/>
      <c r="BM119" s="575"/>
      <c r="BN119" s="575"/>
      <c r="BO119" s="575"/>
      <c r="BP119" s="575"/>
      <c r="BQ119" s="471"/>
      <c r="BR119" s="471"/>
      <c r="BS119" s="471"/>
      <c r="BT119" s="471"/>
      <c r="BU119" s="471"/>
      <c r="BV119" s="471"/>
      <c r="BW119" s="471"/>
      <c r="BX119" s="471"/>
      <c r="BY119" s="471"/>
      <c r="BZ119" s="471"/>
      <c r="CA119" s="471"/>
      <c r="CB119" s="471"/>
      <c r="CC119" s="471"/>
      <c r="CD119" s="471"/>
      <c r="CE119" s="471"/>
      <c r="CF119" s="471"/>
      <c r="CG119" s="471"/>
      <c r="CH119" s="471"/>
      <c r="CI119" s="471"/>
    </row>
    <row r="120" spans="1:87" ht="12.75" customHeight="1" x14ac:dyDescent="0.2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  <c r="Y120" s="575"/>
      <c r="Z120" s="575"/>
      <c r="AA120" s="575"/>
      <c r="AB120" s="575"/>
      <c r="AC120" s="575"/>
      <c r="AD120" s="575"/>
      <c r="AE120" s="575"/>
      <c r="AF120" s="575"/>
      <c r="AG120" s="575"/>
      <c r="AH120" s="575"/>
      <c r="AI120" s="575"/>
      <c r="AJ120" s="575"/>
      <c r="AK120" s="575"/>
      <c r="AL120" s="575"/>
      <c r="AM120" s="575"/>
      <c r="AN120" s="575"/>
      <c r="AO120" s="575"/>
      <c r="AP120" s="575"/>
      <c r="AQ120" s="575"/>
      <c r="AR120" s="575"/>
      <c r="AS120" s="575"/>
      <c r="AT120" s="575"/>
      <c r="AU120" s="575"/>
      <c r="AV120" s="575"/>
      <c r="AW120" s="575"/>
      <c r="AX120" s="575"/>
      <c r="AY120" s="575"/>
      <c r="AZ120" s="575"/>
      <c r="BA120" s="575"/>
      <c r="BB120" s="575"/>
      <c r="BC120" s="575"/>
      <c r="BD120" s="575"/>
      <c r="BE120" s="575"/>
      <c r="BF120" s="575"/>
      <c r="BG120" s="575"/>
      <c r="BH120" s="575"/>
      <c r="BI120" s="575"/>
      <c r="BJ120" s="575"/>
      <c r="BK120" s="575"/>
      <c r="BL120" s="575"/>
      <c r="BM120" s="575"/>
      <c r="BN120" s="575"/>
      <c r="BO120" s="575"/>
      <c r="BP120" s="575"/>
      <c r="BQ120" s="471"/>
      <c r="BR120" s="471"/>
      <c r="BS120" s="471"/>
      <c r="BT120" s="471"/>
      <c r="BU120" s="471"/>
      <c r="BV120" s="471"/>
      <c r="BW120" s="471"/>
      <c r="BX120" s="471"/>
      <c r="BY120" s="471"/>
      <c r="BZ120" s="471"/>
      <c r="CA120" s="471"/>
      <c r="CB120" s="471"/>
      <c r="CC120" s="471"/>
      <c r="CD120" s="471"/>
      <c r="CE120" s="471"/>
      <c r="CF120" s="471"/>
      <c r="CG120" s="471"/>
      <c r="CH120" s="471"/>
      <c r="CI120" s="471"/>
    </row>
    <row r="121" spans="1:87" ht="12.75" customHeight="1" x14ac:dyDescent="0.2">
      <c r="A121" s="575"/>
      <c r="B121" s="575"/>
      <c r="C121" s="575"/>
      <c r="D121" s="575"/>
      <c r="E121" s="575"/>
      <c r="F121" s="575"/>
      <c r="G121" s="575"/>
      <c r="H121" s="575"/>
      <c r="I121" s="575"/>
      <c r="J121" s="575"/>
      <c r="K121" s="575"/>
      <c r="L121" s="575"/>
      <c r="M121" s="575"/>
      <c r="N121" s="575"/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  <c r="Y121" s="575"/>
      <c r="Z121" s="575"/>
      <c r="AA121" s="575"/>
      <c r="AB121" s="575"/>
      <c r="AC121" s="575"/>
      <c r="AD121" s="575"/>
      <c r="AE121" s="575"/>
      <c r="AF121" s="575"/>
      <c r="AG121" s="575"/>
      <c r="AH121" s="575"/>
      <c r="AI121" s="575"/>
      <c r="AJ121" s="575"/>
      <c r="AK121" s="575"/>
      <c r="AL121" s="575"/>
      <c r="AM121" s="575"/>
      <c r="AN121" s="575"/>
      <c r="AO121" s="575"/>
      <c r="AP121" s="575"/>
      <c r="AQ121" s="575"/>
      <c r="AR121" s="575"/>
      <c r="AS121" s="575"/>
      <c r="AT121" s="575"/>
      <c r="AU121" s="575"/>
      <c r="AV121" s="575"/>
      <c r="AW121" s="575"/>
      <c r="AX121" s="575"/>
      <c r="AY121" s="575"/>
      <c r="AZ121" s="575"/>
      <c r="BA121" s="575"/>
      <c r="BB121" s="575"/>
      <c r="BC121" s="575"/>
      <c r="BD121" s="575"/>
      <c r="BE121" s="575"/>
      <c r="BF121" s="575"/>
      <c r="BG121" s="575"/>
      <c r="BH121" s="575"/>
      <c r="BI121" s="575"/>
      <c r="BJ121" s="575"/>
      <c r="BK121" s="575"/>
      <c r="BL121" s="575"/>
      <c r="BM121" s="575"/>
      <c r="BN121" s="575"/>
      <c r="BO121" s="575"/>
      <c r="BP121" s="575"/>
      <c r="BQ121" s="471"/>
      <c r="BR121" s="471"/>
      <c r="BS121" s="471"/>
      <c r="BT121" s="471"/>
      <c r="BU121" s="471"/>
      <c r="BV121" s="471"/>
      <c r="BW121" s="471"/>
      <c r="BX121" s="471"/>
      <c r="BY121" s="471"/>
      <c r="BZ121" s="471"/>
      <c r="CA121" s="471"/>
      <c r="CB121" s="471"/>
      <c r="CC121" s="471"/>
      <c r="CD121" s="471"/>
      <c r="CE121" s="471"/>
      <c r="CF121" s="471"/>
      <c r="CG121" s="471"/>
      <c r="CH121" s="471"/>
      <c r="CI121" s="471"/>
    </row>
    <row r="122" spans="1:87" ht="12.75" customHeight="1" x14ac:dyDescent="0.2">
      <c r="A122" s="575"/>
      <c r="B122" s="575"/>
      <c r="C122" s="575"/>
      <c r="D122" s="575"/>
      <c r="E122" s="575"/>
      <c r="F122" s="575"/>
      <c r="G122" s="575"/>
      <c r="H122" s="575"/>
      <c r="I122" s="575"/>
      <c r="J122" s="575"/>
      <c r="K122" s="575"/>
      <c r="L122" s="575"/>
      <c r="M122" s="575"/>
      <c r="N122" s="575"/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  <c r="Y122" s="575"/>
      <c r="Z122" s="575"/>
      <c r="AA122" s="575"/>
      <c r="AB122" s="575"/>
      <c r="AC122" s="575"/>
      <c r="AD122" s="575"/>
      <c r="AE122" s="575"/>
      <c r="AF122" s="575"/>
      <c r="AG122" s="575"/>
      <c r="AH122" s="575"/>
      <c r="AI122" s="575"/>
      <c r="AJ122" s="575"/>
      <c r="AK122" s="575"/>
      <c r="AL122" s="575"/>
      <c r="AM122" s="575"/>
      <c r="AN122" s="575"/>
      <c r="AO122" s="575"/>
      <c r="AP122" s="575"/>
      <c r="AQ122" s="575"/>
      <c r="AR122" s="575"/>
      <c r="AS122" s="575"/>
      <c r="AT122" s="575"/>
      <c r="AU122" s="575"/>
      <c r="AV122" s="575"/>
      <c r="AW122" s="575"/>
      <c r="AX122" s="575"/>
      <c r="AY122" s="575"/>
      <c r="AZ122" s="575"/>
      <c r="BA122" s="575"/>
      <c r="BB122" s="575"/>
      <c r="BC122" s="575"/>
      <c r="BD122" s="575"/>
      <c r="BE122" s="575"/>
      <c r="BF122" s="575"/>
      <c r="BG122" s="575"/>
      <c r="BH122" s="575"/>
      <c r="BI122" s="575"/>
      <c r="BJ122" s="575"/>
      <c r="BK122" s="575"/>
      <c r="BL122" s="575"/>
      <c r="BM122" s="575"/>
      <c r="BN122" s="575"/>
      <c r="BO122" s="575"/>
      <c r="BP122" s="575"/>
      <c r="BQ122" s="471"/>
      <c r="BR122" s="471"/>
      <c r="BS122" s="471"/>
      <c r="BT122" s="471"/>
      <c r="BU122" s="471"/>
      <c r="BV122" s="471"/>
      <c r="BW122" s="471"/>
      <c r="BX122" s="471"/>
      <c r="BY122" s="471"/>
      <c r="BZ122" s="471"/>
      <c r="CA122" s="471"/>
      <c r="CB122" s="471"/>
      <c r="CC122" s="471"/>
      <c r="CD122" s="471"/>
      <c r="CE122" s="471"/>
      <c r="CF122" s="471"/>
      <c r="CG122" s="471"/>
      <c r="CH122" s="471"/>
      <c r="CI122" s="471"/>
    </row>
    <row r="123" spans="1:87" ht="12.75" customHeight="1" x14ac:dyDescent="0.2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75"/>
      <c r="AA123" s="575"/>
      <c r="AB123" s="575"/>
      <c r="AC123" s="575"/>
      <c r="AD123" s="575"/>
      <c r="AE123" s="575"/>
      <c r="AF123" s="575"/>
      <c r="AG123" s="575"/>
      <c r="AH123" s="575"/>
      <c r="AI123" s="575"/>
      <c r="AJ123" s="575"/>
      <c r="AK123" s="575"/>
      <c r="AL123" s="575"/>
      <c r="AM123" s="575"/>
      <c r="AN123" s="575"/>
      <c r="AO123" s="575"/>
      <c r="AP123" s="575"/>
      <c r="AQ123" s="575"/>
      <c r="AR123" s="575"/>
      <c r="AS123" s="575"/>
      <c r="AT123" s="575"/>
      <c r="AU123" s="575"/>
      <c r="AV123" s="575"/>
      <c r="AW123" s="575"/>
      <c r="AX123" s="575"/>
      <c r="AY123" s="575"/>
      <c r="AZ123" s="575"/>
      <c r="BA123" s="575"/>
      <c r="BB123" s="575"/>
      <c r="BC123" s="575"/>
      <c r="BD123" s="575"/>
      <c r="BE123" s="575"/>
      <c r="BF123" s="575"/>
      <c r="BG123" s="575"/>
      <c r="BH123" s="575"/>
      <c r="BI123" s="575"/>
      <c r="BJ123" s="575"/>
      <c r="BK123" s="575"/>
      <c r="BL123" s="575"/>
      <c r="BM123" s="575"/>
      <c r="BN123" s="575"/>
      <c r="BO123" s="575"/>
      <c r="BP123" s="575"/>
      <c r="BQ123" s="471"/>
      <c r="BR123" s="471"/>
      <c r="BS123" s="471"/>
      <c r="BT123" s="471"/>
      <c r="BU123" s="471"/>
      <c r="BV123" s="471"/>
      <c r="BW123" s="471"/>
      <c r="BX123" s="471"/>
      <c r="BY123" s="471"/>
      <c r="BZ123" s="471"/>
      <c r="CA123" s="471"/>
      <c r="CB123" s="471"/>
      <c r="CC123" s="471"/>
      <c r="CD123" s="471"/>
      <c r="CE123" s="471"/>
      <c r="CF123" s="471"/>
      <c r="CG123" s="471"/>
      <c r="CH123" s="471"/>
      <c r="CI123" s="471"/>
    </row>
    <row r="124" spans="1:87" ht="12.75" customHeight="1" x14ac:dyDescent="0.2">
      <c r="A124" s="575"/>
      <c r="B124" s="575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  <c r="Y124" s="575"/>
      <c r="Z124" s="575"/>
      <c r="AA124" s="575"/>
      <c r="AB124" s="575"/>
      <c r="AC124" s="575"/>
      <c r="AD124" s="575"/>
      <c r="AE124" s="575"/>
      <c r="AF124" s="575"/>
      <c r="AG124" s="575"/>
      <c r="AH124" s="575"/>
      <c r="AI124" s="575"/>
      <c r="AJ124" s="575"/>
      <c r="AK124" s="575"/>
      <c r="AL124" s="575"/>
      <c r="AM124" s="575"/>
      <c r="AN124" s="575"/>
      <c r="AO124" s="575"/>
      <c r="AP124" s="575"/>
      <c r="AQ124" s="575"/>
      <c r="AR124" s="575"/>
      <c r="AS124" s="575"/>
      <c r="AT124" s="575"/>
      <c r="AU124" s="575"/>
      <c r="AV124" s="575"/>
      <c r="AW124" s="575"/>
      <c r="AX124" s="575"/>
      <c r="AY124" s="575"/>
      <c r="AZ124" s="575"/>
      <c r="BA124" s="575"/>
      <c r="BB124" s="575"/>
      <c r="BC124" s="575"/>
      <c r="BD124" s="575"/>
      <c r="BE124" s="575"/>
      <c r="BF124" s="575"/>
      <c r="BG124" s="575"/>
      <c r="BH124" s="575"/>
      <c r="BI124" s="575"/>
      <c r="BJ124" s="575"/>
      <c r="BK124" s="575"/>
      <c r="BL124" s="575"/>
      <c r="BM124" s="575"/>
      <c r="BN124" s="575"/>
      <c r="BO124" s="575"/>
      <c r="BP124" s="575"/>
      <c r="BQ124" s="471"/>
      <c r="BR124" s="471"/>
      <c r="BS124" s="471"/>
      <c r="BT124" s="471"/>
      <c r="BU124" s="471"/>
      <c r="BV124" s="471"/>
      <c r="BW124" s="471"/>
      <c r="BX124" s="471"/>
      <c r="BY124" s="471"/>
      <c r="BZ124" s="471"/>
      <c r="CA124" s="471"/>
      <c r="CB124" s="471"/>
      <c r="CC124" s="471"/>
      <c r="CD124" s="471"/>
      <c r="CE124" s="471"/>
      <c r="CF124" s="471"/>
      <c r="CG124" s="471"/>
      <c r="CH124" s="471"/>
      <c r="CI124" s="471"/>
    </row>
    <row r="125" spans="1:87" ht="12.75" customHeight="1" x14ac:dyDescent="0.2">
      <c r="A125" s="575"/>
      <c r="B125" s="575"/>
      <c r="C125" s="575"/>
      <c r="D125" s="575"/>
      <c r="E125" s="575"/>
      <c r="F125" s="575"/>
      <c r="G125" s="575"/>
      <c r="H125" s="575"/>
      <c r="I125" s="575"/>
      <c r="J125" s="575"/>
      <c r="K125" s="575"/>
      <c r="L125" s="575"/>
      <c r="M125" s="575"/>
      <c r="N125" s="575"/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  <c r="Y125" s="575"/>
      <c r="Z125" s="575"/>
      <c r="AA125" s="575"/>
      <c r="AB125" s="575"/>
      <c r="AC125" s="575"/>
      <c r="AD125" s="575"/>
      <c r="AE125" s="575"/>
      <c r="AF125" s="575"/>
      <c r="AG125" s="575"/>
      <c r="AH125" s="575"/>
      <c r="AI125" s="575"/>
      <c r="AJ125" s="575"/>
      <c r="AK125" s="575"/>
      <c r="AL125" s="575"/>
      <c r="AM125" s="575"/>
      <c r="AN125" s="575"/>
      <c r="AO125" s="575"/>
      <c r="AP125" s="575"/>
      <c r="AQ125" s="575"/>
      <c r="AR125" s="575"/>
      <c r="AS125" s="575"/>
      <c r="AT125" s="575"/>
      <c r="AU125" s="575"/>
      <c r="AV125" s="575"/>
      <c r="AW125" s="575"/>
      <c r="AX125" s="575"/>
      <c r="AY125" s="575"/>
      <c r="AZ125" s="575"/>
      <c r="BA125" s="575"/>
      <c r="BB125" s="575"/>
      <c r="BC125" s="575"/>
      <c r="BD125" s="575"/>
      <c r="BE125" s="575"/>
      <c r="BF125" s="575"/>
      <c r="BG125" s="575"/>
      <c r="BH125" s="575"/>
      <c r="BI125" s="575"/>
      <c r="BJ125" s="575"/>
      <c r="BK125" s="575"/>
      <c r="BL125" s="575"/>
      <c r="BM125" s="575"/>
      <c r="BN125" s="575"/>
      <c r="BO125" s="575"/>
      <c r="BP125" s="575"/>
      <c r="BQ125" s="471"/>
      <c r="BR125" s="471"/>
      <c r="BS125" s="471"/>
      <c r="BT125" s="471"/>
      <c r="BU125" s="471"/>
      <c r="BV125" s="471"/>
      <c r="BW125" s="471"/>
      <c r="BX125" s="471"/>
      <c r="BY125" s="471"/>
      <c r="BZ125" s="471"/>
      <c r="CA125" s="471"/>
      <c r="CB125" s="471"/>
      <c r="CC125" s="471"/>
      <c r="CD125" s="471"/>
      <c r="CE125" s="471"/>
      <c r="CF125" s="471"/>
      <c r="CG125" s="471"/>
      <c r="CH125" s="471"/>
      <c r="CI125" s="471"/>
    </row>
    <row r="126" spans="1:87" ht="12.75" customHeight="1" x14ac:dyDescent="0.2">
      <c r="A126" s="575"/>
      <c r="B126" s="575"/>
      <c r="C126" s="575"/>
      <c r="D126" s="575"/>
      <c r="E126" s="575"/>
      <c r="F126" s="575"/>
      <c r="G126" s="575"/>
      <c r="H126" s="575"/>
      <c r="I126" s="575"/>
      <c r="J126" s="575"/>
      <c r="K126" s="575"/>
      <c r="L126" s="575"/>
      <c r="M126" s="575"/>
      <c r="N126" s="575"/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  <c r="Y126" s="575"/>
      <c r="Z126" s="575"/>
      <c r="AA126" s="575"/>
      <c r="AB126" s="575"/>
      <c r="AC126" s="575"/>
      <c r="AD126" s="575"/>
      <c r="AE126" s="575"/>
      <c r="AF126" s="575"/>
      <c r="AG126" s="575"/>
      <c r="AH126" s="575"/>
      <c r="AI126" s="575"/>
      <c r="AJ126" s="575"/>
      <c r="AK126" s="575"/>
      <c r="AL126" s="575"/>
      <c r="AM126" s="575"/>
      <c r="AN126" s="575"/>
      <c r="AO126" s="575"/>
      <c r="AP126" s="575"/>
      <c r="AQ126" s="575"/>
      <c r="AR126" s="575"/>
      <c r="AS126" s="575"/>
      <c r="AT126" s="575"/>
      <c r="AU126" s="575"/>
      <c r="AV126" s="575"/>
      <c r="AW126" s="575"/>
      <c r="AX126" s="575"/>
      <c r="AY126" s="575"/>
      <c r="AZ126" s="575"/>
      <c r="BA126" s="575"/>
      <c r="BB126" s="575"/>
      <c r="BC126" s="575"/>
      <c r="BD126" s="575"/>
      <c r="BE126" s="575"/>
      <c r="BF126" s="575"/>
      <c r="BG126" s="575"/>
      <c r="BH126" s="575"/>
      <c r="BI126" s="575"/>
      <c r="BJ126" s="575"/>
      <c r="BK126" s="575"/>
      <c r="BL126" s="575"/>
      <c r="BM126" s="575"/>
      <c r="BN126" s="575"/>
      <c r="BO126" s="575"/>
      <c r="BP126" s="575"/>
      <c r="BQ126" s="471"/>
      <c r="BR126" s="471"/>
      <c r="BS126" s="471"/>
      <c r="BT126" s="471"/>
      <c r="BU126" s="471"/>
      <c r="BV126" s="471"/>
      <c r="BW126" s="471"/>
      <c r="BX126" s="471"/>
      <c r="BY126" s="471"/>
      <c r="BZ126" s="471"/>
      <c r="CA126" s="471"/>
      <c r="CB126" s="471"/>
      <c r="CC126" s="471"/>
      <c r="CD126" s="471"/>
      <c r="CE126" s="471"/>
      <c r="CF126" s="471"/>
      <c r="CG126" s="471"/>
      <c r="CH126" s="471"/>
      <c r="CI126" s="471"/>
    </row>
    <row r="127" spans="1:87" ht="12.75" customHeight="1" x14ac:dyDescent="0.2">
      <c r="A127" s="575"/>
      <c r="B127" s="575"/>
      <c r="C127" s="575"/>
      <c r="D127" s="575"/>
      <c r="E127" s="575"/>
      <c r="F127" s="575"/>
      <c r="G127" s="575"/>
      <c r="H127" s="575"/>
      <c r="I127" s="575"/>
      <c r="J127" s="575"/>
      <c r="K127" s="575"/>
      <c r="L127" s="575"/>
      <c r="M127" s="575"/>
      <c r="N127" s="575"/>
      <c r="O127" s="575"/>
      <c r="P127" s="575"/>
      <c r="Q127" s="575"/>
      <c r="R127" s="575"/>
      <c r="S127" s="575"/>
      <c r="T127" s="575"/>
      <c r="U127" s="575"/>
      <c r="V127" s="575"/>
      <c r="W127" s="575"/>
      <c r="X127" s="575"/>
      <c r="Y127" s="575"/>
      <c r="Z127" s="575"/>
      <c r="AA127" s="575"/>
      <c r="AB127" s="575"/>
      <c r="AC127" s="575"/>
      <c r="AD127" s="575"/>
      <c r="AE127" s="575"/>
      <c r="AF127" s="575"/>
      <c r="AG127" s="575"/>
      <c r="AH127" s="575"/>
      <c r="AI127" s="575"/>
      <c r="AJ127" s="575"/>
      <c r="AK127" s="575"/>
      <c r="AL127" s="575"/>
      <c r="AM127" s="575"/>
      <c r="AN127" s="575"/>
      <c r="AO127" s="575"/>
      <c r="AP127" s="575"/>
      <c r="AQ127" s="575"/>
      <c r="AR127" s="575"/>
      <c r="AS127" s="575"/>
      <c r="AT127" s="575"/>
      <c r="AU127" s="575"/>
      <c r="AV127" s="575"/>
      <c r="AW127" s="575"/>
      <c r="AX127" s="575"/>
      <c r="AY127" s="575"/>
      <c r="AZ127" s="575"/>
      <c r="BA127" s="575"/>
      <c r="BB127" s="575"/>
      <c r="BC127" s="575"/>
      <c r="BD127" s="575"/>
      <c r="BE127" s="575"/>
      <c r="BF127" s="575"/>
      <c r="BG127" s="575"/>
      <c r="BH127" s="575"/>
      <c r="BI127" s="575"/>
      <c r="BJ127" s="575"/>
      <c r="BK127" s="575"/>
      <c r="BL127" s="575"/>
      <c r="BM127" s="575"/>
      <c r="BN127" s="575"/>
      <c r="BO127" s="575"/>
      <c r="BP127" s="575"/>
      <c r="BQ127" s="471"/>
      <c r="BR127" s="471"/>
      <c r="BS127" s="471"/>
      <c r="BT127" s="471"/>
      <c r="BU127" s="471"/>
      <c r="BV127" s="471"/>
      <c r="BW127" s="471"/>
      <c r="BX127" s="471"/>
      <c r="BY127" s="471"/>
      <c r="BZ127" s="471"/>
      <c r="CA127" s="471"/>
      <c r="CB127" s="471"/>
      <c r="CC127" s="471"/>
      <c r="CD127" s="471"/>
      <c r="CE127" s="471"/>
      <c r="CF127" s="471"/>
      <c r="CG127" s="471"/>
      <c r="CH127" s="471"/>
      <c r="CI127" s="471"/>
    </row>
    <row r="128" spans="1:87" ht="12.75" customHeight="1" x14ac:dyDescent="0.2">
      <c r="A128" s="575"/>
      <c r="B128" s="575"/>
      <c r="C128" s="575"/>
      <c r="D128" s="575"/>
      <c r="E128" s="575"/>
      <c r="F128" s="575"/>
      <c r="G128" s="575"/>
      <c r="H128" s="575"/>
      <c r="I128" s="575"/>
      <c r="J128" s="575"/>
      <c r="K128" s="575"/>
      <c r="L128" s="575"/>
      <c r="M128" s="575"/>
      <c r="N128" s="575"/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  <c r="Y128" s="575"/>
      <c r="Z128" s="575"/>
      <c r="AA128" s="575"/>
      <c r="AB128" s="575"/>
      <c r="AC128" s="575"/>
      <c r="AD128" s="575"/>
      <c r="AE128" s="575"/>
      <c r="AF128" s="575"/>
      <c r="AG128" s="575"/>
      <c r="AH128" s="575"/>
      <c r="AI128" s="575"/>
      <c r="AJ128" s="575"/>
      <c r="AK128" s="575"/>
      <c r="AL128" s="575"/>
      <c r="AM128" s="575"/>
      <c r="AN128" s="575"/>
      <c r="AO128" s="575"/>
      <c r="AP128" s="575"/>
      <c r="AQ128" s="575"/>
      <c r="AR128" s="575"/>
      <c r="AS128" s="575"/>
      <c r="AT128" s="575"/>
      <c r="AU128" s="575"/>
      <c r="AV128" s="575"/>
      <c r="AW128" s="575"/>
      <c r="AX128" s="575"/>
      <c r="AY128" s="575"/>
      <c r="AZ128" s="575"/>
      <c r="BA128" s="575"/>
      <c r="BB128" s="575"/>
      <c r="BC128" s="575"/>
      <c r="BD128" s="575"/>
      <c r="BE128" s="575"/>
      <c r="BF128" s="575"/>
      <c r="BG128" s="575"/>
      <c r="BH128" s="575"/>
      <c r="BI128" s="575"/>
      <c r="BJ128" s="575"/>
      <c r="BK128" s="575"/>
      <c r="BL128" s="575"/>
      <c r="BM128" s="575"/>
      <c r="BN128" s="575"/>
      <c r="BO128" s="575"/>
      <c r="BP128" s="575"/>
      <c r="BQ128" s="471"/>
      <c r="BR128" s="471"/>
      <c r="BS128" s="471"/>
      <c r="BT128" s="471"/>
      <c r="BU128" s="471"/>
      <c r="BV128" s="471"/>
      <c r="BW128" s="471"/>
      <c r="BX128" s="471"/>
      <c r="BY128" s="471"/>
      <c r="BZ128" s="471"/>
      <c r="CA128" s="471"/>
      <c r="CB128" s="471"/>
      <c r="CC128" s="471"/>
      <c r="CD128" s="471"/>
      <c r="CE128" s="471"/>
      <c r="CF128" s="471"/>
      <c r="CG128" s="471"/>
      <c r="CH128" s="471"/>
      <c r="CI128" s="471"/>
    </row>
    <row r="129" spans="1:87" ht="12.75" customHeight="1" x14ac:dyDescent="0.2">
      <c r="A129" s="575"/>
      <c r="B129" s="575"/>
      <c r="C129" s="575"/>
      <c r="D129" s="575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  <c r="Y129" s="575"/>
      <c r="Z129" s="575"/>
      <c r="AA129" s="575"/>
      <c r="AB129" s="575"/>
      <c r="AC129" s="575"/>
      <c r="AD129" s="575"/>
      <c r="AE129" s="575"/>
      <c r="AF129" s="575"/>
      <c r="AG129" s="575"/>
      <c r="AH129" s="575"/>
      <c r="AI129" s="575"/>
      <c r="AJ129" s="575"/>
      <c r="AK129" s="575"/>
      <c r="AL129" s="575"/>
      <c r="AM129" s="575"/>
      <c r="AN129" s="575"/>
      <c r="AO129" s="575"/>
      <c r="AP129" s="575"/>
      <c r="AQ129" s="575"/>
      <c r="AR129" s="575"/>
      <c r="AS129" s="575"/>
      <c r="AT129" s="575"/>
      <c r="AU129" s="575"/>
      <c r="AV129" s="575"/>
      <c r="AW129" s="575"/>
      <c r="AX129" s="575"/>
      <c r="AY129" s="575"/>
      <c r="AZ129" s="575"/>
      <c r="BA129" s="575"/>
      <c r="BB129" s="575"/>
      <c r="BC129" s="575"/>
      <c r="BD129" s="575"/>
      <c r="BE129" s="575"/>
      <c r="BF129" s="575"/>
      <c r="BG129" s="575"/>
      <c r="BH129" s="575"/>
      <c r="BI129" s="575"/>
      <c r="BJ129" s="575"/>
      <c r="BK129" s="575"/>
      <c r="BL129" s="575"/>
      <c r="BM129" s="575"/>
      <c r="BN129" s="575"/>
      <c r="BO129" s="575"/>
      <c r="BP129" s="575"/>
      <c r="BQ129" s="471"/>
      <c r="BR129" s="471"/>
      <c r="BS129" s="471"/>
      <c r="BT129" s="471"/>
      <c r="BU129" s="471"/>
      <c r="BV129" s="471"/>
      <c r="BW129" s="471"/>
      <c r="BX129" s="471"/>
      <c r="BY129" s="471"/>
      <c r="BZ129" s="471"/>
      <c r="CA129" s="471"/>
      <c r="CB129" s="471"/>
      <c r="CC129" s="471"/>
      <c r="CD129" s="471"/>
      <c r="CE129" s="471"/>
      <c r="CF129" s="471"/>
      <c r="CG129" s="471"/>
      <c r="CH129" s="471"/>
      <c r="CI129" s="471"/>
    </row>
    <row r="130" spans="1:87" ht="12.75" customHeight="1" x14ac:dyDescent="0.2">
      <c r="A130" s="575"/>
      <c r="B130" s="575"/>
      <c r="C130" s="575"/>
      <c r="D130" s="575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  <c r="Y130" s="575"/>
      <c r="Z130" s="575"/>
      <c r="AA130" s="575"/>
      <c r="AB130" s="575"/>
      <c r="AC130" s="575"/>
      <c r="AD130" s="575"/>
      <c r="AE130" s="575"/>
      <c r="AF130" s="575"/>
      <c r="AG130" s="575"/>
      <c r="AH130" s="575"/>
      <c r="AI130" s="575"/>
      <c r="AJ130" s="575"/>
      <c r="AK130" s="575"/>
      <c r="AL130" s="575"/>
      <c r="AM130" s="575"/>
      <c r="AN130" s="575"/>
      <c r="AO130" s="575"/>
      <c r="AP130" s="575"/>
      <c r="AQ130" s="575"/>
      <c r="AR130" s="575"/>
      <c r="AS130" s="575"/>
      <c r="AT130" s="575"/>
      <c r="AU130" s="575"/>
      <c r="AV130" s="575"/>
      <c r="AW130" s="575"/>
      <c r="AX130" s="575"/>
      <c r="AY130" s="575"/>
      <c r="AZ130" s="575"/>
      <c r="BA130" s="575"/>
      <c r="BB130" s="575"/>
      <c r="BC130" s="575"/>
      <c r="BD130" s="575"/>
      <c r="BE130" s="575"/>
      <c r="BF130" s="575"/>
      <c r="BG130" s="575"/>
      <c r="BH130" s="575"/>
      <c r="BI130" s="575"/>
      <c r="BJ130" s="575"/>
      <c r="BK130" s="575"/>
      <c r="BL130" s="575"/>
      <c r="BM130" s="575"/>
      <c r="BN130" s="575"/>
      <c r="BO130" s="575"/>
      <c r="BP130" s="575"/>
      <c r="BQ130" s="471"/>
      <c r="BR130" s="471"/>
      <c r="BS130" s="471"/>
      <c r="BT130" s="471"/>
      <c r="BU130" s="471"/>
      <c r="BV130" s="471"/>
      <c r="BW130" s="471"/>
      <c r="BX130" s="471"/>
      <c r="BY130" s="471"/>
      <c r="BZ130" s="471"/>
      <c r="CA130" s="471"/>
      <c r="CB130" s="471"/>
      <c r="CC130" s="471"/>
      <c r="CD130" s="471"/>
      <c r="CE130" s="471"/>
      <c r="CF130" s="471"/>
      <c r="CG130" s="471"/>
      <c r="CH130" s="471"/>
      <c r="CI130" s="471"/>
    </row>
    <row r="131" spans="1:87" ht="12.75" customHeight="1" x14ac:dyDescent="0.2">
      <c r="A131" s="575"/>
      <c r="B131" s="575"/>
      <c r="C131" s="575"/>
      <c r="D131" s="575"/>
      <c r="E131" s="575"/>
      <c r="F131" s="575"/>
      <c r="G131" s="575"/>
      <c r="H131" s="575"/>
      <c r="I131" s="575"/>
      <c r="J131" s="575"/>
      <c r="K131" s="575"/>
      <c r="L131" s="575"/>
      <c r="M131" s="575"/>
      <c r="N131" s="575"/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  <c r="Y131" s="575"/>
      <c r="Z131" s="575"/>
      <c r="AA131" s="575"/>
      <c r="AB131" s="575"/>
      <c r="AC131" s="575"/>
      <c r="AD131" s="575"/>
      <c r="AE131" s="575"/>
      <c r="AF131" s="575"/>
      <c r="AG131" s="575"/>
      <c r="AH131" s="575"/>
      <c r="AI131" s="575"/>
      <c r="AJ131" s="575"/>
      <c r="AK131" s="575"/>
      <c r="AL131" s="575"/>
      <c r="AM131" s="575"/>
      <c r="AN131" s="575"/>
      <c r="AO131" s="575"/>
      <c r="AP131" s="575"/>
      <c r="AQ131" s="575"/>
      <c r="AR131" s="575"/>
      <c r="AS131" s="575"/>
      <c r="AT131" s="575"/>
      <c r="AU131" s="575"/>
      <c r="AV131" s="575"/>
      <c r="AW131" s="575"/>
      <c r="AX131" s="575"/>
      <c r="AY131" s="575"/>
      <c r="AZ131" s="575"/>
      <c r="BA131" s="575"/>
      <c r="BB131" s="575"/>
      <c r="BC131" s="575"/>
      <c r="BD131" s="575"/>
      <c r="BE131" s="575"/>
      <c r="BF131" s="575"/>
      <c r="BG131" s="575"/>
      <c r="BH131" s="575"/>
      <c r="BI131" s="575"/>
      <c r="BJ131" s="575"/>
      <c r="BK131" s="575"/>
      <c r="BL131" s="575"/>
      <c r="BM131" s="575"/>
      <c r="BN131" s="575"/>
      <c r="BO131" s="575"/>
      <c r="BP131" s="575"/>
      <c r="BQ131" s="471"/>
      <c r="BR131" s="471"/>
      <c r="BS131" s="471"/>
      <c r="BT131" s="471"/>
      <c r="BU131" s="471"/>
      <c r="BV131" s="471"/>
      <c r="BW131" s="471"/>
      <c r="BX131" s="471"/>
      <c r="BY131" s="471"/>
      <c r="BZ131" s="471"/>
      <c r="CA131" s="471"/>
      <c r="CB131" s="471"/>
      <c r="CC131" s="471"/>
      <c r="CD131" s="471"/>
      <c r="CE131" s="471"/>
      <c r="CF131" s="471"/>
      <c r="CG131" s="471"/>
      <c r="CH131" s="471"/>
      <c r="CI131" s="471"/>
    </row>
    <row r="132" spans="1:87" ht="12.75" customHeight="1" x14ac:dyDescent="0.2">
      <c r="A132" s="575"/>
      <c r="B132" s="575"/>
      <c r="C132" s="575"/>
      <c r="D132" s="575"/>
      <c r="E132" s="575"/>
      <c r="F132" s="575"/>
      <c r="G132" s="575"/>
      <c r="H132" s="575"/>
      <c r="I132" s="575"/>
      <c r="J132" s="575"/>
      <c r="K132" s="575"/>
      <c r="L132" s="575"/>
      <c r="M132" s="575"/>
      <c r="N132" s="575"/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  <c r="Y132" s="575"/>
      <c r="Z132" s="575"/>
      <c r="AA132" s="575"/>
      <c r="AB132" s="575"/>
      <c r="AC132" s="575"/>
      <c r="AD132" s="575"/>
      <c r="AE132" s="575"/>
      <c r="AF132" s="575"/>
      <c r="AG132" s="575"/>
      <c r="AH132" s="575"/>
      <c r="AI132" s="575"/>
      <c r="AJ132" s="575"/>
      <c r="AK132" s="575"/>
      <c r="AL132" s="575"/>
      <c r="AM132" s="575"/>
      <c r="AN132" s="575"/>
      <c r="AO132" s="575"/>
      <c r="AP132" s="575"/>
      <c r="AQ132" s="575"/>
      <c r="AR132" s="575"/>
      <c r="AS132" s="575"/>
      <c r="AT132" s="575"/>
      <c r="AU132" s="575"/>
      <c r="AV132" s="575"/>
      <c r="AW132" s="575"/>
      <c r="AX132" s="575"/>
      <c r="AY132" s="575"/>
      <c r="AZ132" s="575"/>
      <c r="BA132" s="575"/>
      <c r="BB132" s="575"/>
      <c r="BC132" s="575"/>
      <c r="BD132" s="575"/>
      <c r="BE132" s="575"/>
      <c r="BF132" s="575"/>
      <c r="BG132" s="575"/>
      <c r="BH132" s="575"/>
      <c r="BI132" s="575"/>
      <c r="BJ132" s="575"/>
      <c r="BK132" s="575"/>
      <c r="BL132" s="575"/>
      <c r="BM132" s="575"/>
      <c r="BN132" s="575"/>
      <c r="BO132" s="575"/>
      <c r="BP132" s="575"/>
      <c r="BQ132" s="471"/>
      <c r="BR132" s="471"/>
      <c r="BS132" s="471"/>
      <c r="BT132" s="471"/>
      <c r="BU132" s="471"/>
      <c r="BV132" s="471"/>
      <c r="BW132" s="471"/>
      <c r="BX132" s="471"/>
      <c r="BY132" s="471"/>
      <c r="BZ132" s="471"/>
      <c r="CA132" s="471"/>
      <c r="CB132" s="471"/>
      <c r="CC132" s="471"/>
      <c r="CD132" s="471"/>
      <c r="CE132" s="471"/>
      <c r="CF132" s="471"/>
      <c r="CG132" s="471"/>
      <c r="CH132" s="471"/>
      <c r="CI132" s="471"/>
    </row>
    <row r="133" spans="1:87" ht="12.75" customHeight="1" x14ac:dyDescent="0.2">
      <c r="A133" s="575"/>
      <c r="B133" s="575"/>
      <c r="C133" s="575"/>
      <c r="D133" s="575"/>
      <c r="E133" s="575"/>
      <c r="F133" s="575"/>
      <c r="G133" s="575"/>
      <c r="H133" s="575"/>
      <c r="I133" s="575"/>
      <c r="J133" s="575"/>
      <c r="K133" s="575"/>
      <c r="L133" s="575"/>
      <c r="M133" s="575"/>
      <c r="N133" s="575"/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  <c r="Y133" s="575"/>
      <c r="Z133" s="575"/>
      <c r="AA133" s="575"/>
      <c r="AB133" s="575"/>
      <c r="AC133" s="575"/>
      <c r="AD133" s="575"/>
      <c r="AE133" s="575"/>
      <c r="AF133" s="575"/>
      <c r="AG133" s="575"/>
      <c r="AH133" s="575"/>
      <c r="AI133" s="575"/>
      <c r="AJ133" s="575"/>
      <c r="AK133" s="575"/>
      <c r="AL133" s="575"/>
      <c r="AM133" s="575"/>
      <c r="AN133" s="575"/>
      <c r="AO133" s="575"/>
      <c r="AP133" s="575"/>
      <c r="AQ133" s="575"/>
      <c r="AR133" s="575"/>
      <c r="AS133" s="575"/>
      <c r="AT133" s="575"/>
      <c r="AU133" s="575"/>
      <c r="AV133" s="575"/>
      <c r="AW133" s="575"/>
      <c r="AX133" s="575"/>
      <c r="AY133" s="575"/>
      <c r="AZ133" s="575"/>
      <c r="BA133" s="575"/>
      <c r="BB133" s="575"/>
      <c r="BC133" s="575"/>
      <c r="BD133" s="575"/>
      <c r="BE133" s="575"/>
      <c r="BF133" s="575"/>
      <c r="BG133" s="575"/>
      <c r="BH133" s="575"/>
      <c r="BI133" s="575"/>
      <c r="BJ133" s="575"/>
      <c r="BK133" s="575"/>
      <c r="BL133" s="575"/>
      <c r="BM133" s="575"/>
      <c r="BN133" s="575"/>
      <c r="BO133" s="575"/>
      <c r="BP133" s="575"/>
      <c r="BQ133" s="471"/>
      <c r="BR133" s="471"/>
      <c r="BS133" s="471"/>
      <c r="BT133" s="471"/>
      <c r="BU133" s="471"/>
      <c r="BV133" s="471"/>
      <c r="BW133" s="471"/>
      <c r="BX133" s="471"/>
      <c r="BY133" s="471"/>
      <c r="BZ133" s="471"/>
      <c r="CA133" s="471"/>
      <c r="CB133" s="471"/>
      <c r="CC133" s="471"/>
      <c r="CD133" s="471"/>
      <c r="CE133" s="471"/>
      <c r="CF133" s="471"/>
      <c r="CG133" s="471"/>
      <c r="CH133" s="471"/>
      <c r="CI133" s="471"/>
    </row>
    <row r="134" spans="1:87" ht="12.75" customHeight="1" x14ac:dyDescent="0.2">
      <c r="A134" s="575"/>
      <c r="B134" s="575"/>
      <c r="C134" s="575"/>
      <c r="D134" s="575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  <c r="Y134" s="575"/>
      <c r="Z134" s="575"/>
      <c r="AA134" s="575"/>
      <c r="AB134" s="575"/>
      <c r="AC134" s="575"/>
      <c r="AD134" s="575"/>
      <c r="AE134" s="575"/>
      <c r="AF134" s="575"/>
      <c r="AG134" s="575"/>
      <c r="AH134" s="575"/>
      <c r="AI134" s="575"/>
      <c r="AJ134" s="575"/>
      <c r="AK134" s="575"/>
      <c r="AL134" s="575"/>
      <c r="AM134" s="575"/>
      <c r="AN134" s="575"/>
      <c r="AO134" s="575"/>
      <c r="AP134" s="575"/>
      <c r="AQ134" s="575"/>
      <c r="AR134" s="575"/>
      <c r="AS134" s="575"/>
      <c r="AT134" s="575"/>
      <c r="AU134" s="575"/>
      <c r="AV134" s="575"/>
      <c r="AW134" s="575"/>
      <c r="AX134" s="575"/>
      <c r="AY134" s="575"/>
      <c r="AZ134" s="575"/>
      <c r="BA134" s="575"/>
      <c r="BB134" s="575"/>
      <c r="BC134" s="575"/>
      <c r="BD134" s="575"/>
      <c r="BE134" s="575"/>
      <c r="BF134" s="575"/>
      <c r="BG134" s="575"/>
      <c r="BH134" s="575"/>
      <c r="BI134" s="575"/>
      <c r="BJ134" s="575"/>
      <c r="BK134" s="575"/>
      <c r="BL134" s="575"/>
      <c r="BM134" s="575"/>
      <c r="BN134" s="575"/>
      <c r="BO134" s="575"/>
      <c r="BP134" s="575"/>
      <c r="BQ134" s="471"/>
      <c r="BR134" s="471"/>
      <c r="BS134" s="471"/>
      <c r="BT134" s="471"/>
      <c r="BU134" s="471"/>
      <c r="BV134" s="471"/>
      <c r="BW134" s="471"/>
      <c r="BX134" s="471"/>
      <c r="BY134" s="471"/>
      <c r="BZ134" s="471"/>
      <c r="CA134" s="471"/>
      <c r="CB134" s="471"/>
      <c r="CC134" s="471"/>
      <c r="CD134" s="471"/>
      <c r="CE134" s="471"/>
      <c r="CF134" s="471"/>
      <c r="CG134" s="471"/>
      <c r="CH134" s="471"/>
      <c r="CI134" s="471"/>
    </row>
    <row r="135" spans="1:87" ht="12.75" customHeight="1" x14ac:dyDescent="0.2">
      <c r="A135" s="575"/>
      <c r="B135" s="575"/>
      <c r="C135" s="575"/>
      <c r="D135" s="575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  <c r="Y135" s="575"/>
      <c r="Z135" s="575"/>
      <c r="AA135" s="575"/>
      <c r="AB135" s="575"/>
      <c r="AC135" s="575"/>
      <c r="AD135" s="575"/>
      <c r="AE135" s="575"/>
      <c r="AF135" s="575"/>
      <c r="AG135" s="575"/>
      <c r="AH135" s="575"/>
      <c r="AI135" s="575"/>
      <c r="AJ135" s="575"/>
      <c r="AK135" s="575"/>
      <c r="AL135" s="575"/>
      <c r="AM135" s="575"/>
      <c r="AN135" s="575"/>
      <c r="AO135" s="575"/>
      <c r="AP135" s="575"/>
      <c r="AQ135" s="575"/>
      <c r="AR135" s="575"/>
      <c r="AS135" s="575"/>
      <c r="AT135" s="575"/>
      <c r="AU135" s="575"/>
      <c r="AV135" s="575"/>
      <c r="AW135" s="575"/>
      <c r="AX135" s="575"/>
      <c r="AY135" s="575"/>
      <c r="AZ135" s="575"/>
      <c r="BA135" s="575"/>
      <c r="BB135" s="575"/>
      <c r="BC135" s="575"/>
      <c r="BD135" s="575"/>
      <c r="BE135" s="575"/>
      <c r="BF135" s="575"/>
      <c r="BG135" s="575"/>
      <c r="BH135" s="575"/>
      <c r="BI135" s="575"/>
      <c r="BJ135" s="575"/>
      <c r="BK135" s="575"/>
      <c r="BL135" s="575"/>
      <c r="BM135" s="575"/>
      <c r="BN135" s="575"/>
      <c r="BO135" s="575"/>
      <c r="BP135" s="575"/>
      <c r="BQ135" s="471"/>
      <c r="BR135" s="471"/>
      <c r="BS135" s="471"/>
      <c r="BT135" s="471"/>
      <c r="BU135" s="471"/>
      <c r="BV135" s="471"/>
      <c r="BW135" s="471"/>
      <c r="BX135" s="471"/>
      <c r="BY135" s="471"/>
      <c r="BZ135" s="471"/>
      <c r="CA135" s="471"/>
      <c r="CB135" s="471"/>
      <c r="CC135" s="471"/>
      <c r="CD135" s="471"/>
      <c r="CE135" s="471"/>
      <c r="CF135" s="471"/>
      <c r="CG135" s="471"/>
      <c r="CH135" s="471"/>
      <c r="CI135" s="471"/>
    </row>
    <row r="136" spans="1:87" ht="12.75" customHeight="1" x14ac:dyDescent="0.2">
      <c r="A136" s="575"/>
      <c r="B136" s="575"/>
      <c r="C136" s="575"/>
      <c r="D136" s="575"/>
      <c r="E136" s="575"/>
      <c r="F136" s="575"/>
      <c r="G136" s="575"/>
      <c r="H136" s="575"/>
      <c r="I136" s="575"/>
      <c r="J136" s="575"/>
      <c r="K136" s="575"/>
      <c r="L136" s="575"/>
      <c r="M136" s="575"/>
      <c r="N136" s="575"/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  <c r="Y136" s="575"/>
      <c r="Z136" s="575"/>
      <c r="AA136" s="575"/>
      <c r="AB136" s="575"/>
      <c r="AC136" s="575"/>
      <c r="AD136" s="575"/>
      <c r="AE136" s="575"/>
      <c r="AF136" s="575"/>
      <c r="AG136" s="575"/>
      <c r="AH136" s="575"/>
      <c r="AI136" s="575"/>
      <c r="AJ136" s="575"/>
      <c r="AK136" s="575"/>
      <c r="AL136" s="575"/>
      <c r="AM136" s="575"/>
      <c r="AN136" s="575"/>
      <c r="AO136" s="575"/>
      <c r="AP136" s="575"/>
      <c r="AQ136" s="575"/>
      <c r="AR136" s="575"/>
      <c r="AS136" s="575"/>
      <c r="AT136" s="575"/>
      <c r="AU136" s="575"/>
      <c r="AV136" s="575"/>
      <c r="AW136" s="575"/>
      <c r="AX136" s="575"/>
      <c r="AY136" s="575"/>
      <c r="AZ136" s="575"/>
      <c r="BA136" s="575"/>
      <c r="BB136" s="575"/>
      <c r="BC136" s="575"/>
      <c r="BD136" s="575"/>
      <c r="BE136" s="575"/>
      <c r="BF136" s="575"/>
      <c r="BG136" s="575"/>
      <c r="BH136" s="575"/>
      <c r="BI136" s="575"/>
      <c r="BJ136" s="575"/>
      <c r="BK136" s="575"/>
      <c r="BL136" s="575"/>
      <c r="BM136" s="575"/>
      <c r="BN136" s="575"/>
      <c r="BO136" s="575"/>
      <c r="BP136" s="575"/>
      <c r="BQ136" s="471"/>
      <c r="BR136" s="471"/>
      <c r="BS136" s="471"/>
      <c r="BT136" s="471"/>
      <c r="BU136" s="471"/>
      <c r="BV136" s="471"/>
      <c r="BW136" s="471"/>
      <c r="BX136" s="471"/>
      <c r="BY136" s="471"/>
      <c r="BZ136" s="471"/>
      <c r="CA136" s="471"/>
      <c r="CB136" s="471"/>
      <c r="CC136" s="471"/>
      <c r="CD136" s="471"/>
      <c r="CE136" s="471"/>
      <c r="CF136" s="471"/>
      <c r="CG136" s="471"/>
      <c r="CH136" s="471"/>
      <c r="CI136" s="471"/>
    </row>
    <row r="137" spans="1:87" ht="12.75" customHeight="1" x14ac:dyDescent="0.2">
      <c r="A137" s="575"/>
      <c r="B137" s="575"/>
      <c r="C137" s="575"/>
      <c r="D137" s="575"/>
      <c r="E137" s="575"/>
      <c r="F137" s="575"/>
      <c r="G137" s="575"/>
      <c r="H137" s="575"/>
      <c r="I137" s="575"/>
      <c r="J137" s="575"/>
      <c r="K137" s="575"/>
      <c r="L137" s="575"/>
      <c r="M137" s="575"/>
      <c r="N137" s="575"/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  <c r="Y137" s="575"/>
      <c r="Z137" s="575"/>
      <c r="AA137" s="575"/>
      <c r="AB137" s="575"/>
      <c r="AC137" s="575"/>
      <c r="AD137" s="575"/>
      <c r="AE137" s="575"/>
      <c r="AF137" s="575"/>
      <c r="AG137" s="575"/>
      <c r="AH137" s="575"/>
      <c r="AI137" s="575"/>
      <c r="AJ137" s="575"/>
      <c r="AK137" s="575"/>
      <c r="AL137" s="575"/>
      <c r="AM137" s="575"/>
      <c r="AN137" s="575"/>
      <c r="AO137" s="575"/>
      <c r="AP137" s="575"/>
      <c r="AQ137" s="575"/>
      <c r="AR137" s="575"/>
      <c r="AS137" s="575"/>
      <c r="AT137" s="575"/>
      <c r="AU137" s="575"/>
      <c r="AV137" s="575"/>
      <c r="AW137" s="575"/>
      <c r="AX137" s="575"/>
      <c r="AY137" s="575"/>
      <c r="AZ137" s="575"/>
      <c r="BA137" s="575"/>
      <c r="BB137" s="575"/>
      <c r="BC137" s="575"/>
      <c r="BD137" s="575"/>
      <c r="BE137" s="575"/>
      <c r="BF137" s="575"/>
      <c r="BG137" s="575"/>
      <c r="BH137" s="575"/>
      <c r="BI137" s="575"/>
      <c r="BJ137" s="575"/>
      <c r="BK137" s="575"/>
      <c r="BL137" s="575"/>
      <c r="BM137" s="575"/>
      <c r="BN137" s="575"/>
      <c r="BO137" s="575"/>
      <c r="BP137" s="575"/>
      <c r="BQ137" s="473"/>
      <c r="BR137" s="473"/>
      <c r="BS137" s="473"/>
      <c r="BT137" s="473"/>
      <c r="BU137" s="473"/>
      <c r="BV137" s="473"/>
      <c r="BW137" s="473"/>
      <c r="BX137" s="473"/>
      <c r="BY137" s="473"/>
      <c r="BZ137" s="473"/>
      <c r="CA137" s="473"/>
      <c r="CB137" s="473"/>
      <c r="CC137" s="473"/>
      <c r="CD137" s="473"/>
      <c r="CE137" s="473"/>
      <c r="CF137" s="473"/>
      <c r="CG137" s="473"/>
      <c r="CH137" s="473"/>
      <c r="CI137" s="473"/>
    </row>
    <row r="138" spans="1:87" ht="12.75" customHeight="1" x14ac:dyDescent="0.2">
      <c r="A138" s="575"/>
      <c r="B138" s="575"/>
      <c r="C138" s="575"/>
      <c r="D138" s="575"/>
      <c r="E138" s="575"/>
      <c r="F138" s="575"/>
      <c r="G138" s="575"/>
      <c r="H138" s="575"/>
      <c r="I138" s="575"/>
      <c r="J138" s="575"/>
      <c r="K138" s="575"/>
      <c r="L138" s="575"/>
      <c r="M138" s="575"/>
      <c r="N138" s="575"/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  <c r="Y138" s="575"/>
      <c r="Z138" s="575"/>
      <c r="AA138" s="575"/>
      <c r="AB138" s="575"/>
      <c r="AC138" s="575"/>
      <c r="AD138" s="575"/>
      <c r="AE138" s="575"/>
      <c r="AF138" s="575"/>
      <c r="AG138" s="575"/>
      <c r="AH138" s="575"/>
      <c r="AI138" s="575"/>
      <c r="AJ138" s="575"/>
      <c r="AK138" s="575"/>
      <c r="AL138" s="575"/>
      <c r="AM138" s="575"/>
      <c r="AN138" s="575"/>
      <c r="AO138" s="575"/>
      <c r="AP138" s="575"/>
      <c r="AQ138" s="575"/>
      <c r="AR138" s="575"/>
      <c r="AS138" s="575"/>
      <c r="AT138" s="575"/>
      <c r="AU138" s="575"/>
      <c r="AV138" s="575"/>
      <c r="AW138" s="575"/>
      <c r="AX138" s="575"/>
      <c r="AY138" s="575"/>
      <c r="AZ138" s="575"/>
      <c r="BA138" s="575"/>
      <c r="BB138" s="575"/>
      <c r="BC138" s="575"/>
      <c r="BD138" s="575"/>
      <c r="BE138" s="575"/>
      <c r="BF138" s="575"/>
      <c r="BG138" s="575"/>
      <c r="BH138" s="575"/>
      <c r="BI138" s="575"/>
      <c r="BJ138" s="575"/>
      <c r="BK138" s="575"/>
      <c r="BL138" s="575"/>
      <c r="BM138" s="575"/>
      <c r="BN138" s="575"/>
      <c r="BO138" s="575"/>
      <c r="BP138" s="575"/>
      <c r="BQ138" s="473"/>
      <c r="BR138" s="473"/>
      <c r="BS138" s="473"/>
      <c r="BT138" s="473"/>
      <c r="BU138" s="473"/>
      <c r="BV138" s="473"/>
      <c r="BW138" s="473"/>
      <c r="BX138" s="473"/>
      <c r="BY138" s="473"/>
      <c r="BZ138" s="473"/>
      <c r="CA138" s="473"/>
      <c r="CB138" s="473"/>
      <c r="CC138" s="473"/>
      <c r="CD138" s="473"/>
      <c r="CE138" s="473"/>
      <c r="CF138" s="473"/>
      <c r="CG138" s="473"/>
      <c r="CH138" s="473"/>
      <c r="CI138" s="473"/>
    </row>
    <row r="139" spans="1:87" ht="12.75" customHeight="1" x14ac:dyDescent="0.2">
      <c r="A139" s="575"/>
      <c r="B139" s="575"/>
      <c r="C139" s="575"/>
      <c r="D139" s="575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  <c r="Y139" s="575"/>
      <c r="Z139" s="575"/>
      <c r="AA139" s="575"/>
      <c r="AB139" s="575"/>
      <c r="AC139" s="575"/>
      <c r="AD139" s="575"/>
      <c r="AE139" s="575"/>
      <c r="AF139" s="575"/>
      <c r="AG139" s="575"/>
      <c r="AH139" s="575"/>
      <c r="AI139" s="575"/>
      <c r="AJ139" s="575"/>
      <c r="AK139" s="575"/>
      <c r="AL139" s="575"/>
      <c r="AM139" s="575"/>
      <c r="AN139" s="575"/>
      <c r="AO139" s="575"/>
      <c r="AP139" s="575"/>
      <c r="AQ139" s="575"/>
      <c r="AR139" s="575"/>
      <c r="AS139" s="575"/>
      <c r="AT139" s="575"/>
      <c r="AU139" s="575"/>
      <c r="AV139" s="575"/>
      <c r="AW139" s="575"/>
      <c r="AX139" s="575"/>
      <c r="AY139" s="575"/>
      <c r="AZ139" s="575"/>
      <c r="BA139" s="575"/>
      <c r="BB139" s="575"/>
      <c r="BC139" s="575"/>
      <c r="BD139" s="575"/>
      <c r="BE139" s="575"/>
      <c r="BF139" s="575"/>
      <c r="BG139" s="575"/>
      <c r="BH139" s="575"/>
      <c r="BI139" s="575"/>
      <c r="BJ139" s="575"/>
      <c r="BK139" s="575"/>
      <c r="BL139" s="575"/>
      <c r="BM139" s="575"/>
      <c r="BN139" s="575"/>
      <c r="BO139" s="575"/>
      <c r="BP139" s="575"/>
      <c r="BQ139" s="473"/>
      <c r="BR139" s="473"/>
      <c r="BS139" s="473"/>
      <c r="BT139" s="473"/>
      <c r="BU139" s="473"/>
      <c r="BV139" s="473"/>
      <c r="BW139" s="473"/>
      <c r="BX139" s="473"/>
      <c r="BY139" s="473"/>
      <c r="BZ139" s="473"/>
      <c r="CA139" s="473"/>
      <c r="CB139" s="473"/>
      <c r="CC139" s="473"/>
      <c r="CD139" s="473"/>
      <c r="CE139" s="473"/>
      <c r="CF139" s="473"/>
      <c r="CG139" s="473"/>
      <c r="CH139" s="473"/>
      <c r="CI139" s="473"/>
    </row>
    <row r="140" spans="1:87" ht="12.75" customHeight="1" x14ac:dyDescent="0.2">
      <c r="A140" s="575"/>
      <c r="B140" s="575"/>
      <c r="C140" s="575"/>
      <c r="D140" s="575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  <c r="Y140" s="575"/>
      <c r="Z140" s="575"/>
      <c r="AA140" s="575"/>
      <c r="AB140" s="575"/>
      <c r="AC140" s="575"/>
      <c r="AD140" s="575"/>
      <c r="AE140" s="575"/>
      <c r="AF140" s="575"/>
      <c r="AG140" s="575"/>
      <c r="AH140" s="575"/>
      <c r="AI140" s="575"/>
      <c r="AJ140" s="575"/>
      <c r="AK140" s="575"/>
      <c r="AL140" s="575"/>
      <c r="AM140" s="575"/>
      <c r="AN140" s="575"/>
      <c r="AO140" s="575"/>
      <c r="AP140" s="575"/>
      <c r="AQ140" s="575"/>
      <c r="AR140" s="575"/>
      <c r="AS140" s="575"/>
      <c r="AT140" s="575"/>
      <c r="AU140" s="575"/>
      <c r="AV140" s="575"/>
      <c r="AW140" s="575"/>
      <c r="AX140" s="575"/>
      <c r="AY140" s="575"/>
      <c r="AZ140" s="575"/>
      <c r="BA140" s="575"/>
      <c r="BB140" s="575"/>
      <c r="BC140" s="575"/>
      <c r="BD140" s="575"/>
      <c r="BE140" s="575"/>
      <c r="BF140" s="575"/>
      <c r="BG140" s="575"/>
      <c r="BH140" s="575"/>
      <c r="BI140" s="575"/>
      <c r="BJ140" s="575"/>
      <c r="BK140" s="575"/>
      <c r="BL140" s="575"/>
      <c r="BM140" s="575"/>
      <c r="BN140" s="575"/>
      <c r="BO140" s="575"/>
      <c r="BP140" s="575"/>
      <c r="BQ140" s="473"/>
      <c r="BR140" s="473"/>
      <c r="BS140" s="473"/>
      <c r="BT140" s="473"/>
      <c r="BU140" s="473"/>
      <c r="BV140" s="473"/>
      <c r="BW140" s="473"/>
      <c r="BX140" s="473"/>
      <c r="BY140" s="473"/>
      <c r="BZ140" s="473"/>
      <c r="CA140" s="473"/>
      <c r="CB140" s="473"/>
      <c r="CC140" s="473"/>
      <c r="CD140" s="473"/>
      <c r="CE140" s="473"/>
      <c r="CF140" s="473"/>
      <c r="CG140" s="473"/>
      <c r="CH140" s="473"/>
      <c r="CI140" s="473"/>
    </row>
    <row r="141" spans="1:87" ht="12.75" customHeight="1" x14ac:dyDescent="0.2">
      <c r="A141" s="575"/>
      <c r="B141" s="575"/>
      <c r="C141" s="575"/>
      <c r="D141" s="575"/>
      <c r="E141" s="575"/>
      <c r="F141" s="575"/>
      <c r="G141" s="575"/>
      <c r="H141" s="575"/>
      <c r="I141" s="575"/>
      <c r="J141" s="575"/>
      <c r="K141" s="575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75"/>
      <c r="AA141" s="575"/>
      <c r="AB141" s="575"/>
      <c r="AC141" s="575"/>
      <c r="AD141" s="575"/>
      <c r="AE141" s="575"/>
      <c r="AF141" s="575"/>
      <c r="AG141" s="575"/>
      <c r="AH141" s="575"/>
      <c r="AI141" s="575"/>
      <c r="AJ141" s="575"/>
      <c r="AK141" s="575"/>
      <c r="AL141" s="575"/>
      <c r="AM141" s="575"/>
      <c r="AN141" s="575"/>
      <c r="AO141" s="575"/>
      <c r="AP141" s="575"/>
      <c r="AQ141" s="575"/>
      <c r="AR141" s="575"/>
      <c r="AS141" s="575"/>
      <c r="AT141" s="575"/>
      <c r="AU141" s="575"/>
      <c r="AV141" s="575"/>
      <c r="AW141" s="575"/>
      <c r="AX141" s="575"/>
      <c r="AY141" s="575"/>
      <c r="AZ141" s="575"/>
      <c r="BA141" s="575"/>
      <c r="BB141" s="575"/>
      <c r="BC141" s="575"/>
      <c r="BD141" s="575"/>
      <c r="BE141" s="575"/>
      <c r="BF141" s="575"/>
      <c r="BG141" s="575"/>
      <c r="BH141" s="575"/>
      <c r="BI141" s="575"/>
      <c r="BJ141" s="575"/>
      <c r="BK141" s="575"/>
      <c r="BL141" s="575"/>
      <c r="BM141" s="575"/>
      <c r="BN141" s="575"/>
      <c r="BO141" s="575"/>
      <c r="BP141" s="575"/>
      <c r="BQ141" s="473"/>
      <c r="BR141" s="473"/>
      <c r="BS141" s="473"/>
      <c r="BT141" s="473"/>
      <c r="BU141" s="473"/>
      <c r="BV141" s="473"/>
      <c r="BW141" s="473"/>
      <c r="BX141" s="473"/>
      <c r="BY141" s="473"/>
      <c r="BZ141" s="473"/>
      <c r="CA141" s="473"/>
      <c r="CB141" s="473"/>
      <c r="CC141" s="473"/>
      <c r="CD141" s="473"/>
      <c r="CE141" s="473"/>
      <c r="CF141" s="473"/>
      <c r="CG141" s="473"/>
      <c r="CH141" s="473"/>
      <c r="CI141" s="473"/>
    </row>
    <row r="142" spans="1:87" ht="12.75" customHeight="1" x14ac:dyDescent="0.2">
      <c r="A142" s="575"/>
      <c r="B142" s="575"/>
      <c r="C142" s="575"/>
      <c r="D142" s="575"/>
      <c r="E142" s="575"/>
      <c r="F142" s="575"/>
      <c r="G142" s="575"/>
      <c r="H142" s="575"/>
      <c r="I142" s="575"/>
      <c r="J142" s="575"/>
      <c r="K142" s="575"/>
      <c r="L142" s="575"/>
      <c r="M142" s="575"/>
      <c r="N142" s="575"/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  <c r="Y142" s="575"/>
      <c r="Z142" s="575"/>
      <c r="AA142" s="575"/>
      <c r="AB142" s="575"/>
      <c r="AC142" s="575"/>
      <c r="AD142" s="575"/>
      <c r="AE142" s="575"/>
      <c r="AF142" s="575"/>
      <c r="AG142" s="575"/>
      <c r="AH142" s="575"/>
      <c r="AI142" s="575"/>
      <c r="AJ142" s="575"/>
      <c r="AK142" s="575"/>
      <c r="AL142" s="575"/>
      <c r="AM142" s="575"/>
      <c r="AN142" s="575"/>
      <c r="AO142" s="575"/>
      <c r="AP142" s="575"/>
      <c r="AQ142" s="575"/>
      <c r="AR142" s="575"/>
      <c r="AS142" s="575"/>
      <c r="AT142" s="575"/>
      <c r="AU142" s="575"/>
      <c r="AV142" s="575"/>
      <c r="AW142" s="575"/>
      <c r="AX142" s="575"/>
      <c r="AY142" s="575"/>
      <c r="AZ142" s="575"/>
      <c r="BA142" s="575"/>
      <c r="BB142" s="575"/>
      <c r="BC142" s="575"/>
      <c r="BD142" s="575"/>
      <c r="BE142" s="575"/>
      <c r="BF142" s="575"/>
      <c r="BG142" s="575"/>
      <c r="BH142" s="575"/>
      <c r="BI142" s="575"/>
      <c r="BJ142" s="575"/>
      <c r="BK142" s="575"/>
      <c r="BL142" s="575"/>
      <c r="BM142" s="575"/>
      <c r="BN142" s="575"/>
      <c r="BO142" s="575"/>
      <c r="BP142" s="575"/>
      <c r="BQ142" s="473"/>
      <c r="BR142" s="473"/>
      <c r="BS142" s="473"/>
      <c r="BT142" s="473"/>
      <c r="BU142" s="473"/>
      <c r="BV142" s="473"/>
      <c r="BW142" s="473"/>
      <c r="BX142" s="473"/>
      <c r="BY142" s="473"/>
      <c r="BZ142" s="473"/>
      <c r="CA142" s="473"/>
      <c r="CB142" s="473"/>
      <c r="CC142" s="473"/>
      <c r="CD142" s="473"/>
      <c r="CE142" s="473"/>
      <c r="CF142" s="473"/>
      <c r="CG142" s="473"/>
      <c r="CH142" s="473"/>
      <c r="CI142" s="473"/>
    </row>
    <row r="143" spans="1:87" ht="12.75" customHeight="1" x14ac:dyDescent="0.2">
      <c r="A143" s="575"/>
      <c r="B143" s="575"/>
      <c r="C143" s="575"/>
      <c r="D143" s="575"/>
      <c r="E143" s="575"/>
      <c r="F143" s="575"/>
      <c r="G143" s="575"/>
      <c r="H143" s="575"/>
      <c r="I143" s="575"/>
      <c r="J143" s="575"/>
      <c r="K143" s="575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75"/>
      <c r="AA143" s="575"/>
      <c r="AB143" s="575"/>
      <c r="AC143" s="575"/>
      <c r="AD143" s="575"/>
      <c r="AE143" s="575"/>
      <c r="AF143" s="575"/>
      <c r="AG143" s="575"/>
      <c r="AH143" s="575"/>
      <c r="AI143" s="575"/>
      <c r="AJ143" s="575"/>
      <c r="AK143" s="575"/>
      <c r="AL143" s="575"/>
      <c r="AM143" s="575"/>
      <c r="AN143" s="575"/>
      <c r="AO143" s="575"/>
      <c r="AP143" s="575"/>
      <c r="AQ143" s="575"/>
      <c r="AR143" s="575"/>
      <c r="AS143" s="575"/>
      <c r="AT143" s="575"/>
      <c r="AU143" s="575"/>
      <c r="AV143" s="575"/>
      <c r="AW143" s="575"/>
      <c r="AX143" s="575"/>
      <c r="AY143" s="575"/>
      <c r="AZ143" s="575"/>
      <c r="BA143" s="575"/>
      <c r="BB143" s="575"/>
      <c r="BC143" s="575"/>
      <c r="BD143" s="575"/>
      <c r="BE143" s="575"/>
      <c r="BF143" s="575"/>
      <c r="BG143" s="575"/>
      <c r="BH143" s="575"/>
      <c r="BI143" s="575"/>
      <c r="BJ143" s="575"/>
      <c r="BK143" s="575"/>
      <c r="BL143" s="575"/>
      <c r="BM143" s="575"/>
      <c r="BN143" s="575"/>
      <c r="BO143" s="575"/>
      <c r="BP143" s="575"/>
      <c r="BQ143" s="473"/>
      <c r="BR143" s="473"/>
      <c r="BS143" s="473"/>
      <c r="BT143" s="473"/>
      <c r="BU143" s="473"/>
      <c r="BV143" s="473"/>
      <c r="BW143" s="473"/>
      <c r="BX143" s="473"/>
      <c r="BY143" s="473"/>
      <c r="BZ143" s="473"/>
      <c r="CA143" s="473"/>
      <c r="CB143" s="473"/>
      <c r="CC143" s="473"/>
      <c r="CD143" s="473"/>
      <c r="CE143" s="473"/>
      <c r="CF143" s="473"/>
      <c r="CG143" s="473"/>
      <c r="CH143" s="473"/>
      <c r="CI143" s="473"/>
    </row>
    <row r="144" spans="1:87" ht="12.75" customHeight="1" x14ac:dyDescent="0.2">
      <c r="A144" s="575"/>
      <c r="B144" s="575"/>
      <c r="C144" s="575"/>
      <c r="D144" s="575"/>
      <c r="E144" s="575"/>
      <c r="F144" s="575"/>
      <c r="G144" s="575"/>
      <c r="H144" s="575"/>
      <c r="I144" s="575"/>
      <c r="J144" s="575"/>
      <c r="K144" s="575"/>
      <c r="L144" s="575"/>
      <c r="M144" s="575"/>
      <c r="N144" s="575"/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  <c r="Y144" s="575"/>
      <c r="Z144" s="575"/>
      <c r="AA144" s="575"/>
      <c r="AB144" s="575"/>
      <c r="AC144" s="575"/>
      <c r="AD144" s="575"/>
      <c r="AE144" s="575"/>
      <c r="AF144" s="575"/>
      <c r="AG144" s="575"/>
      <c r="AH144" s="575"/>
      <c r="AI144" s="575"/>
      <c r="AJ144" s="575"/>
      <c r="AK144" s="575"/>
      <c r="AL144" s="575"/>
      <c r="AM144" s="575"/>
      <c r="AN144" s="575"/>
      <c r="AO144" s="575"/>
      <c r="AP144" s="575"/>
      <c r="AQ144" s="575"/>
      <c r="AR144" s="575"/>
      <c r="AS144" s="575"/>
      <c r="AT144" s="575"/>
      <c r="AU144" s="575"/>
      <c r="AV144" s="575"/>
      <c r="AW144" s="575"/>
      <c r="AX144" s="575"/>
      <c r="AY144" s="575"/>
      <c r="AZ144" s="575"/>
      <c r="BA144" s="575"/>
      <c r="BB144" s="575"/>
      <c r="BC144" s="575"/>
      <c r="BD144" s="575"/>
      <c r="BE144" s="575"/>
      <c r="BF144" s="575"/>
      <c r="BG144" s="575"/>
      <c r="BH144" s="575"/>
      <c r="BI144" s="575"/>
      <c r="BJ144" s="575"/>
      <c r="BK144" s="575"/>
      <c r="BL144" s="575"/>
      <c r="BM144" s="575"/>
      <c r="BN144" s="575"/>
      <c r="BO144" s="575"/>
      <c r="BP144" s="575"/>
      <c r="BQ144" s="473"/>
      <c r="BR144" s="473"/>
      <c r="BS144" s="473"/>
      <c r="BT144" s="473"/>
      <c r="BU144" s="473"/>
      <c r="BV144" s="473"/>
      <c r="BW144" s="473"/>
      <c r="BX144" s="473"/>
      <c r="BY144" s="473"/>
      <c r="BZ144" s="473"/>
      <c r="CA144" s="473"/>
      <c r="CB144" s="473"/>
      <c r="CC144" s="473"/>
      <c r="CD144" s="473"/>
      <c r="CE144" s="473"/>
      <c r="CF144" s="473"/>
      <c r="CG144" s="473"/>
      <c r="CH144" s="473"/>
      <c r="CI144" s="473"/>
    </row>
    <row r="145" spans="1:87" ht="12.75" customHeight="1" x14ac:dyDescent="0.2">
      <c r="A145" s="575"/>
      <c r="B145" s="575"/>
      <c r="C145" s="575"/>
      <c r="D145" s="575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  <c r="Y145" s="575"/>
      <c r="Z145" s="575"/>
      <c r="AA145" s="575"/>
      <c r="AB145" s="575"/>
      <c r="AC145" s="575"/>
      <c r="AD145" s="575"/>
      <c r="AE145" s="575"/>
      <c r="AF145" s="575"/>
      <c r="AG145" s="575"/>
      <c r="AH145" s="575"/>
      <c r="AI145" s="575"/>
      <c r="AJ145" s="575"/>
      <c r="AK145" s="575"/>
      <c r="AL145" s="575"/>
      <c r="AM145" s="575"/>
      <c r="AN145" s="575"/>
      <c r="AO145" s="575"/>
      <c r="AP145" s="575"/>
      <c r="AQ145" s="575"/>
      <c r="AR145" s="575"/>
      <c r="AS145" s="575"/>
      <c r="AT145" s="575"/>
      <c r="AU145" s="575"/>
      <c r="AV145" s="575"/>
      <c r="AW145" s="575"/>
      <c r="AX145" s="575"/>
      <c r="AY145" s="575"/>
      <c r="AZ145" s="575"/>
      <c r="BA145" s="575"/>
      <c r="BB145" s="575"/>
      <c r="BC145" s="575"/>
      <c r="BD145" s="575"/>
      <c r="BE145" s="575"/>
      <c r="BF145" s="575"/>
      <c r="BG145" s="575"/>
      <c r="BH145" s="575"/>
      <c r="BI145" s="575"/>
      <c r="BJ145" s="575"/>
      <c r="BK145" s="575"/>
      <c r="BL145" s="575"/>
      <c r="BM145" s="575"/>
      <c r="BN145" s="575"/>
      <c r="BO145" s="575"/>
      <c r="BP145" s="575"/>
      <c r="BQ145" s="473"/>
      <c r="BR145" s="473"/>
      <c r="BS145" s="473"/>
      <c r="BT145" s="473"/>
      <c r="BU145" s="473"/>
      <c r="BV145" s="473"/>
      <c r="BW145" s="473"/>
      <c r="BX145" s="473"/>
      <c r="BY145" s="473"/>
      <c r="BZ145" s="473"/>
      <c r="CA145" s="473"/>
      <c r="CB145" s="473"/>
      <c r="CC145" s="473"/>
      <c r="CD145" s="473"/>
      <c r="CE145" s="473"/>
      <c r="CF145" s="473"/>
      <c r="CG145" s="473"/>
      <c r="CH145" s="473"/>
      <c r="CI145" s="473"/>
    </row>
    <row r="146" spans="1:87" ht="12.75" customHeight="1" x14ac:dyDescent="0.2">
      <c r="A146" s="575"/>
      <c r="B146" s="575"/>
      <c r="C146" s="575"/>
      <c r="D146" s="575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  <c r="Y146" s="575"/>
      <c r="Z146" s="575"/>
      <c r="AA146" s="575"/>
      <c r="AB146" s="575"/>
      <c r="AC146" s="575"/>
      <c r="AD146" s="575"/>
      <c r="AE146" s="575"/>
      <c r="AF146" s="575"/>
      <c r="AG146" s="575"/>
      <c r="AH146" s="575"/>
      <c r="AI146" s="575"/>
      <c r="AJ146" s="575"/>
      <c r="AK146" s="575"/>
      <c r="AL146" s="575"/>
      <c r="AM146" s="575"/>
      <c r="AN146" s="575"/>
      <c r="AO146" s="575"/>
      <c r="AP146" s="575"/>
      <c r="AQ146" s="575"/>
      <c r="AR146" s="575"/>
      <c r="AS146" s="575"/>
      <c r="AT146" s="575"/>
      <c r="AU146" s="575"/>
      <c r="AV146" s="575"/>
      <c r="AW146" s="575"/>
      <c r="AX146" s="575"/>
      <c r="AY146" s="575"/>
      <c r="AZ146" s="575"/>
      <c r="BA146" s="575"/>
      <c r="BB146" s="575"/>
      <c r="BC146" s="575"/>
      <c r="BD146" s="575"/>
      <c r="BE146" s="575"/>
      <c r="BF146" s="575"/>
      <c r="BG146" s="575"/>
      <c r="BH146" s="575"/>
      <c r="BI146" s="575"/>
      <c r="BJ146" s="575"/>
      <c r="BK146" s="575"/>
      <c r="BL146" s="575"/>
      <c r="BM146" s="575"/>
      <c r="BN146" s="575"/>
      <c r="BO146" s="575"/>
      <c r="BP146" s="575"/>
      <c r="BQ146" s="473"/>
      <c r="BR146" s="473"/>
      <c r="BS146" s="473"/>
      <c r="BT146" s="473"/>
      <c r="BU146" s="473"/>
      <c r="BV146" s="473"/>
      <c r="BW146" s="473"/>
      <c r="BX146" s="473"/>
      <c r="BY146" s="473"/>
      <c r="BZ146" s="473"/>
      <c r="CA146" s="473"/>
      <c r="CB146" s="473"/>
      <c r="CC146" s="473"/>
      <c r="CD146" s="473"/>
      <c r="CE146" s="473"/>
      <c r="CF146" s="473"/>
      <c r="CG146" s="473"/>
      <c r="CH146" s="473"/>
      <c r="CI146" s="473"/>
    </row>
    <row r="147" spans="1:87" ht="12.75" customHeight="1" x14ac:dyDescent="0.2">
      <c r="A147" s="473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  <c r="AL147" s="473"/>
      <c r="AM147" s="473"/>
      <c r="AN147" s="473"/>
      <c r="AO147" s="473"/>
      <c r="AP147" s="575"/>
      <c r="AQ147" s="575"/>
      <c r="AR147" s="575"/>
      <c r="AS147" s="575"/>
      <c r="AT147" s="575"/>
      <c r="AU147" s="575"/>
      <c r="AV147" s="575"/>
      <c r="AW147" s="575"/>
      <c r="AX147" s="575"/>
      <c r="AY147" s="575"/>
      <c r="AZ147" s="575"/>
      <c r="BA147" s="575"/>
      <c r="BB147" s="575"/>
      <c r="BC147" s="575"/>
      <c r="BD147" s="575"/>
      <c r="BE147" s="575"/>
      <c r="BF147" s="575"/>
      <c r="BG147" s="575"/>
      <c r="BH147" s="575"/>
      <c r="BI147" s="575"/>
      <c r="BJ147" s="575"/>
      <c r="BK147" s="575"/>
      <c r="BL147" s="575"/>
      <c r="BM147" s="575"/>
      <c r="BN147" s="575"/>
      <c r="BO147" s="575"/>
      <c r="BP147" s="575"/>
      <c r="BQ147" s="473"/>
      <c r="BR147" s="473"/>
      <c r="BS147" s="473"/>
      <c r="BT147" s="473"/>
      <c r="BU147" s="473"/>
      <c r="BV147" s="473"/>
      <c r="BW147" s="473"/>
      <c r="BX147" s="473"/>
      <c r="BY147" s="473"/>
      <c r="BZ147" s="473"/>
      <c r="CA147" s="473"/>
      <c r="CB147" s="473"/>
      <c r="CC147" s="473"/>
      <c r="CD147" s="473"/>
      <c r="CE147" s="473"/>
      <c r="CF147" s="473"/>
      <c r="CG147" s="473"/>
      <c r="CH147" s="473"/>
      <c r="CI147" s="473"/>
    </row>
    <row r="148" spans="1:87" ht="12.75" customHeight="1" x14ac:dyDescent="0.2">
      <c r="A148" s="473"/>
      <c r="B148" s="576"/>
      <c r="C148" s="576"/>
      <c r="D148" s="576"/>
      <c r="E148" s="576"/>
      <c r="F148" s="576"/>
      <c r="G148" s="576"/>
      <c r="H148" s="576"/>
      <c r="I148" s="576"/>
      <c r="J148" s="576"/>
      <c r="K148" s="576"/>
      <c r="L148" s="576"/>
      <c r="M148" s="576"/>
      <c r="N148" s="576"/>
      <c r="O148" s="576"/>
      <c r="P148" s="576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  <c r="AL148" s="473"/>
      <c r="AM148" s="473"/>
      <c r="AN148" s="473"/>
      <c r="AO148" s="473"/>
      <c r="AP148" s="575"/>
      <c r="AQ148" s="575"/>
      <c r="AR148" s="575"/>
      <c r="AS148" s="575"/>
      <c r="AT148" s="575"/>
      <c r="AU148" s="575"/>
      <c r="AV148" s="575"/>
      <c r="AW148" s="575"/>
      <c r="AX148" s="575"/>
      <c r="AY148" s="575"/>
      <c r="AZ148" s="575"/>
      <c r="BA148" s="575"/>
      <c r="BB148" s="575"/>
      <c r="BC148" s="575"/>
      <c r="BD148" s="575"/>
      <c r="BE148" s="575"/>
      <c r="BF148" s="575"/>
      <c r="BG148" s="575"/>
      <c r="BH148" s="575"/>
      <c r="BI148" s="575"/>
      <c r="BJ148" s="575"/>
      <c r="BK148" s="575"/>
      <c r="BL148" s="575"/>
      <c r="BM148" s="575"/>
      <c r="BN148" s="575"/>
      <c r="BO148" s="575"/>
      <c r="BP148" s="575"/>
      <c r="BQ148" s="473"/>
      <c r="BR148" s="473"/>
      <c r="BS148" s="473"/>
      <c r="BT148" s="473"/>
      <c r="BU148" s="473"/>
      <c r="BV148" s="473"/>
      <c r="BW148" s="473"/>
      <c r="BX148" s="473"/>
      <c r="BY148" s="473"/>
      <c r="BZ148" s="473"/>
      <c r="CA148" s="473"/>
      <c r="CB148" s="473"/>
      <c r="CC148" s="473"/>
      <c r="CD148" s="473"/>
      <c r="CE148" s="473"/>
      <c r="CF148" s="473"/>
      <c r="CG148" s="473"/>
      <c r="CH148" s="473"/>
      <c r="CI148" s="473"/>
    </row>
    <row r="149" spans="1:87" ht="12.75" customHeight="1" x14ac:dyDescent="0.2">
      <c r="A149" s="473"/>
      <c r="B149" s="576"/>
      <c r="C149" s="576"/>
      <c r="D149" s="576"/>
      <c r="E149" s="576"/>
      <c r="F149" s="576"/>
      <c r="G149" s="576"/>
      <c r="H149" s="576"/>
      <c r="I149" s="576"/>
      <c r="J149" s="576"/>
      <c r="K149" s="576"/>
      <c r="L149" s="576"/>
      <c r="M149" s="576"/>
      <c r="N149" s="576"/>
      <c r="O149" s="576"/>
      <c r="P149" s="576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  <c r="AL149" s="473"/>
      <c r="AM149" s="473"/>
      <c r="AN149" s="473"/>
      <c r="AO149" s="473"/>
      <c r="AP149" s="575"/>
      <c r="AQ149" s="575"/>
      <c r="AR149" s="575"/>
      <c r="AS149" s="575"/>
      <c r="AT149" s="575"/>
      <c r="AU149" s="575"/>
      <c r="AV149" s="575"/>
      <c r="AW149" s="575"/>
      <c r="AX149" s="575"/>
      <c r="AY149" s="575"/>
      <c r="AZ149" s="575"/>
      <c r="BA149" s="575"/>
      <c r="BB149" s="575"/>
      <c r="BC149" s="575"/>
      <c r="BD149" s="575"/>
      <c r="BE149" s="575"/>
      <c r="BF149" s="575"/>
      <c r="BG149" s="575"/>
      <c r="BH149" s="575"/>
      <c r="BI149" s="575"/>
      <c r="BJ149" s="575"/>
      <c r="BK149" s="575"/>
      <c r="BL149" s="575"/>
      <c r="BM149" s="575"/>
      <c r="BN149" s="575"/>
      <c r="BO149" s="575"/>
      <c r="BP149" s="575"/>
      <c r="BQ149" s="473"/>
      <c r="BR149" s="473"/>
      <c r="BS149" s="473"/>
      <c r="BT149" s="473"/>
      <c r="BU149" s="473"/>
      <c r="BV149" s="473"/>
      <c r="BW149" s="473"/>
      <c r="BX149" s="473"/>
      <c r="BY149" s="473"/>
      <c r="BZ149" s="473"/>
      <c r="CA149" s="473"/>
      <c r="CB149" s="473"/>
      <c r="CC149" s="473"/>
      <c r="CD149" s="473"/>
      <c r="CE149" s="473"/>
      <c r="CF149" s="473"/>
      <c r="CG149" s="473"/>
      <c r="CH149" s="473"/>
      <c r="CI149" s="473"/>
    </row>
    <row r="150" spans="1:87" ht="12.75" customHeight="1" x14ac:dyDescent="0.2">
      <c r="A150" s="473"/>
      <c r="B150" s="576"/>
      <c r="C150" s="576"/>
      <c r="D150" s="576"/>
      <c r="E150" s="576"/>
      <c r="F150" s="576"/>
      <c r="G150" s="576"/>
      <c r="H150" s="576"/>
      <c r="I150" s="576"/>
      <c r="J150" s="576"/>
      <c r="K150" s="576"/>
      <c r="L150" s="576"/>
      <c r="M150" s="576"/>
      <c r="N150" s="576"/>
      <c r="O150" s="576"/>
      <c r="P150" s="576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  <c r="AL150" s="473"/>
      <c r="AM150" s="473"/>
      <c r="AN150" s="473"/>
      <c r="AO150" s="473"/>
      <c r="AP150" s="575"/>
      <c r="AQ150" s="575"/>
      <c r="AR150" s="575"/>
      <c r="AS150" s="575"/>
      <c r="AT150" s="575"/>
      <c r="AU150" s="575"/>
      <c r="AV150" s="575"/>
      <c r="AW150" s="575"/>
      <c r="AX150" s="575"/>
      <c r="AY150" s="575"/>
      <c r="AZ150" s="575"/>
      <c r="BA150" s="575"/>
      <c r="BB150" s="575"/>
      <c r="BC150" s="575"/>
      <c r="BD150" s="575"/>
      <c r="BE150" s="575"/>
      <c r="BF150" s="575"/>
      <c r="BG150" s="575"/>
      <c r="BH150" s="575"/>
      <c r="BI150" s="575"/>
      <c r="BJ150" s="575"/>
      <c r="BK150" s="575"/>
      <c r="BL150" s="575"/>
      <c r="BM150" s="575"/>
      <c r="BN150" s="575"/>
      <c r="BO150" s="575"/>
      <c r="BP150" s="575"/>
      <c r="BQ150" s="473"/>
      <c r="BR150" s="473"/>
      <c r="BS150" s="473"/>
      <c r="BT150" s="473"/>
      <c r="BU150" s="473"/>
      <c r="BV150" s="473"/>
      <c r="BW150" s="473"/>
      <c r="BX150" s="473"/>
      <c r="BY150" s="473"/>
      <c r="BZ150" s="473"/>
      <c r="CA150" s="473"/>
      <c r="CB150" s="473"/>
      <c r="CC150" s="473"/>
      <c r="CD150" s="473"/>
      <c r="CE150" s="473"/>
      <c r="CF150" s="473"/>
      <c r="CG150" s="473"/>
      <c r="CH150" s="473"/>
      <c r="CI150" s="473"/>
    </row>
    <row r="151" spans="1:87" ht="12.75" customHeight="1" x14ac:dyDescent="0.2">
      <c r="A151" s="473"/>
      <c r="B151" s="576"/>
      <c r="C151" s="576"/>
      <c r="D151" s="576"/>
      <c r="E151" s="576"/>
      <c r="F151" s="576"/>
      <c r="G151" s="576"/>
      <c r="H151" s="576"/>
      <c r="I151" s="576"/>
      <c r="J151" s="576"/>
      <c r="K151" s="576"/>
      <c r="L151" s="576"/>
      <c r="M151" s="576"/>
      <c r="N151" s="576"/>
      <c r="O151" s="576"/>
      <c r="P151" s="576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  <c r="AL151" s="473"/>
      <c r="AM151" s="473"/>
      <c r="AN151" s="473"/>
      <c r="AO151" s="473"/>
      <c r="AP151" s="575"/>
      <c r="AQ151" s="575"/>
      <c r="AR151" s="575"/>
      <c r="AS151" s="575"/>
      <c r="AT151" s="575"/>
      <c r="AU151" s="575"/>
      <c r="AV151" s="575"/>
      <c r="AW151" s="575"/>
      <c r="AX151" s="575"/>
      <c r="AY151" s="575"/>
      <c r="AZ151" s="575"/>
      <c r="BA151" s="575"/>
      <c r="BB151" s="575"/>
      <c r="BC151" s="575"/>
      <c r="BD151" s="575"/>
      <c r="BE151" s="575"/>
      <c r="BF151" s="575"/>
      <c r="BG151" s="575"/>
      <c r="BH151" s="575"/>
      <c r="BI151" s="575"/>
      <c r="BJ151" s="575"/>
      <c r="BK151" s="575"/>
      <c r="BL151" s="575"/>
      <c r="BM151" s="575"/>
      <c r="BN151" s="575"/>
      <c r="BO151" s="575"/>
      <c r="BP151" s="575"/>
      <c r="BQ151" s="473"/>
      <c r="BR151" s="473"/>
      <c r="BS151" s="473"/>
      <c r="BT151" s="473"/>
      <c r="BU151" s="473"/>
      <c r="BV151" s="473"/>
      <c r="BW151" s="473"/>
      <c r="BX151" s="473"/>
      <c r="BY151" s="473"/>
      <c r="BZ151" s="473"/>
      <c r="CA151" s="473"/>
      <c r="CB151" s="473"/>
      <c r="CC151" s="473"/>
      <c r="CD151" s="473"/>
      <c r="CE151" s="473"/>
      <c r="CF151" s="473"/>
      <c r="CG151" s="473"/>
      <c r="CH151" s="473"/>
      <c r="CI151" s="473"/>
    </row>
    <row r="152" spans="1:87" ht="12.75" customHeight="1" x14ac:dyDescent="0.2">
      <c r="A152" s="473"/>
      <c r="B152" s="576"/>
      <c r="C152" s="576"/>
      <c r="D152" s="576"/>
      <c r="E152" s="576"/>
      <c r="F152" s="576"/>
      <c r="G152" s="576"/>
      <c r="H152" s="576"/>
      <c r="I152" s="576"/>
      <c r="J152" s="576"/>
      <c r="K152" s="576"/>
      <c r="L152" s="576"/>
      <c r="M152" s="576"/>
      <c r="N152" s="576"/>
      <c r="O152" s="576"/>
      <c r="P152" s="576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  <c r="AL152" s="473"/>
      <c r="AM152" s="473"/>
      <c r="AN152" s="473"/>
      <c r="AO152" s="473"/>
      <c r="AP152" s="575"/>
      <c r="AQ152" s="575"/>
      <c r="AR152" s="575"/>
      <c r="AS152" s="575"/>
      <c r="AT152" s="575"/>
      <c r="AU152" s="575"/>
      <c r="AV152" s="575"/>
      <c r="AW152" s="575"/>
      <c r="AX152" s="575"/>
      <c r="AY152" s="575"/>
      <c r="AZ152" s="575"/>
      <c r="BA152" s="575"/>
      <c r="BB152" s="575"/>
      <c r="BC152" s="575"/>
      <c r="BD152" s="575"/>
      <c r="BE152" s="575"/>
      <c r="BF152" s="575"/>
      <c r="BG152" s="575"/>
      <c r="BH152" s="575"/>
      <c r="BI152" s="575"/>
      <c r="BJ152" s="575"/>
      <c r="BK152" s="575"/>
      <c r="BL152" s="575"/>
      <c r="BM152" s="575"/>
      <c r="BN152" s="575"/>
      <c r="BO152" s="575"/>
      <c r="BP152" s="575"/>
      <c r="BQ152" s="473"/>
      <c r="BR152" s="473"/>
      <c r="BS152" s="473"/>
      <c r="BT152" s="473"/>
      <c r="BU152" s="473"/>
      <c r="BV152" s="473"/>
      <c r="BW152" s="473"/>
      <c r="BX152" s="473"/>
      <c r="BY152" s="473"/>
      <c r="BZ152" s="473"/>
      <c r="CA152" s="473"/>
      <c r="CB152" s="473"/>
      <c r="CC152" s="473"/>
      <c r="CD152" s="473"/>
      <c r="CE152" s="473"/>
      <c r="CF152" s="473"/>
      <c r="CG152" s="473"/>
      <c r="CH152" s="473"/>
      <c r="CI152" s="473"/>
    </row>
    <row r="153" spans="1:87" ht="12.75" customHeight="1" x14ac:dyDescent="0.2">
      <c r="A153" s="473"/>
      <c r="B153" s="576"/>
      <c r="C153" s="576"/>
      <c r="D153" s="576"/>
      <c r="E153" s="576"/>
      <c r="F153" s="576"/>
      <c r="G153" s="576"/>
      <c r="H153" s="576"/>
      <c r="I153" s="576"/>
      <c r="J153" s="576"/>
      <c r="K153" s="576"/>
      <c r="L153" s="576"/>
      <c r="M153" s="576"/>
      <c r="N153" s="576"/>
      <c r="O153" s="576"/>
      <c r="P153" s="576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  <c r="AL153" s="473"/>
      <c r="AM153" s="473"/>
      <c r="AN153" s="473"/>
      <c r="AO153" s="473"/>
      <c r="AP153" s="575"/>
      <c r="AQ153" s="575"/>
      <c r="AR153" s="575"/>
      <c r="AS153" s="575"/>
      <c r="AT153" s="575"/>
      <c r="AU153" s="575"/>
      <c r="AV153" s="575"/>
      <c r="AW153" s="575"/>
      <c r="AX153" s="575"/>
      <c r="AY153" s="575"/>
      <c r="AZ153" s="575"/>
      <c r="BA153" s="575"/>
      <c r="BB153" s="575"/>
      <c r="BC153" s="575"/>
      <c r="BD153" s="575"/>
      <c r="BE153" s="575"/>
      <c r="BF153" s="575"/>
      <c r="BG153" s="575"/>
      <c r="BH153" s="575"/>
      <c r="BI153" s="575"/>
      <c r="BJ153" s="575"/>
      <c r="BK153" s="575"/>
      <c r="BL153" s="575"/>
      <c r="BM153" s="575"/>
      <c r="BN153" s="575"/>
      <c r="BO153" s="575"/>
      <c r="BP153" s="575"/>
      <c r="BQ153" s="473"/>
      <c r="BR153" s="473"/>
      <c r="BS153" s="473"/>
      <c r="BT153" s="473"/>
      <c r="BU153" s="473"/>
      <c r="BV153" s="473"/>
      <c r="BW153" s="473"/>
      <c r="BX153" s="473"/>
      <c r="BY153" s="473"/>
      <c r="BZ153" s="473"/>
      <c r="CA153" s="473"/>
      <c r="CB153" s="473"/>
      <c r="CC153" s="473"/>
      <c r="CD153" s="473"/>
      <c r="CE153" s="473"/>
      <c r="CF153" s="473"/>
      <c r="CG153" s="473"/>
      <c r="CH153" s="473"/>
      <c r="CI153" s="473"/>
    </row>
    <row r="154" spans="1:87" ht="12.75" customHeight="1" x14ac:dyDescent="0.2">
      <c r="A154" s="473"/>
      <c r="B154" s="576"/>
      <c r="C154" s="576"/>
      <c r="D154" s="576"/>
      <c r="E154" s="576"/>
      <c r="F154" s="576"/>
      <c r="G154" s="576"/>
      <c r="H154" s="576"/>
      <c r="I154" s="576"/>
      <c r="J154" s="576"/>
      <c r="K154" s="576"/>
      <c r="L154" s="576"/>
      <c r="M154" s="576"/>
      <c r="N154" s="576"/>
      <c r="O154" s="576"/>
      <c r="P154" s="576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  <c r="AL154" s="473"/>
      <c r="AM154" s="473"/>
      <c r="AN154" s="473"/>
      <c r="AO154" s="473"/>
      <c r="AP154" s="575"/>
      <c r="AQ154" s="575"/>
      <c r="AR154" s="575"/>
      <c r="AS154" s="575"/>
      <c r="AT154" s="575"/>
      <c r="AU154" s="575"/>
      <c r="AV154" s="575"/>
      <c r="AW154" s="575"/>
      <c r="AX154" s="575"/>
      <c r="AY154" s="575"/>
      <c r="AZ154" s="575"/>
      <c r="BA154" s="575"/>
      <c r="BB154" s="575"/>
      <c r="BC154" s="575"/>
      <c r="BD154" s="575"/>
      <c r="BE154" s="575"/>
      <c r="BF154" s="575"/>
      <c r="BG154" s="575"/>
      <c r="BH154" s="575"/>
      <c r="BI154" s="575"/>
      <c r="BJ154" s="575"/>
      <c r="BK154" s="575"/>
      <c r="BL154" s="575"/>
      <c r="BM154" s="575"/>
      <c r="BN154" s="575"/>
      <c r="BO154" s="575"/>
      <c r="BP154" s="575"/>
      <c r="BQ154" s="473"/>
      <c r="BR154" s="473"/>
      <c r="BS154" s="473"/>
      <c r="BT154" s="473"/>
      <c r="BU154" s="473"/>
      <c r="BV154" s="473"/>
      <c r="BW154" s="473"/>
      <c r="BX154" s="473"/>
      <c r="BY154" s="473"/>
      <c r="BZ154" s="473"/>
      <c r="CA154" s="473"/>
      <c r="CB154" s="473"/>
      <c r="CC154" s="473"/>
      <c r="CD154" s="473"/>
      <c r="CE154" s="473"/>
      <c r="CF154" s="473"/>
      <c r="CG154" s="473"/>
      <c r="CH154" s="473"/>
      <c r="CI154" s="473"/>
    </row>
    <row r="155" spans="1:87" ht="12.75" customHeight="1" x14ac:dyDescent="0.2">
      <c r="A155" s="473"/>
      <c r="B155" s="576"/>
      <c r="C155" s="576"/>
      <c r="D155" s="576"/>
      <c r="E155" s="576"/>
      <c r="F155" s="576"/>
      <c r="G155" s="576"/>
      <c r="H155" s="576"/>
      <c r="I155" s="576"/>
      <c r="J155" s="576"/>
      <c r="K155" s="576"/>
      <c r="L155" s="576"/>
      <c r="M155" s="576"/>
      <c r="N155" s="576"/>
      <c r="O155" s="576"/>
      <c r="P155" s="576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  <c r="AL155" s="473"/>
      <c r="AM155" s="473"/>
      <c r="AN155" s="473"/>
      <c r="AO155" s="473"/>
      <c r="AP155" s="575"/>
      <c r="AQ155" s="575"/>
      <c r="AR155" s="575"/>
      <c r="AS155" s="575"/>
      <c r="AT155" s="575"/>
      <c r="AU155" s="575"/>
      <c r="AV155" s="575"/>
      <c r="AW155" s="575"/>
      <c r="AX155" s="575"/>
      <c r="AY155" s="575"/>
      <c r="AZ155" s="575"/>
      <c r="BA155" s="575"/>
      <c r="BB155" s="575"/>
      <c r="BC155" s="575"/>
      <c r="BD155" s="575"/>
      <c r="BE155" s="575"/>
      <c r="BF155" s="575"/>
      <c r="BG155" s="575"/>
      <c r="BH155" s="575"/>
      <c r="BI155" s="575"/>
      <c r="BJ155" s="575"/>
      <c r="BK155" s="575"/>
      <c r="BL155" s="575"/>
      <c r="BM155" s="575"/>
      <c r="BN155" s="575"/>
      <c r="BO155" s="575"/>
      <c r="BP155" s="575"/>
      <c r="BQ155" s="473"/>
      <c r="BR155" s="473"/>
      <c r="BS155" s="473"/>
      <c r="BT155" s="473"/>
      <c r="BU155" s="473"/>
      <c r="BV155" s="473"/>
      <c r="BW155" s="473"/>
      <c r="BX155" s="473"/>
      <c r="BY155" s="473"/>
      <c r="BZ155" s="473"/>
      <c r="CA155" s="473"/>
      <c r="CB155" s="473"/>
      <c r="CC155" s="473"/>
      <c r="CD155" s="473"/>
      <c r="CE155" s="473"/>
      <c r="CF155" s="473"/>
      <c r="CG155" s="473"/>
      <c r="CH155" s="473"/>
      <c r="CI155" s="473"/>
    </row>
    <row r="156" spans="1:87" ht="12.75" customHeight="1" x14ac:dyDescent="0.2">
      <c r="A156" s="473"/>
      <c r="B156" s="576"/>
      <c r="C156" s="576"/>
      <c r="D156" s="576"/>
      <c r="E156" s="576"/>
      <c r="F156" s="576"/>
      <c r="G156" s="576"/>
      <c r="H156" s="576"/>
      <c r="I156" s="576"/>
      <c r="J156" s="576"/>
      <c r="K156" s="576"/>
      <c r="L156" s="576"/>
      <c r="M156" s="576"/>
      <c r="N156" s="576"/>
      <c r="O156" s="576"/>
      <c r="P156" s="576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  <c r="AL156" s="473"/>
      <c r="AM156" s="473"/>
      <c r="AN156" s="473"/>
      <c r="AO156" s="473"/>
      <c r="AP156" s="575"/>
      <c r="AQ156" s="575"/>
      <c r="AR156" s="575"/>
      <c r="AS156" s="575"/>
      <c r="AT156" s="575"/>
      <c r="AU156" s="575"/>
      <c r="AV156" s="575"/>
      <c r="AW156" s="575"/>
      <c r="AX156" s="575"/>
      <c r="AY156" s="575"/>
      <c r="AZ156" s="575"/>
      <c r="BA156" s="575"/>
      <c r="BB156" s="575"/>
      <c r="BC156" s="575"/>
      <c r="BD156" s="575"/>
      <c r="BE156" s="575"/>
      <c r="BF156" s="575"/>
      <c r="BG156" s="575"/>
      <c r="BH156" s="575"/>
      <c r="BI156" s="575"/>
      <c r="BJ156" s="575"/>
      <c r="BK156" s="575"/>
      <c r="BL156" s="575"/>
      <c r="BM156" s="575"/>
      <c r="BN156" s="575"/>
      <c r="BO156" s="575"/>
      <c r="BP156" s="575"/>
      <c r="BQ156" s="473"/>
      <c r="BR156" s="473"/>
      <c r="BS156" s="473"/>
      <c r="BT156" s="473"/>
      <c r="BU156" s="473"/>
      <c r="BV156" s="473"/>
      <c r="BW156" s="473"/>
      <c r="BX156" s="473"/>
      <c r="BY156" s="473"/>
      <c r="BZ156" s="473"/>
      <c r="CA156" s="473"/>
      <c r="CB156" s="473"/>
      <c r="CC156" s="473"/>
      <c r="CD156" s="473"/>
      <c r="CE156" s="473"/>
      <c r="CF156" s="473"/>
      <c r="CG156" s="473"/>
      <c r="CH156" s="473"/>
      <c r="CI156" s="473"/>
    </row>
    <row r="157" spans="1:87" ht="12.75" customHeight="1" x14ac:dyDescent="0.2">
      <c r="A157" s="473"/>
      <c r="B157" s="576"/>
      <c r="C157" s="576"/>
      <c r="D157" s="576"/>
      <c r="E157" s="576"/>
      <c r="F157" s="576"/>
      <c r="G157" s="576"/>
      <c r="H157" s="576"/>
      <c r="I157" s="576"/>
      <c r="J157" s="576"/>
      <c r="K157" s="576"/>
      <c r="L157" s="576"/>
      <c r="M157" s="576"/>
      <c r="N157" s="576"/>
      <c r="O157" s="576"/>
      <c r="P157" s="576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  <c r="AL157" s="473"/>
      <c r="AM157" s="473"/>
      <c r="AN157" s="473"/>
      <c r="AO157" s="473"/>
      <c r="AP157" s="575"/>
      <c r="AQ157" s="575"/>
      <c r="AR157" s="575"/>
      <c r="AS157" s="575"/>
      <c r="AT157" s="575"/>
      <c r="AU157" s="575"/>
      <c r="AV157" s="575"/>
      <c r="AW157" s="575"/>
      <c r="AX157" s="575"/>
      <c r="AY157" s="575"/>
      <c r="AZ157" s="575"/>
      <c r="BA157" s="575"/>
      <c r="BB157" s="575"/>
      <c r="BC157" s="575"/>
      <c r="BD157" s="575"/>
      <c r="BE157" s="575"/>
      <c r="BF157" s="575"/>
      <c r="BG157" s="575"/>
      <c r="BH157" s="575"/>
      <c r="BI157" s="575"/>
      <c r="BJ157" s="575"/>
      <c r="BK157" s="575"/>
      <c r="BL157" s="575"/>
      <c r="BM157" s="575"/>
      <c r="BN157" s="575"/>
      <c r="BO157" s="575"/>
      <c r="BP157" s="575"/>
      <c r="BQ157" s="473"/>
      <c r="BR157" s="473"/>
      <c r="BS157" s="473"/>
      <c r="BT157" s="473"/>
      <c r="BU157" s="473"/>
      <c r="BV157" s="473"/>
      <c r="BW157" s="473"/>
      <c r="BX157" s="473"/>
      <c r="BY157" s="473"/>
      <c r="BZ157" s="473"/>
      <c r="CA157" s="473"/>
      <c r="CB157" s="473"/>
      <c r="CC157" s="473"/>
      <c r="CD157" s="473"/>
      <c r="CE157" s="473"/>
      <c r="CF157" s="473"/>
      <c r="CG157" s="473"/>
      <c r="CH157" s="473"/>
      <c r="CI157" s="473"/>
    </row>
    <row r="158" spans="1:87" ht="12.75" customHeight="1" x14ac:dyDescent="0.2">
      <c r="A158" s="576"/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576"/>
      <c r="AB158" s="576"/>
      <c r="AC158" s="576"/>
      <c r="AD158" s="576"/>
      <c r="AE158" s="576"/>
      <c r="AF158" s="576"/>
      <c r="AG158" s="576"/>
      <c r="AH158" s="576"/>
      <c r="AI158" s="576"/>
      <c r="AJ158" s="576"/>
      <c r="AK158" s="576"/>
      <c r="AL158" s="576"/>
      <c r="AM158" s="576"/>
      <c r="AN158" s="576"/>
      <c r="AO158" s="473"/>
      <c r="AP158" s="575"/>
      <c r="AQ158" s="575"/>
      <c r="AR158" s="575"/>
      <c r="AS158" s="575"/>
      <c r="AT158" s="575"/>
      <c r="AU158" s="575"/>
      <c r="AV158" s="575"/>
      <c r="AW158" s="575"/>
      <c r="AX158" s="575"/>
      <c r="AY158" s="575"/>
      <c r="AZ158" s="575"/>
      <c r="BA158" s="575"/>
      <c r="BB158" s="575"/>
      <c r="BC158" s="575"/>
      <c r="BD158" s="575"/>
      <c r="BE158" s="575"/>
      <c r="BF158" s="575"/>
      <c r="BG158" s="575"/>
      <c r="BH158" s="575"/>
      <c r="BI158" s="575"/>
      <c r="BJ158" s="575"/>
      <c r="BK158" s="575"/>
      <c r="BL158" s="575"/>
      <c r="BM158" s="575"/>
      <c r="BN158" s="575"/>
      <c r="BO158" s="575"/>
      <c r="BP158" s="575"/>
      <c r="BQ158" s="473"/>
      <c r="BR158" s="473"/>
      <c r="BS158" s="473"/>
      <c r="BT158" s="473"/>
      <c r="BU158" s="473"/>
      <c r="BV158" s="473"/>
      <c r="BW158" s="473"/>
      <c r="BX158" s="473"/>
      <c r="BY158" s="473"/>
      <c r="BZ158" s="473"/>
      <c r="CA158" s="473"/>
      <c r="CB158" s="473"/>
      <c r="CC158" s="473"/>
      <c r="CD158" s="473"/>
      <c r="CE158" s="473"/>
      <c r="CF158" s="473"/>
      <c r="CG158" s="473"/>
      <c r="CH158" s="473"/>
      <c r="CI158" s="473"/>
    </row>
    <row r="159" spans="1:87" ht="12.75" customHeight="1" x14ac:dyDescent="0.2">
      <c r="A159" s="576"/>
      <c r="B159" s="576"/>
      <c r="C159" s="576"/>
      <c r="D159" s="576"/>
      <c r="E159" s="576"/>
      <c r="F159" s="576"/>
      <c r="G159" s="576"/>
      <c r="H159" s="576"/>
      <c r="I159" s="576"/>
      <c r="J159" s="576"/>
      <c r="K159" s="576"/>
      <c r="L159" s="576"/>
      <c r="M159" s="576"/>
      <c r="N159" s="576"/>
      <c r="O159" s="576"/>
      <c r="P159" s="576"/>
      <c r="Q159" s="576"/>
      <c r="R159" s="576"/>
      <c r="S159" s="576"/>
      <c r="T159" s="576"/>
      <c r="U159" s="576"/>
      <c r="V159" s="576"/>
      <c r="W159" s="576"/>
      <c r="X159" s="576"/>
      <c r="Y159" s="576"/>
      <c r="Z159" s="576"/>
      <c r="AA159" s="576"/>
      <c r="AB159" s="576"/>
      <c r="AC159" s="576"/>
      <c r="AD159" s="576"/>
      <c r="AE159" s="576"/>
      <c r="AF159" s="576"/>
      <c r="AG159" s="576"/>
      <c r="AH159" s="576"/>
      <c r="AI159" s="576"/>
      <c r="AJ159" s="576"/>
      <c r="AK159" s="576"/>
      <c r="AL159" s="576"/>
      <c r="AM159" s="576"/>
      <c r="AN159" s="576"/>
      <c r="AO159" s="473"/>
      <c r="AP159" s="575"/>
      <c r="AQ159" s="575"/>
      <c r="AR159" s="575"/>
      <c r="AS159" s="575"/>
      <c r="AT159" s="575"/>
      <c r="AU159" s="575"/>
      <c r="AV159" s="575"/>
      <c r="AW159" s="575"/>
      <c r="AX159" s="575"/>
      <c r="AY159" s="575"/>
      <c r="AZ159" s="575"/>
      <c r="BA159" s="575"/>
      <c r="BB159" s="575"/>
      <c r="BC159" s="575"/>
      <c r="BD159" s="575"/>
      <c r="BE159" s="575"/>
      <c r="BF159" s="575"/>
      <c r="BG159" s="575"/>
      <c r="BH159" s="575"/>
      <c r="BI159" s="575"/>
      <c r="BJ159" s="575"/>
      <c r="BK159" s="575"/>
      <c r="BL159" s="575"/>
      <c r="BM159" s="575"/>
      <c r="BN159" s="575"/>
      <c r="BO159" s="575"/>
      <c r="BP159" s="575"/>
      <c r="BQ159" s="473"/>
      <c r="BR159" s="473"/>
      <c r="BS159" s="473"/>
      <c r="BT159" s="473"/>
      <c r="BU159" s="473"/>
      <c r="BV159" s="473"/>
      <c r="BW159" s="473"/>
      <c r="BX159" s="473"/>
      <c r="BY159" s="473"/>
      <c r="BZ159" s="473"/>
      <c r="CA159" s="473"/>
      <c r="CB159" s="473"/>
      <c r="CC159" s="473"/>
      <c r="CD159" s="473"/>
      <c r="CE159" s="473"/>
      <c r="CF159" s="473"/>
      <c r="CG159" s="473"/>
      <c r="CH159" s="473"/>
      <c r="CI159" s="473"/>
    </row>
    <row r="160" spans="1:87" ht="12.75" customHeight="1" x14ac:dyDescent="0.2">
      <c r="A160" s="576"/>
      <c r="B160" s="576"/>
      <c r="C160" s="576"/>
      <c r="D160" s="576"/>
      <c r="E160" s="576"/>
      <c r="F160" s="576"/>
      <c r="G160" s="576"/>
      <c r="H160" s="576"/>
      <c r="I160" s="576"/>
      <c r="J160" s="576"/>
      <c r="K160" s="576"/>
      <c r="L160" s="576"/>
      <c r="M160" s="576"/>
      <c r="N160" s="576"/>
      <c r="O160" s="576"/>
      <c r="P160" s="576"/>
      <c r="Q160" s="576"/>
      <c r="R160" s="576"/>
      <c r="S160" s="576"/>
      <c r="T160" s="576"/>
      <c r="U160" s="576"/>
      <c r="V160" s="576"/>
      <c r="W160" s="576"/>
      <c r="X160" s="576"/>
      <c r="Y160" s="576"/>
      <c r="Z160" s="576"/>
      <c r="AA160" s="576"/>
      <c r="AB160" s="576"/>
      <c r="AC160" s="576"/>
      <c r="AD160" s="576"/>
      <c r="AE160" s="576"/>
      <c r="AF160" s="576"/>
      <c r="AG160" s="576"/>
      <c r="AH160" s="576"/>
      <c r="AI160" s="576"/>
      <c r="AJ160" s="576"/>
      <c r="AK160" s="576"/>
      <c r="AL160" s="576"/>
      <c r="AM160" s="576"/>
      <c r="AN160" s="576"/>
      <c r="AO160" s="473"/>
      <c r="AP160" s="575"/>
      <c r="AQ160" s="575"/>
      <c r="AR160" s="575"/>
      <c r="AS160" s="575"/>
      <c r="AT160" s="575"/>
      <c r="AU160" s="575"/>
      <c r="AV160" s="575"/>
      <c r="AW160" s="575"/>
      <c r="AX160" s="575"/>
      <c r="AY160" s="575"/>
      <c r="AZ160" s="575"/>
      <c r="BA160" s="575"/>
      <c r="BB160" s="575"/>
      <c r="BC160" s="575"/>
      <c r="BD160" s="575"/>
      <c r="BE160" s="575"/>
      <c r="BF160" s="575"/>
      <c r="BG160" s="575"/>
      <c r="BH160" s="575"/>
      <c r="BI160" s="575"/>
      <c r="BJ160" s="575"/>
      <c r="BK160" s="575"/>
      <c r="BL160" s="575"/>
      <c r="BM160" s="575"/>
      <c r="BN160" s="575"/>
      <c r="BO160" s="575"/>
      <c r="BP160" s="575"/>
      <c r="BQ160" s="473"/>
      <c r="BR160" s="473"/>
      <c r="BS160" s="473"/>
      <c r="BT160" s="473"/>
      <c r="BU160" s="473"/>
      <c r="BV160" s="473"/>
      <c r="BW160" s="473"/>
      <c r="BX160" s="473"/>
      <c r="BY160" s="473"/>
      <c r="BZ160" s="473"/>
      <c r="CA160" s="473"/>
      <c r="CB160" s="473"/>
      <c r="CC160" s="473"/>
      <c r="CD160" s="473"/>
      <c r="CE160" s="473"/>
      <c r="CF160" s="473"/>
      <c r="CG160" s="473"/>
      <c r="CH160" s="473"/>
      <c r="CI160" s="473"/>
    </row>
    <row r="161" spans="1:87" ht="12.75" customHeight="1" x14ac:dyDescent="0.2">
      <c r="A161" s="576"/>
      <c r="B161" s="576"/>
      <c r="C161" s="576"/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 s="576"/>
      <c r="X161" s="576"/>
      <c r="Y161" s="576"/>
      <c r="Z161" s="576"/>
      <c r="AA161" s="576"/>
      <c r="AB161" s="576"/>
      <c r="AC161" s="576"/>
      <c r="AD161" s="576"/>
      <c r="AE161" s="576"/>
      <c r="AF161" s="576"/>
      <c r="AG161" s="576"/>
      <c r="AH161" s="576"/>
      <c r="AI161" s="576"/>
      <c r="AJ161" s="576"/>
      <c r="AK161" s="576"/>
      <c r="AL161" s="576"/>
      <c r="AM161" s="576"/>
      <c r="AN161" s="576"/>
      <c r="AO161" s="473"/>
      <c r="AP161" s="575"/>
      <c r="AQ161" s="575"/>
      <c r="AR161" s="575"/>
      <c r="AS161" s="575"/>
      <c r="AT161" s="575"/>
      <c r="AU161" s="575"/>
      <c r="AV161" s="575"/>
      <c r="AW161" s="575"/>
      <c r="AX161" s="575"/>
      <c r="AY161" s="575"/>
      <c r="AZ161" s="575"/>
      <c r="BA161" s="575"/>
      <c r="BB161" s="575"/>
      <c r="BC161" s="575"/>
      <c r="BD161" s="575"/>
      <c r="BE161" s="575"/>
      <c r="BF161" s="575"/>
      <c r="BG161" s="575"/>
      <c r="BH161" s="575"/>
      <c r="BI161" s="575"/>
      <c r="BJ161" s="575"/>
      <c r="BK161" s="575"/>
      <c r="BL161" s="575"/>
      <c r="BM161" s="575"/>
      <c r="BN161" s="575"/>
      <c r="BO161" s="575"/>
      <c r="BP161" s="575"/>
      <c r="BQ161" s="473"/>
      <c r="BR161" s="473"/>
      <c r="BS161" s="473"/>
      <c r="BT161" s="473"/>
      <c r="BU161" s="473"/>
      <c r="BV161" s="473"/>
      <c r="BW161" s="473"/>
      <c r="BX161" s="473"/>
      <c r="BY161" s="473"/>
      <c r="BZ161" s="473"/>
      <c r="CA161" s="473"/>
      <c r="CB161" s="473"/>
      <c r="CC161" s="473"/>
      <c r="CD161" s="473"/>
      <c r="CE161" s="473"/>
      <c r="CF161" s="473"/>
      <c r="CG161" s="473"/>
      <c r="CH161" s="473"/>
      <c r="CI161" s="473"/>
    </row>
    <row r="162" spans="1:87" ht="12.75" customHeight="1" x14ac:dyDescent="0.2">
      <c r="A162" s="576"/>
      <c r="B162" s="576"/>
      <c r="C162" s="576"/>
      <c r="D162" s="576"/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 s="576"/>
      <c r="X162" s="576"/>
      <c r="Y162" s="576"/>
      <c r="Z162" s="576"/>
      <c r="AA162" s="576"/>
      <c r="AB162" s="576"/>
      <c r="AC162" s="576"/>
      <c r="AD162" s="576"/>
      <c r="AE162" s="576"/>
      <c r="AF162" s="576"/>
      <c r="AG162" s="576"/>
      <c r="AH162" s="576"/>
      <c r="AI162" s="576"/>
      <c r="AJ162" s="576"/>
      <c r="AK162" s="576"/>
      <c r="AL162" s="576"/>
      <c r="AM162" s="576"/>
      <c r="AN162" s="576"/>
      <c r="AO162" s="473"/>
      <c r="AP162" s="575"/>
      <c r="AQ162" s="575"/>
      <c r="AR162" s="575"/>
      <c r="AS162" s="575"/>
      <c r="AT162" s="575"/>
      <c r="AU162" s="575"/>
      <c r="AV162" s="575"/>
      <c r="AW162" s="575"/>
      <c r="AX162" s="575"/>
      <c r="AY162" s="575"/>
      <c r="AZ162" s="575"/>
      <c r="BA162" s="575"/>
      <c r="BB162" s="575"/>
      <c r="BC162" s="575"/>
      <c r="BD162" s="575"/>
      <c r="BE162" s="575"/>
      <c r="BF162" s="575"/>
      <c r="BG162" s="575"/>
      <c r="BH162" s="575"/>
      <c r="BI162" s="575"/>
      <c r="BJ162" s="575"/>
      <c r="BK162" s="575"/>
      <c r="BL162" s="575"/>
      <c r="BM162" s="575"/>
      <c r="BN162" s="575"/>
      <c r="BO162" s="575"/>
      <c r="BP162" s="575"/>
      <c r="BQ162" s="473"/>
      <c r="BR162" s="473"/>
      <c r="BS162" s="473"/>
      <c r="BT162" s="473"/>
      <c r="BU162" s="473"/>
      <c r="BV162" s="473"/>
      <c r="BW162" s="473"/>
      <c r="BX162" s="473"/>
      <c r="BY162" s="473"/>
      <c r="BZ162" s="473"/>
      <c r="CA162" s="473"/>
      <c r="CB162" s="473"/>
      <c r="CC162" s="473"/>
      <c r="CD162" s="473"/>
      <c r="CE162" s="473"/>
      <c r="CF162" s="473"/>
      <c r="CG162" s="473"/>
      <c r="CH162" s="473"/>
      <c r="CI162" s="473"/>
    </row>
    <row r="163" spans="1:87" ht="12.75" customHeight="1" x14ac:dyDescent="0.2">
      <c r="A163" s="576"/>
      <c r="B163" s="576"/>
      <c r="C163" s="576"/>
      <c r="D163" s="576"/>
      <c r="E163" s="576"/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 s="576"/>
      <c r="X163" s="576"/>
      <c r="Y163" s="576"/>
      <c r="Z163" s="576"/>
      <c r="AA163" s="576"/>
      <c r="AB163" s="576"/>
      <c r="AC163" s="576"/>
      <c r="AD163" s="576"/>
      <c r="AE163" s="576"/>
      <c r="AF163" s="576"/>
      <c r="AG163" s="576"/>
      <c r="AH163" s="576"/>
      <c r="AI163" s="576"/>
      <c r="AJ163" s="576"/>
      <c r="AK163" s="576"/>
      <c r="AL163" s="576"/>
      <c r="AM163" s="576"/>
      <c r="AN163" s="576"/>
      <c r="AO163" s="473"/>
      <c r="AP163" s="575"/>
      <c r="AQ163" s="575"/>
      <c r="AR163" s="575"/>
      <c r="AS163" s="575"/>
      <c r="AT163" s="575"/>
      <c r="AU163" s="575"/>
      <c r="AV163" s="575"/>
      <c r="AW163" s="575"/>
      <c r="AX163" s="575"/>
      <c r="AY163" s="575"/>
      <c r="AZ163" s="575"/>
      <c r="BA163" s="575"/>
      <c r="BB163" s="575"/>
      <c r="BC163" s="575"/>
      <c r="BD163" s="575"/>
      <c r="BE163" s="575"/>
      <c r="BF163" s="575"/>
      <c r="BG163" s="575"/>
      <c r="BH163" s="575"/>
      <c r="BI163" s="575"/>
      <c r="BJ163" s="575"/>
      <c r="BK163" s="575"/>
      <c r="BL163" s="575"/>
      <c r="BM163" s="575"/>
      <c r="BN163" s="575"/>
      <c r="BO163" s="575"/>
      <c r="BP163" s="575"/>
      <c r="BQ163" s="473"/>
      <c r="BR163" s="473"/>
      <c r="BS163" s="473"/>
      <c r="BT163" s="473"/>
      <c r="BU163" s="473"/>
      <c r="BV163" s="473"/>
      <c r="BW163" s="473"/>
      <c r="BX163" s="473"/>
      <c r="BY163" s="473"/>
      <c r="BZ163" s="473"/>
      <c r="CA163" s="473"/>
      <c r="CB163" s="473"/>
      <c r="CC163" s="473"/>
      <c r="CD163" s="473"/>
      <c r="CE163" s="473"/>
      <c r="CF163" s="473"/>
      <c r="CG163" s="473"/>
      <c r="CH163" s="473"/>
      <c r="CI163" s="473"/>
    </row>
    <row r="164" spans="1:87" ht="12.75" customHeight="1" x14ac:dyDescent="0.2">
      <c r="A164" s="576"/>
      <c r="B164" s="576"/>
      <c r="C164" s="576"/>
      <c r="D164" s="576"/>
      <c r="E164" s="576"/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 s="576"/>
      <c r="X164" s="576"/>
      <c r="Y164" s="576"/>
      <c r="Z164" s="576"/>
      <c r="AA164" s="576"/>
      <c r="AB164" s="576"/>
      <c r="AC164" s="576"/>
      <c r="AD164" s="576"/>
      <c r="AE164" s="576"/>
      <c r="AF164" s="576"/>
      <c r="AG164" s="576"/>
      <c r="AH164" s="576"/>
      <c r="AI164" s="576"/>
      <c r="AJ164" s="576"/>
      <c r="AK164" s="576"/>
      <c r="AL164" s="576"/>
      <c r="AM164" s="576"/>
      <c r="AN164" s="576"/>
      <c r="AO164" s="473"/>
      <c r="AP164" s="575"/>
      <c r="AQ164" s="575"/>
      <c r="AR164" s="575"/>
      <c r="AS164" s="575"/>
      <c r="AT164" s="575"/>
      <c r="AU164" s="575"/>
      <c r="AV164" s="575"/>
      <c r="AW164" s="575"/>
      <c r="AX164" s="575"/>
      <c r="AY164" s="575"/>
      <c r="AZ164" s="575"/>
      <c r="BA164" s="575"/>
      <c r="BB164" s="575"/>
      <c r="BC164" s="575"/>
      <c r="BD164" s="575"/>
      <c r="BE164" s="575"/>
      <c r="BF164" s="575"/>
      <c r="BG164" s="575"/>
      <c r="BH164" s="575"/>
      <c r="BI164" s="575"/>
      <c r="BJ164" s="575"/>
      <c r="BK164" s="575"/>
      <c r="BL164" s="575"/>
      <c r="BM164" s="575"/>
      <c r="BN164" s="575"/>
      <c r="BO164" s="575"/>
      <c r="BP164" s="575"/>
      <c r="BQ164" s="473"/>
      <c r="BR164" s="473"/>
      <c r="BS164" s="473"/>
      <c r="BT164" s="473"/>
      <c r="BU164" s="473"/>
      <c r="BV164" s="473"/>
      <c r="BW164" s="473"/>
      <c r="BX164" s="473"/>
      <c r="BY164" s="473"/>
      <c r="BZ164" s="473"/>
      <c r="CA164" s="473"/>
      <c r="CB164" s="473"/>
      <c r="CC164" s="473"/>
      <c r="CD164" s="473"/>
      <c r="CE164" s="473"/>
      <c r="CF164" s="473"/>
      <c r="CG164" s="473"/>
      <c r="CH164" s="473"/>
      <c r="CI164" s="473"/>
    </row>
    <row r="165" spans="1:87" ht="12.75" customHeight="1" x14ac:dyDescent="0.2">
      <c r="A165" s="576"/>
      <c r="B165" s="576"/>
      <c r="C165" s="576"/>
      <c r="D165" s="576"/>
      <c r="E165" s="576"/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 s="576"/>
      <c r="X165" s="576"/>
      <c r="Y165" s="576"/>
      <c r="Z165" s="576"/>
      <c r="AA165" s="576"/>
      <c r="AB165" s="576"/>
      <c r="AC165" s="576"/>
      <c r="AD165" s="576"/>
      <c r="AE165" s="576"/>
      <c r="AF165" s="576"/>
      <c r="AG165" s="576"/>
      <c r="AH165" s="576"/>
      <c r="AI165" s="576"/>
      <c r="AJ165" s="576"/>
      <c r="AK165" s="576"/>
      <c r="AL165" s="576"/>
      <c r="AM165" s="576"/>
      <c r="AN165" s="576"/>
      <c r="AO165" s="473"/>
      <c r="AP165" s="575"/>
      <c r="AQ165" s="575"/>
      <c r="AR165" s="575"/>
      <c r="AS165" s="575"/>
      <c r="AT165" s="575"/>
      <c r="AU165" s="575"/>
      <c r="AV165" s="575"/>
      <c r="AW165" s="575"/>
      <c r="AX165" s="575"/>
      <c r="AY165" s="575"/>
      <c r="AZ165" s="575"/>
      <c r="BA165" s="575"/>
      <c r="BB165" s="575"/>
      <c r="BC165" s="575"/>
      <c r="BD165" s="575"/>
      <c r="BE165" s="575"/>
      <c r="BF165" s="575"/>
      <c r="BG165" s="575"/>
      <c r="BH165" s="575"/>
      <c r="BI165" s="575"/>
      <c r="BJ165" s="575"/>
      <c r="BK165" s="575"/>
      <c r="BL165" s="575"/>
      <c r="BM165" s="575"/>
      <c r="BN165" s="575"/>
      <c r="BO165" s="575"/>
      <c r="BP165" s="575"/>
      <c r="BQ165" s="473"/>
      <c r="BR165" s="473"/>
      <c r="BS165" s="473"/>
      <c r="BT165" s="473"/>
      <c r="BU165" s="473"/>
      <c r="BV165" s="473"/>
      <c r="BW165" s="473"/>
      <c r="BX165" s="473"/>
      <c r="BY165" s="473"/>
      <c r="BZ165" s="473"/>
      <c r="CA165" s="473"/>
      <c r="CB165" s="473"/>
      <c r="CC165" s="473"/>
      <c r="CD165" s="473"/>
      <c r="CE165" s="473"/>
      <c r="CF165" s="473"/>
      <c r="CG165" s="473"/>
      <c r="CH165" s="473"/>
      <c r="CI165" s="473"/>
    </row>
    <row r="166" spans="1:87" ht="12.75" customHeight="1" x14ac:dyDescent="0.2">
      <c r="A166" s="576"/>
      <c r="B166" s="576"/>
      <c r="C166" s="576"/>
      <c r="D166" s="576"/>
      <c r="E166" s="576"/>
      <c r="F166" s="576"/>
      <c r="G166" s="576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 s="576"/>
      <c r="X166" s="576"/>
      <c r="Y166" s="576"/>
      <c r="Z166" s="576"/>
      <c r="AA166" s="576"/>
      <c r="AB166" s="576"/>
      <c r="AC166" s="576"/>
      <c r="AD166" s="576"/>
      <c r="AE166" s="576"/>
      <c r="AF166" s="576"/>
      <c r="AG166" s="576"/>
      <c r="AH166" s="576"/>
      <c r="AI166" s="576"/>
      <c r="AJ166" s="576"/>
      <c r="AK166" s="576"/>
      <c r="AL166" s="576"/>
      <c r="AM166" s="576"/>
      <c r="AN166" s="576"/>
      <c r="AO166" s="473"/>
      <c r="AP166" s="575"/>
      <c r="AQ166" s="575"/>
      <c r="AR166" s="575"/>
      <c r="AS166" s="575"/>
      <c r="AT166" s="575"/>
      <c r="AU166" s="575"/>
      <c r="AV166" s="575"/>
      <c r="AW166" s="575"/>
      <c r="AX166" s="575"/>
      <c r="AY166" s="575"/>
      <c r="AZ166" s="575"/>
      <c r="BA166" s="575"/>
      <c r="BB166" s="575"/>
      <c r="BC166" s="575"/>
      <c r="BD166" s="575"/>
      <c r="BE166" s="575"/>
      <c r="BF166" s="575"/>
      <c r="BG166" s="575"/>
      <c r="BH166" s="575"/>
      <c r="BI166" s="575"/>
      <c r="BJ166" s="575"/>
      <c r="BK166" s="575"/>
      <c r="BL166" s="575"/>
      <c r="BM166" s="575"/>
      <c r="BN166" s="575"/>
      <c r="BO166" s="575"/>
      <c r="BP166" s="575"/>
      <c r="BQ166" s="473"/>
      <c r="BR166" s="473"/>
      <c r="BS166" s="473"/>
      <c r="BT166" s="473"/>
      <c r="BU166" s="473"/>
      <c r="BV166" s="473"/>
      <c r="BW166" s="473"/>
      <c r="BX166" s="473"/>
      <c r="BY166" s="473"/>
      <c r="BZ166" s="473"/>
      <c r="CA166" s="473"/>
      <c r="CB166" s="473"/>
      <c r="CC166" s="473"/>
      <c r="CD166" s="473"/>
      <c r="CE166" s="473"/>
      <c r="CF166" s="473"/>
      <c r="CG166" s="473"/>
      <c r="CH166" s="473"/>
      <c r="CI166" s="473"/>
    </row>
    <row r="167" spans="1:87" ht="12.75" customHeight="1" x14ac:dyDescent="0.2">
      <c r="A167" s="576"/>
      <c r="B167" s="576"/>
      <c r="C167" s="576"/>
      <c r="D167" s="576"/>
      <c r="E167" s="576"/>
      <c r="F167" s="576"/>
      <c r="G167" s="576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 s="576"/>
      <c r="X167" s="576"/>
      <c r="Y167" s="576"/>
      <c r="Z167" s="576"/>
      <c r="AA167" s="576"/>
      <c r="AB167" s="576"/>
      <c r="AC167" s="576"/>
      <c r="AD167" s="576"/>
      <c r="AE167" s="576"/>
      <c r="AF167" s="576"/>
      <c r="AG167" s="576"/>
      <c r="AH167" s="576"/>
      <c r="AI167" s="576"/>
      <c r="AJ167" s="576"/>
      <c r="AK167" s="576"/>
      <c r="AL167" s="576"/>
      <c r="AM167" s="576"/>
      <c r="AN167" s="576"/>
      <c r="AO167" s="473"/>
      <c r="AP167" s="575"/>
      <c r="AQ167" s="575"/>
      <c r="AR167" s="575"/>
      <c r="AS167" s="575"/>
      <c r="AT167" s="575"/>
      <c r="AU167" s="575"/>
      <c r="AV167" s="575"/>
      <c r="AW167" s="575"/>
      <c r="AX167" s="575"/>
      <c r="AY167" s="575"/>
      <c r="AZ167" s="575"/>
      <c r="BA167" s="575"/>
      <c r="BB167" s="575"/>
      <c r="BC167" s="575"/>
      <c r="BD167" s="575"/>
      <c r="BE167" s="575"/>
      <c r="BF167" s="575"/>
      <c r="BG167" s="575"/>
      <c r="BH167" s="575"/>
      <c r="BI167" s="575"/>
      <c r="BJ167" s="575"/>
      <c r="BK167" s="575"/>
      <c r="BL167" s="575"/>
      <c r="BM167" s="575"/>
      <c r="BN167" s="575"/>
      <c r="BO167" s="575"/>
      <c r="BP167" s="575"/>
      <c r="BQ167" s="473"/>
      <c r="BR167" s="473"/>
      <c r="BS167" s="473"/>
      <c r="BT167" s="473"/>
      <c r="BU167" s="473"/>
      <c r="BV167" s="473"/>
      <c r="BW167" s="473"/>
      <c r="BX167" s="473"/>
      <c r="BY167" s="473"/>
      <c r="BZ167" s="473"/>
      <c r="CA167" s="473"/>
      <c r="CB167" s="473"/>
      <c r="CC167" s="473"/>
      <c r="CD167" s="473"/>
      <c r="CE167" s="473"/>
      <c r="CF167" s="473"/>
      <c r="CG167" s="473"/>
      <c r="CH167" s="473"/>
      <c r="CI167" s="473"/>
    </row>
    <row r="168" spans="1:87" ht="12.75" customHeight="1" x14ac:dyDescent="0.2">
      <c r="A168" s="576"/>
      <c r="B168" s="576"/>
      <c r="C168" s="576"/>
      <c r="D168" s="576"/>
      <c r="E168" s="576"/>
      <c r="F168" s="576"/>
      <c r="G168" s="576"/>
      <c r="H168" s="576"/>
      <c r="I168" s="576"/>
      <c r="J168" s="576"/>
      <c r="K168" s="576"/>
      <c r="L168" s="576"/>
      <c r="M168" s="576"/>
      <c r="N168" s="576"/>
      <c r="O168" s="576"/>
      <c r="P168" s="576"/>
      <c r="Q168" s="576"/>
      <c r="R168" s="576"/>
      <c r="S168" s="576"/>
      <c r="T168" s="576"/>
      <c r="U168" s="576"/>
      <c r="V168" s="576"/>
      <c r="W168" s="576"/>
      <c r="X168" s="576"/>
      <c r="Y168" s="576"/>
      <c r="Z168" s="576"/>
      <c r="AA168" s="576"/>
      <c r="AB168" s="576"/>
      <c r="AC168" s="576"/>
      <c r="AD168" s="576"/>
      <c r="AE168" s="576"/>
      <c r="AF168" s="576"/>
      <c r="AG168" s="576"/>
      <c r="AH168" s="576"/>
      <c r="AI168" s="576"/>
      <c r="AJ168" s="576"/>
      <c r="AK168" s="576"/>
      <c r="AL168" s="576"/>
      <c r="AM168" s="576"/>
      <c r="AN168" s="576"/>
      <c r="AO168" s="473"/>
      <c r="AP168" s="575"/>
      <c r="AQ168" s="575"/>
      <c r="AR168" s="575"/>
      <c r="AS168" s="575"/>
      <c r="AT168" s="575"/>
      <c r="AU168" s="575"/>
      <c r="AV168" s="575"/>
      <c r="AW168" s="575"/>
      <c r="AX168" s="575"/>
      <c r="AY168" s="575"/>
      <c r="AZ168" s="575"/>
      <c r="BA168" s="575"/>
      <c r="BB168" s="575"/>
      <c r="BC168" s="575"/>
      <c r="BD168" s="575"/>
      <c r="BE168" s="575"/>
      <c r="BF168" s="575"/>
      <c r="BG168" s="575"/>
      <c r="BH168" s="575"/>
      <c r="BI168" s="575"/>
      <c r="BJ168" s="575"/>
      <c r="BK168" s="575"/>
      <c r="BL168" s="575"/>
      <c r="BM168" s="575"/>
      <c r="BN168" s="575"/>
      <c r="BO168" s="575"/>
      <c r="BP168" s="575"/>
      <c r="BQ168" s="473"/>
      <c r="BR168" s="473"/>
      <c r="BS168" s="473"/>
      <c r="BT168" s="473"/>
      <c r="BU168" s="473"/>
      <c r="BV168" s="473"/>
      <c r="BW168" s="473"/>
      <c r="BX168" s="473"/>
      <c r="BY168" s="473"/>
      <c r="BZ168" s="473"/>
      <c r="CA168" s="473"/>
      <c r="CB168" s="473"/>
      <c r="CC168" s="473"/>
      <c r="CD168" s="473"/>
      <c r="CE168" s="473"/>
      <c r="CF168" s="473"/>
      <c r="CG168" s="473"/>
      <c r="CH168" s="473"/>
      <c r="CI168" s="473"/>
    </row>
    <row r="169" spans="1:87" ht="12.75" customHeight="1" x14ac:dyDescent="0.2">
      <c r="A169" s="576"/>
      <c r="B169" s="576"/>
      <c r="C169" s="576"/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 s="576"/>
      <c r="X169" s="576"/>
      <c r="Y169" s="576"/>
      <c r="Z169" s="576"/>
      <c r="AA169" s="576"/>
      <c r="AB169" s="576"/>
      <c r="AC169" s="576"/>
      <c r="AD169" s="576"/>
      <c r="AE169" s="576"/>
      <c r="AF169" s="576"/>
      <c r="AG169" s="576"/>
      <c r="AH169" s="576"/>
      <c r="AI169" s="576"/>
      <c r="AJ169" s="576"/>
      <c r="AK169" s="576"/>
      <c r="AL169" s="576"/>
      <c r="AM169" s="576"/>
      <c r="AN169" s="576"/>
      <c r="AO169" s="473"/>
      <c r="AP169" s="575"/>
      <c r="AQ169" s="575"/>
      <c r="AR169" s="575"/>
      <c r="AS169" s="575"/>
      <c r="AT169" s="575"/>
      <c r="AU169" s="575"/>
      <c r="AV169" s="575"/>
      <c r="AW169" s="575"/>
      <c r="AX169" s="575"/>
      <c r="AY169" s="575"/>
      <c r="AZ169" s="575"/>
      <c r="BA169" s="575"/>
      <c r="BB169" s="575"/>
      <c r="BC169" s="575"/>
      <c r="BD169" s="575"/>
      <c r="BE169" s="575"/>
      <c r="BF169" s="575"/>
      <c r="BG169" s="575"/>
      <c r="BH169" s="575"/>
      <c r="BI169" s="575"/>
      <c r="BJ169" s="575"/>
      <c r="BK169" s="575"/>
      <c r="BL169" s="575"/>
      <c r="BM169" s="575"/>
      <c r="BN169" s="575"/>
      <c r="BO169" s="575"/>
      <c r="BP169" s="575"/>
      <c r="BQ169" s="473"/>
      <c r="BR169" s="473"/>
      <c r="BS169" s="473"/>
      <c r="BT169" s="473"/>
      <c r="BU169" s="473"/>
      <c r="BV169" s="473"/>
      <c r="BW169" s="473"/>
      <c r="BX169" s="473"/>
      <c r="BY169" s="473"/>
      <c r="BZ169" s="473"/>
      <c r="CA169" s="473"/>
      <c r="CB169" s="473"/>
      <c r="CC169" s="473"/>
      <c r="CD169" s="473"/>
      <c r="CE169" s="473"/>
      <c r="CF169" s="473"/>
      <c r="CG169" s="473"/>
      <c r="CH169" s="473"/>
      <c r="CI169" s="473"/>
    </row>
    <row r="170" spans="1:87" ht="12.75" customHeight="1" x14ac:dyDescent="0.2">
      <c r="A170" s="576"/>
      <c r="B170" s="576"/>
      <c r="C170" s="576"/>
      <c r="D170" s="576"/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 s="576"/>
      <c r="X170" s="576"/>
      <c r="Y170" s="576"/>
      <c r="Z170" s="576"/>
      <c r="AA170" s="576"/>
      <c r="AB170" s="576"/>
      <c r="AC170" s="576"/>
      <c r="AD170" s="576"/>
      <c r="AE170" s="576"/>
      <c r="AF170" s="576"/>
      <c r="AG170" s="576"/>
      <c r="AH170" s="576"/>
      <c r="AI170" s="576"/>
      <c r="AJ170" s="576"/>
      <c r="AK170" s="576"/>
      <c r="AL170" s="576"/>
      <c r="AM170" s="576"/>
      <c r="AN170" s="576"/>
      <c r="AO170" s="473"/>
      <c r="AP170" s="575"/>
      <c r="AQ170" s="575"/>
      <c r="AR170" s="575"/>
      <c r="AS170" s="575"/>
      <c r="AT170" s="575"/>
      <c r="AU170" s="575"/>
      <c r="AV170" s="575"/>
      <c r="AW170" s="575"/>
      <c r="AX170" s="575"/>
      <c r="AY170" s="575"/>
      <c r="AZ170" s="575"/>
      <c r="BA170" s="575"/>
      <c r="BB170" s="575"/>
      <c r="BC170" s="575"/>
      <c r="BD170" s="575"/>
      <c r="BE170" s="575"/>
      <c r="BF170" s="575"/>
      <c r="BG170" s="575"/>
      <c r="BH170" s="575"/>
      <c r="BI170" s="575"/>
      <c r="BJ170" s="575"/>
      <c r="BK170" s="575"/>
      <c r="BL170" s="575"/>
      <c r="BM170" s="575"/>
      <c r="BN170" s="575"/>
      <c r="BO170" s="575"/>
      <c r="BP170" s="575"/>
      <c r="BQ170" s="473"/>
      <c r="BR170" s="473"/>
      <c r="BS170" s="473"/>
      <c r="BT170" s="473"/>
      <c r="BU170" s="473"/>
      <c r="BV170" s="473"/>
      <c r="BW170" s="473"/>
      <c r="BX170" s="473"/>
      <c r="BY170" s="473"/>
      <c r="BZ170" s="473"/>
      <c r="CA170" s="473"/>
      <c r="CB170" s="473"/>
      <c r="CC170" s="473"/>
      <c r="CD170" s="473"/>
      <c r="CE170" s="473"/>
      <c r="CF170" s="473"/>
      <c r="CG170" s="473"/>
      <c r="CH170" s="473"/>
      <c r="CI170" s="473"/>
    </row>
    <row r="171" spans="1:87" ht="12.75" customHeight="1" x14ac:dyDescent="0.2">
      <c r="A171" s="576"/>
      <c r="B171" s="576"/>
      <c r="C171" s="576"/>
      <c r="D171" s="576"/>
      <c r="E171" s="576"/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576"/>
      <c r="T171" s="576"/>
      <c r="U171" s="576"/>
      <c r="V171" s="576"/>
      <c r="W171" s="576"/>
      <c r="X171" s="576"/>
      <c r="Y171" s="576"/>
      <c r="Z171" s="576"/>
      <c r="AA171" s="576"/>
      <c r="AB171" s="576"/>
      <c r="AC171" s="576"/>
      <c r="AD171" s="576"/>
      <c r="AE171" s="576"/>
      <c r="AF171" s="576"/>
      <c r="AG171" s="576"/>
      <c r="AH171" s="576"/>
      <c r="AI171" s="576"/>
      <c r="AJ171" s="576"/>
      <c r="AK171" s="576"/>
      <c r="AL171" s="576"/>
      <c r="AM171" s="576"/>
      <c r="AN171" s="576"/>
      <c r="AO171" s="473"/>
      <c r="AP171" s="575"/>
      <c r="AQ171" s="575"/>
      <c r="AR171" s="575"/>
      <c r="AS171" s="575"/>
      <c r="AT171" s="575"/>
      <c r="AU171" s="575"/>
      <c r="AV171" s="575"/>
      <c r="AW171" s="575"/>
      <c r="AX171" s="575"/>
      <c r="AY171" s="575"/>
      <c r="AZ171" s="575"/>
      <c r="BA171" s="575"/>
      <c r="BB171" s="575"/>
      <c r="BC171" s="575"/>
      <c r="BD171" s="575"/>
      <c r="BE171" s="575"/>
      <c r="BF171" s="575"/>
      <c r="BG171" s="575"/>
      <c r="BH171" s="575"/>
      <c r="BI171" s="575"/>
      <c r="BJ171" s="575"/>
      <c r="BK171" s="575"/>
      <c r="BL171" s="575"/>
      <c r="BM171" s="575"/>
      <c r="BN171" s="575"/>
      <c r="BO171" s="575"/>
      <c r="BP171" s="575"/>
      <c r="BQ171" s="473"/>
      <c r="BR171" s="473"/>
      <c r="BS171" s="473"/>
      <c r="BT171" s="473"/>
      <c r="BU171" s="473"/>
      <c r="BV171" s="473"/>
      <c r="BW171" s="473"/>
      <c r="BX171" s="473"/>
      <c r="BY171" s="473"/>
      <c r="BZ171" s="473"/>
      <c r="CA171" s="473"/>
      <c r="CB171" s="473"/>
      <c r="CC171" s="473"/>
      <c r="CD171" s="473"/>
      <c r="CE171" s="473"/>
      <c r="CF171" s="473"/>
      <c r="CG171" s="473"/>
      <c r="CH171" s="473"/>
      <c r="CI171" s="473"/>
    </row>
    <row r="172" spans="1:87" ht="12.75" customHeight="1" x14ac:dyDescent="0.2">
      <c r="A172" s="576"/>
      <c r="B172" s="576"/>
      <c r="C172" s="576"/>
      <c r="D172" s="576"/>
      <c r="E172" s="576"/>
      <c r="F172" s="576"/>
      <c r="G172" s="576"/>
      <c r="H172" s="576"/>
      <c r="I172" s="576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 s="576"/>
      <c r="X172" s="576"/>
      <c r="Y172" s="576"/>
      <c r="Z172" s="576"/>
      <c r="AA172" s="576"/>
      <c r="AB172" s="576"/>
      <c r="AC172" s="576"/>
      <c r="AD172" s="576"/>
      <c r="AE172" s="576"/>
      <c r="AF172" s="576"/>
      <c r="AG172" s="576"/>
      <c r="AH172" s="576"/>
      <c r="AI172" s="576"/>
      <c r="AJ172" s="576"/>
      <c r="AK172" s="576"/>
      <c r="AL172" s="576"/>
      <c r="AM172" s="576"/>
      <c r="AN172" s="576"/>
      <c r="AO172" s="473"/>
      <c r="AP172" s="575"/>
      <c r="AQ172" s="575"/>
      <c r="AR172" s="575"/>
      <c r="AS172" s="575"/>
      <c r="AT172" s="575"/>
      <c r="AU172" s="575"/>
      <c r="AV172" s="575"/>
      <c r="AW172" s="575"/>
      <c r="AX172" s="575"/>
      <c r="AY172" s="575"/>
      <c r="AZ172" s="575"/>
      <c r="BA172" s="575"/>
      <c r="BB172" s="575"/>
      <c r="BC172" s="575"/>
      <c r="BD172" s="575"/>
      <c r="BE172" s="575"/>
      <c r="BF172" s="575"/>
      <c r="BG172" s="575"/>
      <c r="BH172" s="575"/>
      <c r="BI172" s="575"/>
      <c r="BJ172" s="575"/>
      <c r="BK172" s="575"/>
      <c r="BL172" s="575"/>
      <c r="BM172" s="575"/>
      <c r="BN172" s="575"/>
      <c r="BO172" s="575"/>
      <c r="BP172" s="575"/>
      <c r="BQ172" s="473"/>
      <c r="BR172" s="473"/>
      <c r="BS172" s="473"/>
      <c r="BT172" s="473"/>
      <c r="BU172" s="473"/>
      <c r="BV172" s="473"/>
      <c r="BW172" s="473"/>
      <c r="BX172" s="473"/>
      <c r="BY172" s="473"/>
      <c r="BZ172" s="473"/>
      <c r="CA172" s="473"/>
      <c r="CB172" s="473"/>
      <c r="CC172" s="473"/>
      <c r="CD172" s="473"/>
      <c r="CE172" s="473"/>
      <c r="CF172" s="473"/>
      <c r="CG172" s="473"/>
      <c r="CH172" s="473"/>
      <c r="CI172" s="473"/>
    </row>
    <row r="173" spans="1:87" ht="12.75" customHeight="1" x14ac:dyDescent="0.2">
      <c r="A173" s="576"/>
      <c r="B173" s="576"/>
      <c r="C173" s="576"/>
      <c r="D173" s="576"/>
      <c r="E173" s="576"/>
      <c r="F173" s="576"/>
      <c r="G173" s="576"/>
      <c r="H173" s="576"/>
      <c r="I173" s="576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 s="576"/>
      <c r="X173" s="576"/>
      <c r="Y173" s="576"/>
      <c r="Z173" s="576"/>
      <c r="AA173" s="576"/>
      <c r="AB173" s="576"/>
      <c r="AC173" s="576"/>
      <c r="AD173" s="576"/>
      <c r="AE173" s="576"/>
      <c r="AF173" s="576"/>
      <c r="AG173" s="576"/>
      <c r="AH173" s="576"/>
      <c r="AI173" s="576"/>
      <c r="AJ173" s="576"/>
      <c r="AK173" s="576"/>
      <c r="AL173" s="576"/>
      <c r="AM173" s="576"/>
      <c r="AN173" s="576"/>
      <c r="AO173" s="473"/>
      <c r="AP173" s="575"/>
      <c r="AQ173" s="575"/>
      <c r="AR173" s="575"/>
      <c r="AS173" s="575"/>
      <c r="AT173" s="575"/>
      <c r="AU173" s="575"/>
      <c r="AV173" s="575"/>
      <c r="AW173" s="575"/>
      <c r="AX173" s="575"/>
      <c r="AY173" s="575"/>
      <c r="AZ173" s="575"/>
      <c r="BA173" s="575"/>
      <c r="BB173" s="575"/>
      <c r="BC173" s="575"/>
      <c r="BD173" s="575"/>
      <c r="BE173" s="575"/>
      <c r="BF173" s="575"/>
      <c r="BG173" s="575"/>
      <c r="BH173" s="575"/>
      <c r="BI173" s="575"/>
      <c r="BJ173" s="575"/>
      <c r="BK173" s="575"/>
      <c r="BL173" s="575"/>
      <c r="BM173" s="575"/>
      <c r="BN173" s="575"/>
      <c r="BO173" s="575"/>
      <c r="BP173" s="575"/>
      <c r="BQ173" s="473"/>
      <c r="BR173" s="473"/>
      <c r="BS173" s="473"/>
      <c r="BT173" s="473"/>
      <c r="BU173" s="473"/>
      <c r="BV173" s="473"/>
      <c r="BW173" s="473"/>
      <c r="BX173" s="473"/>
      <c r="BY173" s="473"/>
      <c r="BZ173" s="473"/>
      <c r="CA173" s="473"/>
      <c r="CB173" s="473"/>
      <c r="CC173" s="473"/>
      <c r="CD173" s="473"/>
      <c r="CE173" s="473"/>
      <c r="CF173" s="473"/>
      <c r="CG173" s="473"/>
      <c r="CH173" s="473"/>
      <c r="CI173" s="473"/>
    </row>
    <row r="174" spans="1:87" ht="12.75" customHeight="1" x14ac:dyDescent="0.2">
      <c r="A174" s="576"/>
      <c r="B174" s="576"/>
      <c r="C174" s="576"/>
      <c r="D174" s="576"/>
      <c r="E174" s="576"/>
      <c r="F174" s="576"/>
      <c r="G174" s="576"/>
      <c r="H174" s="576"/>
      <c r="I174" s="576"/>
      <c r="J174" s="576"/>
      <c r="K174" s="576"/>
      <c r="L174" s="576"/>
      <c r="M174" s="576"/>
      <c r="N174" s="576"/>
      <c r="O174" s="576"/>
      <c r="P174" s="576"/>
      <c r="Q174" s="576"/>
      <c r="R174" s="576"/>
      <c r="S174" s="576"/>
      <c r="T174" s="576"/>
      <c r="U174" s="576"/>
      <c r="V174" s="576"/>
      <c r="W174" s="576"/>
      <c r="X174" s="576"/>
      <c r="Y174" s="576"/>
      <c r="Z174" s="576"/>
      <c r="AA174" s="576"/>
      <c r="AB174" s="576"/>
      <c r="AC174" s="576"/>
      <c r="AD174" s="576"/>
      <c r="AE174" s="576"/>
      <c r="AF174" s="576"/>
      <c r="AG174" s="576"/>
      <c r="AH174" s="576"/>
      <c r="AI174" s="576"/>
      <c r="AJ174" s="576"/>
      <c r="AK174" s="576"/>
      <c r="AL174" s="576"/>
      <c r="AM174" s="576"/>
      <c r="AN174" s="576"/>
      <c r="AO174" s="473"/>
      <c r="AP174" s="575"/>
      <c r="AQ174" s="575"/>
      <c r="AR174" s="575"/>
      <c r="AS174" s="575"/>
      <c r="AT174" s="575"/>
      <c r="AU174" s="575"/>
      <c r="AV174" s="575"/>
      <c r="AW174" s="575"/>
      <c r="AX174" s="575"/>
      <c r="AY174" s="575"/>
      <c r="AZ174" s="575"/>
      <c r="BA174" s="575"/>
      <c r="BB174" s="575"/>
      <c r="BC174" s="575"/>
      <c r="BD174" s="575"/>
      <c r="BE174" s="575"/>
      <c r="BF174" s="575"/>
      <c r="BG174" s="575"/>
      <c r="BH174" s="575"/>
      <c r="BI174" s="575"/>
      <c r="BJ174" s="575"/>
      <c r="BK174" s="575"/>
      <c r="BL174" s="575"/>
      <c r="BM174" s="575"/>
      <c r="BN174" s="575"/>
      <c r="BO174" s="575"/>
      <c r="BP174" s="575"/>
      <c r="BQ174" s="473"/>
      <c r="BR174" s="473"/>
      <c r="BS174" s="473"/>
      <c r="BT174" s="473"/>
      <c r="BU174" s="473"/>
      <c r="BV174" s="473"/>
      <c r="BW174" s="473"/>
      <c r="BX174" s="473"/>
      <c r="BY174" s="473"/>
      <c r="BZ174" s="473"/>
      <c r="CA174" s="473"/>
      <c r="CB174" s="473"/>
      <c r="CC174" s="473"/>
      <c r="CD174" s="473"/>
      <c r="CE174" s="473"/>
      <c r="CF174" s="473"/>
      <c r="CG174" s="473"/>
      <c r="CH174" s="473"/>
      <c r="CI174" s="473"/>
    </row>
    <row r="175" spans="1:87" ht="12.75" customHeight="1" x14ac:dyDescent="0.2">
      <c r="A175" s="576"/>
      <c r="B175" s="576"/>
      <c r="C175" s="576"/>
      <c r="D175" s="576"/>
      <c r="E175" s="576"/>
      <c r="F175" s="576"/>
      <c r="G175" s="576"/>
      <c r="H175" s="576"/>
      <c r="I175" s="576"/>
      <c r="J175" s="576"/>
      <c r="K175" s="576"/>
      <c r="L175" s="576"/>
      <c r="M175" s="576"/>
      <c r="N175" s="576"/>
      <c r="O175" s="576"/>
      <c r="P175" s="576"/>
      <c r="Q175" s="576"/>
      <c r="R175" s="576"/>
      <c r="S175" s="576"/>
      <c r="T175" s="576"/>
      <c r="U175" s="576"/>
      <c r="V175" s="576"/>
      <c r="W175" s="576"/>
      <c r="X175" s="576"/>
      <c r="Y175" s="576"/>
      <c r="Z175" s="576"/>
      <c r="AA175" s="576"/>
      <c r="AB175" s="576"/>
      <c r="AC175" s="576"/>
      <c r="AD175" s="576"/>
      <c r="AE175" s="576"/>
      <c r="AF175" s="576"/>
      <c r="AG175" s="576"/>
      <c r="AH175" s="576"/>
      <c r="AI175" s="576"/>
      <c r="AJ175" s="576"/>
      <c r="AK175" s="576"/>
      <c r="AL175" s="576"/>
      <c r="AM175" s="576"/>
      <c r="AN175" s="576"/>
      <c r="AO175" s="473"/>
      <c r="AP175" s="575"/>
      <c r="AQ175" s="575"/>
      <c r="AR175" s="575"/>
      <c r="AS175" s="575"/>
      <c r="AT175" s="575"/>
      <c r="AU175" s="575"/>
      <c r="AV175" s="575"/>
      <c r="AW175" s="575"/>
      <c r="AX175" s="575"/>
      <c r="AY175" s="575"/>
      <c r="AZ175" s="575"/>
      <c r="BA175" s="575"/>
      <c r="BB175" s="575"/>
      <c r="BC175" s="575"/>
      <c r="BD175" s="575"/>
      <c r="BE175" s="575"/>
      <c r="BF175" s="575"/>
      <c r="BG175" s="575"/>
      <c r="BH175" s="575"/>
      <c r="BI175" s="575"/>
      <c r="BJ175" s="575"/>
      <c r="BK175" s="575"/>
      <c r="BL175" s="575"/>
      <c r="BM175" s="575"/>
      <c r="BN175" s="575"/>
      <c r="BO175" s="575"/>
      <c r="BP175" s="575"/>
      <c r="BQ175" s="473"/>
      <c r="BR175" s="473"/>
      <c r="BS175" s="473"/>
      <c r="BT175" s="473"/>
      <c r="BU175" s="473"/>
      <c r="BV175" s="473"/>
      <c r="BW175" s="473"/>
      <c r="BX175" s="473"/>
      <c r="BY175" s="473"/>
      <c r="BZ175" s="473"/>
      <c r="CA175" s="473"/>
      <c r="CB175" s="473"/>
      <c r="CC175" s="473"/>
      <c r="CD175" s="473"/>
      <c r="CE175" s="473"/>
      <c r="CF175" s="473"/>
      <c r="CG175" s="473"/>
      <c r="CH175" s="473"/>
      <c r="CI175" s="473"/>
    </row>
    <row r="176" spans="1:87" ht="12.75" customHeight="1" x14ac:dyDescent="0.2">
      <c r="A176" s="576"/>
      <c r="B176" s="576"/>
      <c r="C176" s="576"/>
      <c r="D176" s="576"/>
      <c r="E176" s="576"/>
      <c r="F176" s="576"/>
      <c r="G176" s="576"/>
      <c r="H176" s="576"/>
      <c r="I176" s="576"/>
      <c r="J176" s="576"/>
      <c r="K176" s="576"/>
      <c r="L176" s="576"/>
      <c r="M176" s="576"/>
      <c r="N176" s="576"/>
      <c r="O176" s="576"/>
      <c r="P176" s="576"/>
      <c r="Q176" s="576"/>
      <c r="R176" s="576"/>
      <c r="S176" s="576"/>
      <c r="T176" s="576"/>
      <c r="U176" s="576"/>
      <c r="V176" s="576"/>
      <c r="W176" s="576"/>
      <c r="X176" s="576"/>
      <c r="Y176" s="576"/>
      <c r="Z176" s="576"/>
      <c r="AA176" s="576"/>
      <c r="AB176" s="576"/>
      <c r="AC176" s="576"/>
      <c r="AD176" s="576"/>
      <c r="AE176" s="576"/>
      <c r="AF176" s="576"/>
      <c r="AG176" s="576"/>
      <c r="AH176" s="576"/>
      <c r="AI176" s="576"/>
      <c r="AJ176" s="576"/>
      <c r="AK176" s="576"/>
      <c r="AL176" s="576"/>
      <c r="AM176" s="576"/>
      <c r="AN176" s="576"/>
      <c r="AO176" s="473"/>
      <c r="AP176" s="575"/>
      <c r="AQ176" s="575"/>
      <c r="AR176" s="575"/>
      <c r="AS176" s="575"/>
      <c r="AT176" s="575"/>
      <c r="AU176" s="575"/>
      <c r="AV176" s="575"/>
      <c r="AW176" s="575"/>
      <c r="AX176" s="575"/>
      <c r="AY176" s="575"/>
      <c r="AZ176" s="575"/>
      <c r="BA176" s="575"/>
      <c r="BB176" s="575"/>
      <c r="BC176" s="575"/>
      <c r="BD176" s="575"/>
      <c r="BE176" s="575"/>
      <c r="BF176" s="575"/>
      <c r="BG176" s="575"/>
      <c r="BH176" s="575"/>
      <c r="BI176" s="575"/>
      <c r="BJ176" s="575"/>
      <c r="BK176" s="575"/>
      <c r="BL176" s="575"/>
      <c r="BM176" s="575"/>
      <c r="BN176" s="575"/>
      <c r="BO176" s="575"/>
      <c r="BP176" s="575"/>
      <c r="BQ176" s="473"/>
      <c r="BR176" s="473"/>
      <c r="BS176" s="473"/>
      <c r="BT176" s="473"/>
      <c r="BU176" s="473"/>
      <c r="BV176" s="473"/>
      <c r="BW176" s="473"/>
      <c r="BX176" s="473"/>
      <c r="BY176" s="473"/>
      <c r="BZ176" s="473"/>
      <c r="CA176" s="473"/>
      <c r="CB176" s="473"/>
      <c r="CC176" s="473"/>
      <c r="CD176" s="473"/>
      <c r="CE176" s="473"/>
      <c r="CF176" s="473"/>
      <c r="CG176" s="473"/>
      <c r="CH176" s="473"/>
      <c r="CI176" s="473"/>
    </row>
    <row r="177" spans="1:87" ht="12.75" customHeight="1" x14ac:dyDescent="0.2">
      <c r="A177" s="576"/>
      <c r="B177" s="576"/>
      <c r="C177" s="576"/>
      <c r="D177" s="576"/>
      <c r="E177" s="576"/>
      <c r="F177" s="576"/>
      <c r="G177" s="576"/>
      <c r="H177" s="576"/>
      <c r="I177" s="576"/>
      <c r="J177" s="576"/>
      <c r="K177" s="576"/>
      <c r="L177" s="576"/>
      <c r="M177" s="576"/>
      <c r="N177" s="576"/>
      <c r="O177" s="576"/>
      <c r="P177" s="576"/>
      <c r="Q177" s="576"/>
      <c r="R177" s="576"/>
      <c r="S177" s="576"/>
      <c r="T177" s="576"/>
      <c r="U177" s="576"/>
      <c r="V177" s="576"/>
      <c r="W177" s="576"/>
      <c r="X177" s="576"/>
      <c r="Y177" s="576"/>
      <c r="Z177" s="576"/>
      <c r="AA177" s="576"/>
      <c r="AB177" s="576"/>
      <c r="AC177" s="576"/>
      <c r="AD177" s="576"/>
      <c r="AE177" s="576"/>
      <c r="AF177" s="576"/>
      <c r="AG177" s="576"/>
      <c r="AH177" s="576"/>
      <c r="AI177" s="576"/>
      <c r="AJ177" s="576"/>
      <c r="AK177" s="576"/>
      <c r="AL177" s="576"/>
      <c r="AM177" s="576"/>
      <c r="AN177" s="576"/>
      <c r="AO177" s="473"/>
      <c r="AP177" s="575"/>
      <c r="AQ177" s="575"/>
      <c r="AR177" s="575"/>
      <c r="AS177" s="575"/>
      <c r="AT177" s="575"/>
      <c r="AU177" s="575"/>
      <c r="AV177" s="575"/>
      <c r="AW177" s="575"/>
      <c r="AX177" s="575"/>
      <c r="AY177" s="575"/>
      <c r="AZ177" s="575"/>
      <c r="BA177" s="575"/>
      <c r="BB177" s="575"/>
      <c r="BC177" s="575"/>
      <c r="BD177" s="575"/>
      <c r="BE177" s="575"/>
      <c r="BF177" s="575"/>
      <c r="BG177" s="575"/>
      <c r="BH177" s="575"/>
      <c r="BI177" s="575"/>
      <c r="BJ177" s="575"/>
      <c r="BK177" s="575"/>
      <c r="BL177" s="575"/>
      <c r="BM177" s="575"/>
      <c r="BN177" s="575"/>
      <c r="BO177" s="575"/>
      <c r="BP177" s="575"/>
      <c r="BQ177" s="473"/>
      <c r="BR177" s="473"/>
      <c r="BS177" s="473"/>
      <c r="BT177" s="473"/>
      <c r="BU177" s="473"/>
      <c r="BV177" s="473"/>
      <c r="BW177" s="473"/>
      <c r="BX177" s="473"/>
      <c r="BY177" s="473"/>
      <c r="BZ177" s="473"/>
      <c r="CA177" s="473"/>
      <c r="CB177" s="473"/>
      <c r="CC177" s="473"/>
      <c r="CD177" s="473"/>
      <c r="CE177" s="473"/>
      <c r="CF177" s="473"/>
      <c r="CG177" s="473"/>
      <c r="CH177" s="473"/>
      <c r="CI177" s="473"/>
    </row>
    <row r="178" spans="1:87" ht="12.75" customHeight="1" x14ac:dyDescent="0.2">
      <c r="A178" s="576"/>
      <c r="B178" s="576"/>
      <c r="C178" s="576"/>
      <c r="D178" s="576"/>
      <c r="E178" s="576"/>
      <c r="F178" s="576"/>
      <c r="G178" s="576"/>
      <c r="H178" s="576"/>
      <c r="I178" s="576"/>
      <c r="J178" s="576"/>
      <c r="K178" s="576"/>
      <c r="L178" s="576"/>
      <c r="M178" s="576"/>
      <c r="N178" s="576"/>
      <c r="O178" s="576"/>
      <c r="P178" s="576"/>
      <c r="Q178" s="576"/>
      <c r="R178" s="576"/>
      <c r="S178" s="576"/>
      <c r="T178" s="576"/>
      <c r="U178" s="576"/>
      <c r="V178" s="576"/>
      <c r="W178" s="576"/>
      <c r="X178" s="576"/>
      <c r="Y178" s="576"/>
      <c r="Z178" s="576"/>
      <c r="AA178" s="576"/>
      <c r="AB178" s="576"/>
      <c r="AC178" s="576"/>
      <c r="AD178" s="576"/>
      <c r="AE178" s="576"/>
      <c r="AF178" s="576"/>
      <c r="AG178" s="576"/>
      <c r="AH178" s="576"/>
      <c r="AI178" s="576"/>
      <c r="AJ178" s="576"/>
      <c r="AK178" s="576"/>
      <c r="AL178" s="576"/>
      <c r="AM178" s="576"/>
      <c r="AN178" s="576"/>
      <c r="AO178" s="473"/>
      <c r="AP178" s="575"/>
      <c r="AQ178" s="575"/>
      <c r="AR178" s="575"/>
      <c r="AS178" s="575"/>
      <c r="AT178" s="575"/>
      <c r="AU178" s="575"/>
      <c r="AV178" s="575"/>
      <c r="AW178" s="575"/>
      <c r="AX178" s="575"/>
      <c r="AY178" s="575"/>
      <c r="AZ178" s="575"/>
      <c r="BA178" s="575"/>
      <c r="BB178" s="575"/>
      <c r="BC178" s="575"/>
      <c r="BD178" s="575"/>
      <c r="BE178" s="575"/>
      <c r="BF178" s="575"/>
      <c r="BG178" s="575"/>
      <c r="BH178" s="575"/>
      <c r="BI178" s="575"/>
      <c r="BJ178" s="575"/>
      <c r="BK178" s="575"/>
      <c r="BL178" s="575"/>
      <c r="BM178" s="575"/>
      <c r="BN178" s="575"/>
      <c r="BO178" s="575"/>
      <c r="BP178" s="575"/>
      <c r="BQ178" s="473"/>
      <c r="BR178" s="473"/>
      <c r="BS178" s="473"/>
      <c r="BT178" s="473"/>
      <c r="BU178" s="473"/>
      <c r="BV178" s="473"/>
      <c r="BW178" s="473"/>
      <c r="BX178" s="473"/>
      <c r="BY178" s="473"/>
      <c r="BZ178" s="473"/>
      <c r="CA178" s="473"/>
      <c r="CB178" s="473"/>
      <c r="CC178" s="473"/>
      <c r="CD178" s="473"/>
      <c r="CE178" s="473"/>
      <c r="CF178" s="473"/>
      <c r="CG178" s="473"/>
      <c r="CH178" s="473"/>
      <c r="CI178" s="473"/>
    </row>
    <row r="179" spans="1:87" ht="12.75" customHeight="1" x14ac:dyDescent="0.2">
      <c r="A179" s="576"/>
      <c r="B179" s="473"/>
      <c r="C179" s="473"/>
      <c r="D179" s="473"/>
      <c r="E179" s="473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576"/>
      <c r="R179" s="576"/>
      <c r="S179" s="576"/>
      <c r="T179" s="576"/>
      <c r="U179" s="576"/>
      <c r="V179" s="576"/>
      <c r="W179" s="576"/>
      <c r="X179" s="576"/>
      <c r="Y179" s="576"/>
      <c r="Z179" s="576"/>
      <c r="AA179" s="576"/>
      <c r="AB179" s="576"/>
      <c r="AC179" s="576"/>
      <c r="AD179" s="576"/>
      <c r="AE179" s="576"/>
      <c r="AF179" s="576"/>
      <c r="AG179" s="576"/>
      <c r="AH179" s="576"/>
      <c r="AI179" s="576"/>
      <c r="AJ179" s="576"/>
      <c r="AK179" s="576"/>
      <c r="AL179" s="576"/>
      <c r="AM179" s="576"/>
      <c r="AN179" s="576"/>
      <c r="AO179" s="473"/>
      <c r="AP179" s="575"/>
      <c r="AQ179" s="575"/>
      <c r="AR179" s="575"/>
      <c r="AS179" s="575"/>
      <c r="AT179" s="575"/>
      <c r="AU179" s="575"/>
      <c r="AV179" s="575"/>
      <c r="AW179" s="575"/>
      <c r="AX179" s="575"/>
      <c r="AY179" s="575"/>
      <c r="AZ179" s="575"/>
      <c r="BA179" s="575"/>
      <c r="BB179" s="575"/>
      <c r="BC179" s="575"/>
      <c r="BD179" s="575"/>
      <c r="BE179" s="575"/>
      <c r="BF179" s="575"/>
      <c r="BG179" s="575"/>
      <c r="BH179" s="575"/>
      <c r="BI179" s="575"/>
      <c r="BJ179" s="575"/>
      <c r="BK179" s="575"/>
      <c r="BL179" s="575"/>
      <c r="BM179" s="575"/>
      <c r="BN179" s="575"/>
      <c r="BO179" s="575"/>
      <c r="BP179" s="575"/>
      <c r="BQ179" s="473"/>
      <c r="BR179" s="473"/>
      <c r="BS179" s="473"/>
      <c r="BT179" s="473"/>
      <c r="BU179" s="473"/>
      <c r="BV179" s="473"/>
      <c r="BW179" s="473"/>
      <c r="BX179" s="473"/>
      <c r="BY179" s="473"/>
      <c r="BZ179" s="473"/>
      <c r="CA179" s="473"/>
      <c r="CB179" s="473"/>
      <c r="CC179" s="473"/>
      <c r="CD179" s="473"/>
      <c r="CE179" s="473"/>
      <c r="CF179" s="473"/>
      <c r="CG179" s="473"/>
      <c r="CH179" s="473"/>
      <c r="CI179" s="473"/>
    </row>
    <row r="180" spans="1:87" ht="12.75" customHeight="1" x14ac:dyDescent="0.2">
      <c r="A180" s="576"/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576"/>
      <c r="R180" s="576"/>
      <c r="S180" s="576"/>
      <c r="T180" s="576"/>
      <c r="U180" s="576"/>
      <c r="V180" s="576"/>
      <c r="W180" s="576"/>
      <c r="X180" s="576"/>
      <c r="Y180" s="576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576"/>
      <c r="AK180" s="576"/>
      <c r="AL180" s="576"/>
      <c r="AM180" s="576"/>
      <c r="AN180" s="576"/>
      <c r="AO180" s="473"/>
      <c r="AP180" s="575"/>
      <c r="AQ180" s="575"/>
      <c r="AR180" s="575"/>
      <c r="AS180" s="575"/>
      <c r="AT180" s="575"/>
      <c r="AU180" s="575"/>
      <c r="AV180" s="575"/>
      <c r="AW180" s="575"/>
      <c r="AX180" s="575"/>
      <c r="AY180" s="575"/>
      <c r="AZ180" s="575"/>
      <c r="BA180" s="575"/>
      <c r="BB180" s="575"/>
      <c r="BC180" s="575"/>
      <c r="BD180" s="575"/>
      <c r="BE180" s="575"/>
      <c r="BF180" s="575"/>
      <c r="BG180" s="575"/>
      <c r="BH180" s="575"/>
      <c r="BI180" s="575"/>
      <c r="BJ180" s="575"/>
      <c r="BK180" s="575"/>
      <c r="BL180" s="575"/>
      <c r="BM180" s="575"/>
      <c r="BN180" s="575"/>
      <c r="BO180" s="575"/>
      <c r="BP180" s="575"/>
      <c r="BQ180" s="473"/>
      <c r="BR180" s="473"/>
      <c r="BS180" s="473"/>
      <c r="BT180" s="473"/>
      <c r="BU180" s="473"/>
      <c r="BV180" s="473"/>
      <c r="BW180" s="473"/>
      <c r="BX180" s="473"/>
      <c r="BY180" s="473"/>
      <c r="BZ180" s="473"/>
      <c r="CA180" s="473"/>
      <c r="CB180" s="473"/>
      <c r="CC180" s="473"/>
      <c r="CD180" s="473"/>
      <c r="CE180" s="473"/>
      <c r="CF180" s="473"/>
      <c r="CG180" s="473"/>
      <c r="CH180" s="473"/>
      <c r="CI180" s="473"/>
    </row>
    <row r="181" spans="1:87" ht="12.75" customHeight="1" x14ac:dyDescent="0.2">
      <c r="A181" s="576"/>
      <c r="B181" s="473"/>
      <c r="C181" s="473"/>
      <c r="D181" s="473"/>
      <c r="E181" s="473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576"/>
      <c r="R181" s="576"/>
      <c r="S181" s="576"/>
      <c r="T181" s="576"/>
      <c r="U181" s="576"/>
      <c r="V181" s="576"/>
      <c r="W181" s="576"/>
      <c r="X181" s="576"/>
      <c r="Y181" s="576"/>
      <c r="Z181" s="576"/>
      <c r="AA181" s="576"/>
      <c r="AB181" s="576"/>
      <c r="AC181" s="576"/>
      <c r="AD181" s="576"/>
      <c r="AE181" s="576"/>
      <c r="AF181" s="576"/>
      <c r="AG181" s="576"/>
      <c r="AH181" s="576"/>
      <c r="AI181" s="576"/>
      <c r="AJ181" s="576"/>
      <c r="AK181" s="576"/>
      <c r="AL181" s="576"/>
      <c r="AM181" s="576"/>
      <c r="AN181" s="576"/>
      <c r="AO181" s="473"/>
      <c r="AP181" s="575"/>
      <c r="AQ181" s="575"/>
      <c r="AR181" s="575"/>
      <c r="AS181" s="575"/>
      <c r="AT181" s="575"/>
      <c r="AU181" s="575"/>
      <c r="AV181" s="575"/>
      <c r="AW181" s="575"/>
      <c r="AX181" s="575"/>
      <c r="AY181" s="575"/>
      <c r="AZ181" s="575"/>
      <c r="BA181" s="575"/>
      <c r="BB181" s="575"/>
      <c r="BC181" s="575"/>
      <c r="BD181" s="575"/>
      <c r="BE181" s="575"/>
      <c r="BF181" s="575"/>
      <c r="BG181" s="575"/>
      <c r="BH181" s="575"/>
      <c r="BI181" s="575"/>
      <c r="BJ181" s="575"/>
      <c r="BK181" s="575"/>
      <c r="BL181" s="575"/>
      <c r="BM181" s="575"/>
      <c r="BN181" s="575"/>
      <c r="BO181" s="575"/>
      <c r="BP181" s="575"/>
      <c r="BQ181" s="473"/>
      <c r="BR181" s="473"/>
      <c r="BS181" s="473"/>
      <c r="BT181" s="473"/>
      <c r="BU181" s="473"/>
      <c r="BV181" s="473"/>
      <c r="BW181" s="473"/>
      <c r="BX181" s="473"/>
      <c r="BY181" s="473"/>
      <c r="BZ181" s="473"/>
      <c r="CA181" s="473"/>
      <c r="CB181" s="473"/>
      <c r="CC181" s="473"/>
      <c r="CD181" s="473"/>
      <c r="CE181" s="473"/>
      <c r="CF181" s="473"/>
      <c r="CG181" s="473"/>
      <c r="CH181" s="473"/>
      <c r="CI181" s="473"/>
    </row>
    <row r="182" spans="1:87" ht="12.75" customHeight="1" x14ac:dyDescent="0.2">
      <c r="A182" s="576"/>
      <c r="B182" s="473"/>
      <c r="C182" s="473"/>
      <c r="D182" s="473"/>
      <c r="E182" s="473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576"/>
      <c r="R182" s="576"/>
      <c r="S182" s="576"/>
      <c r="T182" s="576"/>
      <c r="U182" s="576"/>
      <c r="V182" s="576"/>
      <c r="W182" s="576"/>
      <c r="X182" s="576"/>
      <c r="Y182" s="576"/>
      <c r="Z182" s="576"/>
      <c r="AA182" s="576"/>
      <c r="AB182" s="576"/>
      <c r="AC182" s="576"/>
      <c r="AD182" s="576"/>
      <c r="AE182" s="576"/>
      <c r="AF182" s="576"/>
      <c r="AG182" s="576"/>
      <c r="AH182" s="576"/>
      <c r="AI182" s="576"/>
      <c r="AJ182" s="576"/>
      <c r="AK182" s="576"/>
      <c r="AL182" s="576"/>
      <c r="AM182" s="576"/>
      <c r="AN182" s="576"/>
      <c r="AO182" s="473"/>
      <c r="AP182" s="575"/>
      <c r="AQ182" s="575"/>
      <c r="AR182" s="575"/>
      <c r="AS182" s="575"/>
      <c r="AT182" s="575"/>
      <c r="AU182" s="575"/>
      <c r="AV182" s="575"/>
      <c r="AW182" s="575"/>
      <c r="AX182" s="575"/>
      <c r="AY182" s="575"/>
      <c r="AZ182" s="575"/>
      <c r="BA182" s="575"/>
      <c r="BB182" s="575"/>
      <c r="BC182" s="575"/>
      <c r="BD182" s="575"/>
      <c r="BE182" s="575"/>
      <c r="BF182" s="575"/>
      <c r="BG182" s="575"/>
      <c r="BH182" s="575"/>
      <c r="BI182" s="575"/>
      <c r="BJ182" s="575"/>
      <c r="BK182" s="575"/>
      <c r="BL182" s="575"/>
      <c r="BM182" s="575"/>
      <c r="BN182" s="575"/>
      <c r="BO182" s="575"/>
      <c r="BP182" s="575"/>
      <c r="BQ182" s="473"/>
      <c r="BR182" s="473"/>
      <c r="BS182" s="473"/>
      <c r="BT182" s="473"/>
      <c r="BU182" s="473"/>
      <c r="BV182" s="473"/>
      <c r="BW182" s="473"/>
      <c r="BX182" s="473"/>
      <c r="BY182" s="473"/>
      <c r="BZ182" s="473"/>
      <c r="CA182" s="473"/>
      <c r="CB182" s="473"/>
      <c r="CC182" s="473"/>
      <c r="CD182" s="473"/>
      <c r="CE182" s="473"/>
      <c r="CF182" s="473"/>
      <c r="CG182" s="473"/>
      <c r="CH182" s="473"/>
      <c r="CI182" s="473"/>
    </row>
    <row r="183" spans="1:87" ht="12.75" customHeight="1" x14ac:dyDescent="0.2">
      <c r="A183" s="576"/>
      <c r="B183" s="473"/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576"/>
      <c r="R183" s="576"/>
      <c r="S183" s="576"/>
      <c r="T183" s="576"/>
      <c r="U183" s="576"/>
      <c r="V183" s="576"/>
      <c r="W183" s="576"/>
      <c r="X183" s="576"/>
      <c r="Y183" s="576"/>
      <c r="Z183" s="576"/>
      <c r="AA183" s="576"/>
      <c r="AB183" s="576"/>
      <c r="AC183" s="576"/>
      <c r="AD183" s="576"/>
      <c r="AE183" s="576"/>
      <c r="AF183" s="576"/>
      <c r="AG183" s="576"/>
      <c r="AH183" s="576"/>
      <c r="AI183" s="576"/>
      <c r="AJ183" s="576"/>
      <c r="AK183" s="576"/>
      <c r="AL183" s="576"/>
      <c r="AM183" s="576"/>
      <c r="AN183" s="576"/>
      <c r="AO183" s="473"/>
      <c r="AP183" s="575"/>
      <c r="AQ183" s="575"/>
      <c r="AR183" s="575"/>
      <c r="AS183" s="575"/>
      <c r="AT183" s="575"/>
      <c r="AU183" s="575"/>
      <c r="AV183" s="575"/>
      <c r="AW183" s="575"/>
      <c r="AX183" s="575"/>
      <c r="AY183" s="575"/>
      <c r="AZ183" s="575"/>
      <c r="BA183" s="575"/>
      <c r="BB183" s="575"/>
      <c r="BC183" s="575"/>
      <c r="BD183" s="575"/>
      <c r="BE183" s="575"/>
      <c r="BF183" s="575"/>
      <c r="BG183" s="575"/>
      <c r="BH183" s="575"/>
      <c r="BI183" s="575"/>
      <c r="BJ183" s="575"/>
      <c r="BK183" s="575"/>
      <c r="BL183" s="575"/>
      <c r="BM183" s="575"/>
      <c r="BN183" s="575"/>
      <c r="BO183" s="575"/>
      <c r="BP183" s="575"/>
      <c r="BQ183" s="473"/>
      <c r="BR183" s="473"/>
      <c r="BS183" s="473"/>
      <c r="BT183" s="473"/>
      <c r="BU183" s="473"/>
      <c r="BV183" s="473"/>
      <c r="BW183" s="473"/>
      <c r="BX183" s="473"/>
      <c r="BY183" s="473"/>
      <c r="BZ183" s="473"/>
      <c r="CA183" s="473"/>
      <c r="CB183" s="473"/>
      <c r="CC183" s="473"/>
      <c r="CD183" s="473"/>
      <c r="CE183" s="473"/>
      <c r="CF183" s="473"/>
      <c r="CG183" s="473"/>
      <c r="CH183" s="473"/>
      <c r="CI183" s="473"/>
    </row>
    <row r="184" spans="1:87" ht="12.75" customHeight="1" x14ac:dyDescent="0.2">
      <c r="A184" s="576"/>
      <c r="B184" s="473"/>
      <c r="C184" s="473"/>
      <c r="D184" s="473"/>
      <c r="E184" s="473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576"/>
      <c r="R184" s="576"/>
      <c r="S184" s="576"/>
      <c r="T184" s="576"/>
      <c r="U184" s="576"/>
      <c r="V184" s="576"/>
      <c r="W184" s="576"/>
      <c r="X184" s="576"/>
      <c r="Y184" s="576"/>
      <c r="Z184" s="576"/>
      <c r="AA184" s="576"/>
      <c r="AB184" s="576"/>
      <c r="AC184" s="576"/>
      <c r="AD184" s="576"/>
      <c r="AE184" s="576"/>
      <c r="AF184" s="576"/>
      <c r="AG184" s="576"/>
      <c r="AH184" s="576"/>
      <c r="AI184" s="576"/>
      <c r="AJ184" s="576"/>
      <c r="AK184" s="576"/>
      <c r="AL184" s="576"/>
      <c r="AM184" s="576"/>
      <c r="AN184" s="576"/>
      <c r="AO184" s="473"/>
      <c r="AP184" s="575"/>
      <c r="AQ184" s="575"/>
      <c r="AR184" s="575"/>
      <c r="AS184" s="575"/>
      <c r="AT184" s="575"/>
      <c r="AU184" s="575"/>
      <c r="AV184" s="575"/>
      <c r="AW184" s="575"/>
      <c r="AX184" s="575"/>
      <c r="AY184" s="575"/>
      <c r="AZ184" s="575"/>
      <c r="BA184" s="575"/>
      <c r="BB184" s="575"/>
      <c r="BC184" s="575"/>
      <c r="BD184" s="575"/>
      <c r="BE184" s="575"/>
      <c r="BF184" s="575"/>
      <c r="BG184" s="575"/>
      <c r="BH184" s="575"/>
      <c r="BI184" s="575"/>
      <c r="BJ184" s="575"/>
      <c r="BK184" s="575"/>
      <c r="BL184" s="575"/>
      <c r="BM184" s="575"/>
      <c r="BN184" s="575"/>
      <c r="BO184" s="575"/>
      <c r="BP184" s="575"/>
      <c r="BQ184" s="473"/>
      <c r="BR184" s="473"/>
      <c r="BS184" s="473"/>
      <c r="BT184" s="473"/>
      <c r="BU184" s="473"/>
      <c r="BV184" s="473"/>
      <c r="BW184" s="473"/>
      <c r="BX184" s="473"/>
      <c r="BY184" s="473"/>
      <c r="BZ184" s="473"/>
      <c r="CA184" s="473"/>
      <c r="CB184" s="473"/>
      <c r="CC184" s="473"/>
      <c r="CD184" s="473"/>
      <c r="CE184" s="473"/>
      <c r="CF184" s="473"/>
      <c r="CG184" s="473"/>
      <c r="CH184" s="473"/>
      <c r="CI184" s="473"/>
    </row>
    <row r="185" spans="1:87" ht="12.75" customHeight="1" x14ac:dyDescent="0.2">
      <c r="A185" s="576"/>
      <c r="B185" s="473"/>
      <c r="C185" s="473"/>
      <c r="D185" s="473"/>
      <c r="E185" s="473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576"/>
      <c r="R185" s="576"/>
      <c r="S185" s="576"/>
      <c r="T185" s="576"/>
      <c r="U185" s="576"/>
      <c r="V185" s="576"/>
      <c r="W185" s="576"/>
      <c r="X185" s="576"/>
      <c r="Y185" s="576"/>
      <c r="Z185" s="576"/>
      <c r="AA185" s="576"/>
      <c r="AB185" s="576"/>
      <c r="AC185" s="576"/>
      <c r="AD185" s="576"/>
      <c r="AE185" s="576"/>
      <c r="AF185" s="576"/>
      <c r="AG185" s="576"/>
      <c r="AH185" s="576"/>
      <c r="AI185" s="576"/>
      <c r="AJ185" s="576"/>
      <c r="AK185" s="576"/>
      <c r="AL185" s="576"/>
      <c r="AM185" s="576"/>
      <c r="AN185" s="576"/>
      <c r="AO185" s="473"/>
      <c r="AP185" s="575"/>
      <c r="AQ185" s="575"/>
      <c r="AR185" s="575"/>
      <c r="AS185" s="575"/>
      <c r="AT185" s="575"/>
      <c r="AU185" s="575"/>
      <c r="AV185" s="575"/>
      <c r="AW185" s="575"/>
      <c r="AX185" s="575"/>
      <c r="AY185" s="575"/>
      <c r="AZ185" s="575"/>
      <c r="BA185" s="575"/>
      <c r="BB185" s="575"/>
      <c r="BC185" s="575"/>
      <c r="BD185" s="575"/>
      <c r="BE185" s="575"/>
      <c r="BF185" s="575"/>
      <c r="BG185" s="575"/>
      <c r="BH185" s="575"/>
      <c r="BI185" s="575"/>
      <c r="BJ185" s="575"/>
      <c r="BK185" s="575"/>
      <c r="BL185" s="575"/>
      <c r="BM185" s="575"/>
      <c r="BN185" s="575"/>
      <c r="BO185" s="575"/>
      <c r="BP185" s="575"/>
      <c r="BQ185" s="473"/>
      <c r="BR185" s="473"/>
      <c r="BS185" s="473"/>
      <c r="BT185" s="473"/>
      <c r="BU185" s="473"/>
      <c r="BV185" s="473"/>
      <c r="BW185" s="473"/>
      <c r="BX185" s="473"/>
      <c r="BY185" s="473"/>
      <c r="BZ185" s="473"/>
      <c r="CA185" s="473"/>
      <c r="CB185" s="473"/>
      <c r="CC185" s="473"/>
      <c r="CD185" s="473"/>
      <c r="CE185" s="473"/>
      <c r="CF185" s="473"/>
      <c r="CG185" s="473"/>
      <c r="CH185" s="473"/>
      <c r="CI185" s="473"/>
    </row>
    <row r="186" spans="1:87" ht="12.75" customHeight="1" x14ac:dyDescent="0.2">
      <c r="A186" s="576"/>
      <c r="B186" s="473"/>
      <c r="C186" s="473"/>
      <c r="D186" s="473"/>
      <c r="E186" s="473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576"/>
      <c r="R186" s="576"/>
      <c r="S186" s="576"/>
      <c r="T186" s="576"/>
      <c r="U186" s="576"/>
      <c r="V186" s="576"/>
      <c r="W186" s="576"/>
      <c r="X186" s="576"/>
      <c r="Y186" s="576"/>
      <c r="Z186" s="576"/>
      <c r="AA186" s="576"/>
      <c r="AB186" s="576"/>
      <c r="AC186" s="576"/>
      <c r="AD186" s="576"/>
      <c r="AE186" s="576"/>
      <c r="AF186" s="576"/>
      <c r="AG186" s="576"/>
      <c r="AH186" s="576"/>
      <c r="AI186" s="576"/>
      <c r="AJ186" s="576"/>
      <c r="AK186" s="576"/>
      <c r="AL186" s="576"/>
      <c r="AM186" s="576"/>
      <c r="AN186" s="576"/>
      <c r="AO186" s="473"/>
      <c r="AP186" s="575"/>
      <c r="AQ186" s="575"/>
      <c r="AR186" s="575"/>
      <c r="AS186" s="575"/>
      <c r="AT186" s="575"/>
      <c r="AU186" s="575"/>
      <c r="AV186" s="575"/>
      <c r="AW186" s="575"/>
      <c r="AX186" s="575"/>
      <c r="AY186" s="575"/>
      <c r="AZ186" s="575"/>
      <c r="BA186" s="575"/>
      <c r="BB186" s="575"/>
      <c r="BC186" s="575"/>
      <c r="BD186" s="575"/>
      <c r="BE186" s="575"/>
      <c r="BF186" s="575"/>
      <c r="BG186" s="575"/>
      <c r="BH186" s="575"/>
      <c r="BI186" s="575"/>
      <c r="BJ186" s="575"/>
      <c r="BK186" s="575"/>
      <c r="BL186" s="575"/>
      <c r="BM186" s="575"/>
      <c r="BN186" s="575"/>
      <c r="BO186" s="575"/>
      <c r="BP186" s="575"/>
      <c r="BQ186" s="473"/>
      <c r="BR186" s="473"/>
      <c r="BS186" s="473"/>
      <c r="BT186" s="473"/>
      <c r="BU186" s="473"/>
      <c r="BV186" s="473"/>
      <c r="BW186" s="473"/>
      <c r="BX186" s="473"/>
      <c r="BY186" s="473"/>
      <c r="BZ186" s="473"/>
      <c r="CA186" s="473"/>
      <c r="CB186" s="473"/>
      <c r="CC186" s="473"/>
      <c r="CD186" s="473"/>
      <c r="CE186" s="473"/>
      <c r="CF186" s="473"/>
      <c r="CG186" s="473"/>
      <c r="CH186" s="473"/>
      <c r="CI186" s="473"/>
    </row>
    <row r="187" spans="1:87" ht="12.75" customHeight="1" x14ac:dyDescent="0.2">
      <c r="A187" s="576"/>
      <c r="B187" s="473"/>
      <c r="C187" s="473"/>
      <c r="D187" s="473"/>
      <c r="E187" s="473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576"/>
      <c r="R187" s="576"/>
      <c r="S187" s="576"/>
      <c r="T187" s="576"/>
      <c r="U187" s="576"/>
      <c r="V187" s="576"/>
      <c r="W187" s="576"/>
      <c r="X187" s="576"/>
      <c r="Y187" s="576"/>
      <c r="Z187" s="576"/>
      <c r="AA187" s="576"/>
      <c r="AB187" s="576"/>
      <c r="AC187" s="576"/>
      <c r="AD187" s="576"/>
      <c r="AE187" s="576"/>
      <c r="AF187" s="576"/>
      <c r="AG187" s="576"/>
      <c r="AH187" s="576"/>
      <c r="AI187" s="576"/>
      <c r="AJ187" s="576"/>
      <c r="AK187" s="576"/>
      <c r="AL187" s="576"/>
      <c r="AM187" s="576"/>
      <c r="AN187" s="576"/>
      <c r="AO187" s="473"/>
      <c r="AP187" s="575"/>
      <c r="AQ187" s="575"/>
      <c r="AR187" s="575"/>
      <c r="AS187" s="575"/>
      <c r="AT187" s="575"/>
      <c r="AU187" s="575"/>
      <c r="AV187" s="575"/>
      <c r="AW187" s="575"/>
      <c r="AX187" s="575"/>
      <c r="AY187" s="575"/>
      <c r="AZ187" s="575"/>
      <c r="BA187" s="575"/>
      <c r="BB187" s="575"/>
      <c r="BC187" s="575"/>
      <c r="BD187" s="575"/>
      <c r="BE187" s="575"/>
      <c r="BF187" s="575"/>
      <c r="BG187" s="575"/>
      <c r="BH187" s="575"/>
      <c r="BI187" s="575"/>
      <c r="BJ187" s="575"/>
      <c r="BK187" s="575"/>
      <c r="BL187" s="575"/>
      <c r="BM187" s="575"/>
      <c r="BN187" s="575"/>
      <c r="BO187" s="575"/>
      <c r="BP187" s="575"/>
      <c r="BQ187" s="473"/>
      <c r="BR187" s="473"/>
      <c r="BS187" s="473"/>
      <c r="BT187" s="473"/>
      <c r="BU187" s="473"/>
      <c r="BV187" s="473"/>
      <c r="BW187" s="473"/>
      <c r="BX187" s="473"/>
      <c r="BY187" s="473"/>
      <c r="BZ187" s="473"/>
      <c r="CA187" s="473"/>
      <c r="CB187" s="473"/>
      <c r="CC187" s="473"/>
      <c r="CD187" s="473"/>
      <c r="CE187" s="473"/>
      <c r="CF187" s="473"/>
      <c r="CG187" s="473"/>
      <c r="CH187" s="473"/>
      <c r="CI187" s="473"/>
    </row>
    <row r="188" spans="1:87" ht="12.75" customHeight="1" x14ac:dyDescent="0.2">
      <c r="A188" s="576"/>
      <c r="B188" s="473"/>
      <c r="C188" s="473"/>
      <c r="D188" s="473"/>
      <c r="E188" s="473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473"/>
      <c r="AP188" s="575"/>
      <c r="AQ188" s="575"/>
      <c r="AR188" s="575"/>
      <c r="AS188" s="575"/>
      <c r="AT188" s="575"/>
      <c r="AU188" s="575"/>
      <c r="AV188" s="575"/>
      <c r="AW188" s="575"/>
      <c r="AX188" s="575"/>
      <c r="AY188" s="575"/>
      <c r="AZ188" s="575"/>
      <c r="BA188" s="575"/>
      <c r="BB188" s="575"/>
      <c r="BC188" s="575"/>
      <c r="BD188" s="575"/>
      <c r="BE188" s="575"/>
      <c r="BF188" s="575"/>
      <c r="BG188" s="575"/>
      <c r="BH188" s="575"/>
      <c r="BI188" s="575"/>
      <c r="BJ188" s="575"/>
      <c r="BK188" s="575"/>
      <c r="BL188" s="575"/>
      <c r="BM188" s="575"/>
      <c r="BN188" s="575"/>
      <c r="BO188" s="575"/>
      <c r="BP188" s="575"/>
      <c r="BQ188" s="473"/>
      <c r="BR188" s="473"/>
      <c r="BS188" s="473"/>
      <c r="BT188" s="473"/>
      <c r="BU188" s="473"/>
      <c r="BV188" s="473"/>
      <c r="BW188" s="473"/>
      <c r="BX188" s="473"/>
      <c r="BY188" s="473"/>
      <c r="BZ188" s="473"/>
      <c r="CA188" s="473"/>
      <c r="CB188" s="473"/>
      <c r="CC188" s="473"/>
      <c r="CD188" s="473"/>
      <c r="CE188" s="473"/>
      <c r="CF188" s="473"/>
      <c r="CG188" s="473"/>
      <c r="CH188" s="473"/>
      <c r="CI188" s="473"/>
    </row>
    <row r="189" spans="1:87" ht="12.75" customHeight="1" x14ac:dyDescent="0.2">
      <c r="A189" s="473"/>
      <c r="B189" s="473"/>
      <c r="C189" s="473"/>
      <c r="D189" s="473"/>
      <c r="E189" s="473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  <c r="AL189" s="473"/>
      <c r="AM189" s="473"/>
      <c r="AN189" s="473"/>
      <c r="AO189" s="473"/>
      <c r="AP189" s="575"/>
      <c r="AQ189" s="575"/>
      <c r="AR189" s="575"/>
      <c r="AS189" s="575"/>
      <c r="AT189" s="575"/>
      <c r="AU189" s="575"/>
      <c r="AV189" s="575"/>
      <c r="AW189" s="575"/>
      <c r="AX189" s="575"/>
      <c r="AY189" s="575"/>
      <c r="AZ189" s="575"/>
      <c r="BA189" s="575"/>
      <c r="BB189" s="575"/>
      <c r="BC189" s="575"/>
      <c r="BD189" s="575"/>
      <c r="BE189" s="575"/>
      <c r="BF189" s="575"/>
      <c r="BG189" s="575"/>
      <c r="BH189" s="575"/>
      <c r="BI189" s="575"/>
      <c r="BJ189" s="575"/>
      <c r="BK189" s="575"/>
      <c r="BL189" s="575"/>
      <c r="BM189" s="575"/>
      <c r="BN189" s="575"/>
      <c r="BO189" s="575"/>
      <c r="BP189" s="575"/>
      <c r="BQ189" s="473"/>
      <c r="BR189" s="473"/>
      <c r="BS189" s="473"/>
      <c r="BT189" s="473"/>
      <c r="BU189" s="473"/>
      <c r="BV189" s="473"/>
      <c r="BW189" s="473"/>
      <c r="BX189" s="473"/>
      <c r="BY189" s="473"/>
      <c r="BZ189" s="473"/>
      <c r="CA189" s="473"/>
      <c r="CB189" s="473"/>
      <c r="CC189" s="473"/>
      <c r="CD189" s="473"/>
      <c r="CE189" s="473"/>
      <c r="CF189" s="473"/>
      <c r="CG189" s="473"/>
      <c r="CH189" s="473"/>
      <c r="CI189" s="473"/>
    </row>
    <row r="190" spans="1:87" ht="12.75" customHeight="1" x14ac:dyDescent="0.2">
      <c r="A190" s="473"/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  <c r="AL190" s="473"/>
      <c r="AM190" s="473"/>
      <c r="AN190" s="473"/>
      <c r="AO190" s="473"/>
      <c r="AP190" s="575"/>
      <c r="AQ190" s="575"/>
      <c r="AR190" s="575"/>
      <c r="AS190" s="575"/>
      <c r="AT190" s="575"/>
      <c r="AU190" s="575"/>
      <c r="AV190" s="575"/>
      <c r="AW190" s="575"/>
      <c r="AX190" s="575"/>
      <c r="AY190" s="575"/>
      <c r="AZ190" s="575"/>
      <c r="BA190" s="575"/>
      <c r="BB190" s="575"/>
      <c r="BC190" s="575"/>
      <c r="BD190" s="575"/>
      <c r="BE190" s="575"/>
      <c r="BF190" s="575"/>
      <c r="BG190" s="575"/>
      <c r="BH190" s="575"/>
      <c r="BI190" s="575"/>
      <c r="BJ190" s="575"/>
      <c r="BK190" s="575"/>
      <c r="BL190" s="575"/>
      <c r="BM190" s="575"/>
      <c r="BN190" s="575"/>
      <c r="BO190" s="575"/>
      <c r="BP190" s="575"/>
      <c r="BQ190" s="473"/>
      <c r="BR190" s="473"/>
      <c r="BS190" s="473"/>
      <c r="BT190" s="473"/>
      <c r="BU190" s="473"/>
      <c r="BV190" s="473"/>
      <c r="BW190" s="473"/>
      <c r="BX190" s="473"/>
      <c r="BY190" s="473"/>
      <c r="BZ190" s="473"/>
      <c r="CA190" s="473"/>
      <c r="CB190" s="473"/>
      <c r="CC190" s="473"/>
      <c r="CD190" s="473"/>
      <c r="CE190" s="473"/>
      <c r="CF190" s="473"/>
      <c r="CG190" s="473"/>
      <c r="CH190" s="473"/>
      <c r="CI190" s="473"/>
    </row>
    <row r="191" spans="1:87" ht="12.75" customHeight="1" x14ac:dyDescent="0.2">
      <c r="A191" s="473"/>
      <c r="B191" s="473"/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  <c r="AL191" s="473"/>
      <c r="AM191" s="473"/>
      <c r="AN191" s="473"/>
      <c r="AO191" s="473"/>
      <c r="AP191" s="575"/>
      <c r="AQ191" s="575"/>
      <c r="AR191" s="575"/>
      <c r="AS191" s="575"/>
      <c r="AT191" s="575"/>
      <c r="AU191" s="575"/>
      <c r="AV191" s="575"/>
      <c r="AW191" s="575"/>
      <c r="AX191" s="575"/>
      <c r="AY191" s="575"/>
      <c r="AZ191" s="575"/>
      <c r="BA191" s="575"/>
      <c r="BB191" s="575"/>
      <c r="BC191" s="575"/>
      <c r="BD191" s="575"/>
      <c r="BE191" s="575"/>
      <c r="BF191" s="575"/>
      <c r="BG191" s="575"/>
      <c r="BH191" s="575"/>
      <c r="BI191" s="575"/>
      <c r="BJ191" s="575"/>
      <c r="BK191" s="575"/>
      <c r="BL191" s="575"/>
      <c r="BM191" s="575"/>
      <c r="BN191" s="575"/>
      <c r="BO191" s="575"/>
      <c r="BP191" s="575"/>
      <c r="BQ191" s="473"/>
      <c r="BR191" s="473"/>
      <c r="BS191" s="473"/>
      <c r="BT191" s="473"/>
      <c r="BU191" s="473"/>
      <c r="BV191" s="473"/>
      <c r="BW191" s="473"/>
      <c r="BX191" s="473"/>
      <c r="BY191" s="473"/>
      <c r="BZ191" s="473"/>
      <c r="CA191" s="473"/>
      <c r="CB191" s="473"/>
      <c r="CC191" s="473"/>
      <c r="CD191" s="473"/>
      <c r="CE191" s="473"/>
      <c r="CF191" s="473"/>
      <c r="CG191" s="473"/>
      <c r="CH191" s="473"/>
      <c r="CI191" s="473"/>
    </row>
    <row r="192" spans="1:87" ht="12.75" customHeight="1" x14ac:dyDescent="0.2">
      <c r="A192" s="473"/>
      <c r="B192" s="473"/>
      <c r="C192" s="473"/>
      <c r="D192" s="473"/>
      <c r="E192" s="473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  <c r="AL192" s="473"/>
      <c r="AM192" s="473"/>
      <c r="AN192" s="473"/>
      <c r="AO192" s="473"/>
      <c r="AP192" s="575"/>
      <c r="AQ192" s="575"/>
      <c r="AR192" s="575"/>
      <c r="AS192" s="575"/>
      <c r="AT192" s="575"/>
      <c r="AU192" s="575"/>
      <c r="AV192" s="575"/>
      <c r="AW192" s="575"/>
      <c r="AX192" s="575"/>
      <c r="AY192" s="575"/>
      <c r="AZ192" s="575"/>
      <c r="BA192" s="575"/>
      <c r="BB192" s="575"/>
      <c r="BC192" s="575"/>
      <c r="BD192" s="575"/>
      <c r="BE192" s="575"/>
      <c r="BF192" s="575"/>
      <c r="BG192" s="575"/>
      <c r="BH192" s="575"/>
      <c r="BI192" s="575"/>
      <c r="BJ192" s="575"/>
      <c r="BK192" s="575"/>
      <c r="BL192" s="575"/>
      <c r="BM192" s="575"/>
      <c r="BN192" s="575"/>
      <c r="BO192" s="575"/>
      <c r="BP192" s="575"/>
      <c r="BQ192" s="473"/>
      <c r="BR192" s="473"/>
      <c r="BS192" s="473"/>
      <c r="BT192" s="473"/>
      <c r="BU192" s="473"/>
      <c r="BV192" s="473"/>
      <c r="BW192" s="473"/>
      <c r="BX192" s="473"/>
      <c r="BY192" s="473"/>
      <c r="BZ192" s="473"/>
      <c r="CA192" s="473"/>
      <c r="CB192" s="473"/>
      <c r="CC192" s="473"/>
      <c r="CD192" s="473"/>
      <c r="CE192" s="473"/>
      <c r="CF192" s="473"/>
      <c r="CG192" s="473"/>
      <c r="CH192" s="473"/>
      <c r="CI192" s="473"/>
    </row>
    <row r="193" spans="1:87" ht="12.75" customHeight="1" x14ac:dyDescent="0.2">
      <c r="A193" s="473"/>
      <c r="B193" s="473"/>
      <c r="C193" s="473"/>
      <c r="D193" s="473"/>
      <c r="E193" s="473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  <c r="AL193" s="473"/>
      <c r="AM193" s="473"/>
      <c r="AN193" s="473"/>
      <c r="AO193" s="473"/>
      <c r="AP193" s="575"/>
      <c r="AQ193" s="575"/>
      <c r="AR193" s="575"/>
      <c r="AS193" s="575"/>
      <c r="AT193" s="575"/>
      <c r="AU193" s="575"/>
      <c r="AV193" s="575"/>
      <c r="AW193" s="575"/>
      <c r="AX193" s="575"/>
      <c r="AY193" s="575"/>
      <c r="AZ193" s="575"/>
      <c r="BA193" s="575"/>
      <c r="BB193" s="575"/>
      <c r="BC193" s="575"/>
      <c r="BD193" s="575"/>
      <c r="BE193" s="575"/>
      <c r="BF193" s="575"/>
      <c r="BG193" s="575"/>
      <c r="BH193" s="575"/>
      <c r="BI193" s="575"/>
      <c r="BJ193" s="575"/>
      <c r="BK193" s="575"/>
      <c r="BL193" s="575"/>
      <c r="BM193" s="575"/>
      <c r="BN193" s="575"/>
      <c r="BO193" s="575"/>
      <c r="BP193" s="575"/>
      <c r="BQ193" s="473"/>
      <c r="BR193" s="473"/>
      <c r="BS193" s="473"/>
      <c r="BT193" s="473"/>
      <c r="BU193" s="473"/>
      <c r="BV193" s="473"/>
      <c r="BW193" s="473"/>
      <c r="BX193" s="473"/>
      <c r="BY193" s="473"/>
      <c r="BZ193" s="473"/>
      <c r="CA193" s="473"/>
      <c r="CB193" s="473"/>
      <c r="CC193" s="473"/>
      <c r="CD193" s="473"/>
      <c r="CE193" s="473"/>
      <c r="CF193" s="473"/>
      <c r="CG193" s="473"/>
      <c r="CH193" s="473"/>
      <c r="CI193" s="473"/>
    </row>
    <row r="194" spans="1:87" ht="12.75" customHeight="1" x14ac:dyDescent="0.2">
      <c r="A194" s="473"/>
      <c r="B194" s="473"/>
      <c r="C194" s="473"/>
      <c r="D194" s="473"/>
      <c r="E194" s="473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  <c r="AL194" s="473"/>
      <c r="AM194" s="473"/>
      <c r="AN194" s="473"/>
      <c r="AO194" s="473"/>
      <c r="AP194" s="575"/>
      <c r="AQ194" s="575"/>
      <c r="AR194" s="575"/>
      <c r="AS194" s="575"/>
      <c r="AT194" s="575"/>
      <c r="AU194" s="575"/>
      <c r="AV194" s="575"/>
      <c r="AW194" s="575"/>
      <c r="AX194" s="575"/>
      <c r="AY194" s="575"/>
      <c r="AZ194" s="575"/>
      <c r="BA194" s="575"/>
      <c r="BB194" s="575"/>
      <c r="BC194" s="575"/>
      <c r="BD194" s="575"/>
      <c r="BE194" s="575"/>
      <c r="BF194" s="575"/>
      <c r="BG194" s="575"/>
      <c r="BH194" s="575"/>
      <c r="BI194" s="575"/>
      <c r="BJ194" s="575"/>
      <c r="BK194" s="575"/>
      <c r="BL194" s="575"/>
      <c r="BM194" s="575"/>
      <c r="BN194" s="575"/>
      <c r="BO194" s="575"/>
      <c r="BP194" s="575"/>
      <c r="BQ194" s="473"/>
      <c r="BR194" s="473"/>
      <c r="BS194" s="473"/>
      <c r="BT194" s="473"/>
      <c r="BU194" s="473"/>
      <c r="BV194" s="473"/>
      <c r="BW194" s="473"/>
      <c r="BX194" s="473"/>
      <c r="BY194" s="473"/>
      <c r="BZ194" s="473"/>
      <c r="CA194" s="473"/>
      <c r="CB194" s="473"/>
      <c r="CC194" s="473"/>
      <c r="CD194" s="473"/>
      <c r="CE194" s="473"/>
      <c r="CF194" s="473"/>
      <c r="CG194" s="473"/>
      <c r="CH194" s="473"/>
      <c r="CI194" s="473"/>
    </row>
    <row r="195" spans="1:87" ht="12.75" customHeight="1" x14ac:dyDescent="0.2">
      <c r="A195" s="473"/>
      <c r="B195" s="473"/>
      <c r="C195" s="473"/>
      <c r="D195" s="473"/>
      <c r="E195" s="473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  <c r="AL195" s="473"/>
      <c r="AM195" s="473"/>
      <c r="AN195" s="473"/>
      <c r="AO195" s="473"/>
      <c r="AP195" s="575"/>
      <c r="AQ195" s="575"/>
      <c r="AR195" s="575"/>
      <c r="AS195" s="575"/>
      <c r="AT195" s="575"/>
      <c r="AU195" s="575"/>
      <c r="AV195" s="575"/>
      <c r="AW195" s="575"/>
      <c r="AX195" s="575"/>
      <c r="AY195" s="575"/>
      <c r="AZ195" s="575"/>
      <c r="BA195" s="575"/>
      <c r="BB195" s="575"/>
      <c r="BC195" s="575"/>
      <c r="BD195" s="575"/>
      <c r="BE195" s="575"/>
      <c r="BF195" s="575"/>
      <c r="BG195" s="575"/>
      <c r="BH195" s="575"/>
      <c r="BI195" s="575"/>
      <c r="BJ195" s="575"/>
      <c r="BK195" s="575"/>
      <c r="BL195" s="575"/>
      <c r="BM195" s="575"/>
      <c r="BN195" s="575"/>
      <c r="BO195" s="575"/>
      <c r="BP195" s="575"/>
      <c r="BQ195" s="473"/>
      <c r="BR195" s="473"/>
      <c r="BS195" s="473"/>
      <c r="BT195" s="473"/>
      <c r="BU195" s="473"/>
      <c r="BV195" s="473"/>
      <c r="BW195" s="473"/>
      <c r="BX195" s="473"/>
      <c r="BY195" s="473"/>
      <c r="BZ195" s="473"/>
      <c r="CA195" s="473"/>
      <c r="CB195" s="473"/>
      <c r="CC195" s="473"/>
      <c r="CD195" s="473"/>
      <c r="CE195" s="473"/>
      <c r="CF195" s="473"/>
      <c r="CG195" s="473"/>
      <c r="CH195" s="473"/>
      <c r="CI195" s="473"/>
    </row>
    <row r="196" spans="1:87" ht="12.75" customHeight="1" x14ac:dyDescent="0.2">
      <c r="A196" s="473"/>
      <c r="B196" s="473"/>
      <c r="C196" s="473"/>
      <c r="D196" s="473"/>
      <c r="E196" s="473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  <c r="AL196" s="473"/>
      <c r="AM196" s="473"/>
      <c r="AN196" s="473"/>
      <c r="AO196" s="473"/>
      <c r="AP196" s="575"/>
      <c r="AQ196" s="575"/>
      <c r="AR196" s="575"/>
      <c r="AS196" s="575"/>
      <c r="AT196" s="575"/>
      <c r="AU196" s="575"/>
      <c r="AV196" s="575"/>
      <c r="AW196" s="575"/>
      <c r="AX196" s="575"/>
      <c r="AY196" s="575"/>
      <c r="AZ196" s="575"/>
      <c r="BA196" s="575"/>
      <c r="BB196" s="575"/>
      <c r="BC196" s="575"/>
      <c r="BD196" s="575"/>
      <c r="BE196" s="575"/>
      <c r="BF196" s="575"/>
      <c r="BG196" s="575"/>
      <c r="BH196" s="575"/>
      <c r="BI196" s="575"/>
      <c r="BJ196" s="575"/>
      <c r="BK196" s="575"/>
      <c r="BL196" s="575"/>
      <c r="BM196" s="575"/>
      <c r="BN196" s="575"/>
      <c r="BO196" s="575"/>
      <c r="BP196" s="575"/>
      <c r="BQ196" s="473"/>
      <c r="BR196" s="473"/>
      <c r="BS196" s="473"/>
      <c r="BT196" s="473"/>
      <c r="BU196" s="473"/>
      <c r="BV196" s="473"/>
      <c r="BW196" s="473"/>
      <c r="BX196" s="473"/>
      <c r="BY196" s="473"/>
      <c r="BZ196" s="473"/>
      <c r="CA196" s="473"/>
      <c r="CB196" s="473"/>
      <c r="CC196" s="473"/>
      <c r="CD196" s="473"/>
      <c r="CE196" s="473"/>
      <c r="CF196" s="473"/>
      <c r="CG196" s="473"/>
      <c r="CH196" s="473"/>
      <c r="CI196" s="473"/>
    </row>
    <row r="197" spans="1:87" ht="12.75" customHeight="1" x14ac:dyDescent="0.2">
      <c r="A197" s="473"/>
      <c r="B197" s="473"/>
      <c r="C197" s="473"/>
      <c r="D197" s="473"/>
      <c r="E197" s="473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  <c r="AL197" s="473"/>
      <c r="AM197" s="473"/>
      <c r="AN197" s="473"/>
      <c r="AO197" s="473"/>
      <c r="AP197" s="575"/>
      <c r="AQ197" s="575"/>
      <c r="AR197" s="575"/>
      <c r="AS197" s="575"/>
      <c r="AT197" s="575"/>
      <c r="AU197" s="575"/>
      <c r="AV197" s="575"/>
      <c r="AW197" s="575"/>
      <c r="AX197" s="575"/>
      <c r="AY197" s="575"/>
      <c r="AZ197" s="575"/>
      <c r="BA197" s="575"/>
      <c r="BB197" s="575"/>
      <c r="BC197" s="575"/>
      <c r="BD197" s="575"/>
      <c r="BE197" s="575"/>
      <c r="BF197" s="575"/>
      <c r="BG197" s="575"/>
      <c r="BH197" s="575"/>
      <c r="BI197" s="575"/>
      <c r="BJ197" s="575"/>
      <c r="BK197" s="575"/>
      <c r="BL197" s="575"/>
      <c r="BM197" s="575"/>
      <c r="BN197" s="575"/>
      <c r="BO197" s="575"/>
      <c r="BP197" s="575"/>
      <c r="BQ197" s="473"/>
      <c r="BR197" s="473"/>
      <c r="BS197" s="473"/>
      <c r="BT197" s="473"/>
      <c r="BU197" s="473"/>
      <c r="BV197" s="473"/>
      <c r="BW197" s="473"/>
      <c r="BX197" s="473"/>
      <c r="BY197" s="473"/>
      <c r="BZ197" s="473"/>
      <c r="CA197" s="473"/>
      <c r="CB197" s="473"/>
      <c r="CC197" s="473"/>
      <c r="CD197" s="473"/>
      <c r="CE197" s="473"/>
      <c r="CF197" s="473"/>
      <c r="CG197" s="473"/>
      <c r="CH197" s="473"/>
      <c r="CI197" s="473"/>
    </row>
    <row r="198" spans="1:87" ht="12.75" customHeight="1" x14ac:dyDescent="0.2">
      <c r="A198" s="473"/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  <c r="AL198" s="473"/>
      <c r="AM198" s="473"/>
      <c r="AN198" s="473"/>
      <c r="AO198" s="473"/>
      <c r="AP198" s="575"/>
      <c r="AQ198" s="575"/>
      <c r="AR198" s="575"/>
      <c r="AS198" s="575"/>
      <c r="AT198" s="575"/>
      <c r="AU198" s="575"/>
      <c r="AV198" s="575"/>
      <c r="AW198" s="575"/>
      <c r="AX198" s="575"/>
      <c r="AY198" s="575"/>
      <c r="AZ198" s="575"/>
      <c r="BA198" s="575"/>
      <c r="BB198" s="575"/>
      <c r="BC198" s="575"/>
      <c r="BD198" s="575"/>
      <c r="BE198" s="575"/>
      <c r="BF198" s="575"/>
      <c r="BG198" s="575"/>
      <c r="BH198" s="575"/>
      <c r="BI198" s="575"/>
      <c r="BJ198" s="575"/>
      <c r="BK198" s="575"/>
      <c r="BL198" s="575"/>
      <c r="BM198" s="575"/>
      <c r="BN198" s="575"/>
      <c r="BO198" s="575"/>
      <c r="BP198" s="575"/>
      <c r="BQ198" s="473"/>
      <c r="BR198" s="473"/>
      <c r="BS198" s="473"/>
      <c r="BT198" s="473"/>
      <c r="BU198" s="473"/>
      <c r="BV198" s="473"/>
      <c r="BW198" s="473"/>
      <c r="BX198" s="473"/>
      <c r="BY198" s="473"/>
      <c r="BZ198" s="473"/>
      <c r="CA198" s="473"/>
      <c r="CB198" s="473"/>
      <c r="CC198" s="473"/>
      <c r="CD198" s="473"/>
      <c r="CE198" s="473"/>
      <c r="CF198" s="473"/>
      <c r="CG198" s="473"/>
      <c r="CH198" s="473"/>
      <c r="CI198" s="473"/>
    </row>
    <row r="199" spans="1:87" ht="12.75" customHeight="1" x14ac:dyDescent="0.2">
      <c r="A199" s="473"/>
      <c r="B199" s="473"/>
      <c r="C199" s="473"/>
      <c r="D199" s="473"/>
      <c r="E199" s="473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  <c r="AL199" s="473"/>
      <c r="AM199" s="473"/>
      <c r="AN199" s="473"/>
      <c r="AO199" s="473"/>
      <c r="AP199" s="575"/>
      <c r="AQ199" s="575"/>
      <c r="AR199" s="575"/>
      <c r="AS199" s="575"/>
      <c r="AT199" s="575"/>
      <c r="AU199" s="575"/>
      <c r="AV199" s="575"/>
      <c r="AW199" s="575"/>
      <c r="AX199" s="575"/>
      <c r="AY199" s="575"/>
      <c r="AZ199" s="575"/>
      <c r="BA199" s="575"/>
      <c r="BB199" s="575"/>
      <c r="BC199" s="575"/>
      <c r="BD199" s="575"/>
      <c r="BE199" s="575"/>
      <c r="BF199" s="575"/>
      <c r="BG199" s="575"/>
      <c r="BH199" s="575"/>
      <c r="BI199" s="575"/>
      <c r="BJ199" s="575"/>
      <c r="BK199" s="575"/>
      <c r="BL199" s="575"/>
      <c r="BM199" s="575"/>
      <c r="BN199" s="575"/>
      <c r="BO199" s="575"/>
      <c r="BP199" s="575"/>
      <c r="BQ199" s="473"/>
      <c r="BR199" s="473"/>
      <c r="BS199" s="473"/>
      <c r="BT199" s="473"/>
      <c r="BU199" s="473"/>
      <c r="BV199" s="473"/>
      <c r="BW199" s="473"/>
      <c r="BX199" s="473"/>
      <c r="BY199" s="473"/>
      <c r="BZ199" s="473"/>
      <c r="CA199" s="473"/>
      <c r="CB199" s="473"/>
      <c r="CC199" s="473"/>
      <c r="CD199" s="473"/>
      <c r="CE199" s="473"/>
      <c r="CF199" s="473"/>
      <c r="CG199" s="473"/>
      <c r="CH199" s="473"/>
      <c r="CI199" s="473"/>
    </row>
    <row r="200" spans="1:87" ht="12.75" customHeight="1" x14ac:dyDescent="0.2">
      <c r="A200" s="473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  <c r="AL200" s="473"/>
      <c r="AM200" s="473"/>
      <c r="AN200" s="473"/>
      <c r="AO200" s="473"/>
      <c r="AP200" s="575"/>
      <c r="AQ200" s="575"/>
      <c r="AR200" s="575"/>
      <c r="AS200" s="575"/>
      <c r="AT200" s="575"/>
      <c r="AU200" s="575"/>
      <c r="AV200" s="575"/>
      <c r="AW200" s="575"/>
      <c r="AX200" s="575"/>
      <c r="AY200" s="575"/>
      <c r="AZ200" s="575"/>
      <c r="BA200" s="575"/>
      <c r="BB200" s="575"/>
      <c r="BC200" s="575"/>
      <c r="BD200" s="575"/>
      <c r="BE200" s="575"/>
      <c r="BF200" s="575"/>
      <c r="BG200" s="575"/>
      <c r="BH200" s="575"/>
      <c r="BI200" s="575"/>
      <c r="BJ200" s="575"/>
      <c r="BK200" s="575"/>
      <c r="BL200" s="575"/>
      <c r="BM200" s="575"/>
      <c r="BN200" s="575"/>
      <c r="BO200" s="575"/>
      <c r="BP200" s="575"/>
      <c r="BQ200" s="473"/>
      <c r="BR200" s="473"/>
      <c r="BS200" s="473"/>
      <c r="BT200" s="473"/>
      <c r="BU200" s="473"/>
      <c r="BV200" s="473"/>
      <c r="BW200" s="473"/>
      <c r="BX200" s="473"/>
      <c r="BY200" s="473"/>
      <c r="BZ200" s="473"/>
      <c r="CA200" s="473"/>
      <c r="CB200" s="473"/>
      <c r="CC200" s="473"/>
      <c r="CD200" s="473"/>
      <c r="CE200" s="473"/>
      <c r="CF200" s="473"/>
      <c r="CG200" s="473"/>
      <c r="CH200" s="473"/>
      <c r="CI200" s="473"/>
    </row>
    <row r="201" spans="1:87" ht="12.75" customHeight="1" x14ac:dyDescent="0.2">
      <c r="A201" s="473"/>
      <c r="B201" s="473"/>
      <c r="C201" s="473"/>
      <c r="D201" s="473"/>
      <c r="E201" s="473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  <c r="AL201" s="473"/>
      <c r="AM201" s="473"/>
      <c r="AN201" s="473"/>
      <c r="AO201" s="473"/>
      <c r="AP201" s="575"/>
      <c r="AQ201" s="575"/>
      <c r="AR201" s="575"/>
      <c r="AS201" s="575"/>
      <c r="AT201" s="575"/>
      <c r="AU201" s="575"/>
      <c r="AV201" s="575"/>
      <c r="AW201" s="575"/>
      <c r="AX201" s="575"/>
      <c r="AY201" s="575"/>
      <c r="AZ201" s="575"/>
      <c r="BA201" s="575"/>
      <c r="BB201" s="575"/>
      <c r="BC201" s="575"/>
      <c r="BD201" s="575"/>
      <c r="BE201" s="575"/>
      <c r="BF201" s="575"/>
      <c r="BG201" s="575"/>
      <c r="BH201" s="575"/>
      <c r="BI201" s="575"/>
      <c r="BJ201" s="575"/>
      <c r="BK201" s="575"/>
      <c r="BL201" s="575"/>
      <c r="BM201" s="575"/>
      <c r="BN201" s="575"/>
      <c r="BO201" s="575"/>
      <c r="BP201" s="575"/>
      <c r="BQ201" s="473"/>
      <c r="BR201" s="473"/>
      <c r="BS201" s="473"/>
      <c r="BT201" s="473"/>
      <c r="BU201" s="473"/>
      <c r="BV201" s="473"/>
      <c r="BW201" s="473"/>
      <c r="BX201" s="473"/>
      <c r="BY201" s="473"/>
      <c r="BZ201" s="473"/>
      <c r="CA201" s="473"/>
      <c r="CB201" s="473"/>
      <c r="CC201" s="473"/>
      <c r="CD201" s="473"/>
      <c r="CE201" s="473"/>
      <c r="CF201" s="473"/>
      <c r="CG201" s="473"/>
      <c r="CH201" s="473"/>
      <c r="CI201" s="473"/>
    </row>
    <row r="202" spans="1:87" ht="12.75" customHeight="1" x14ac:dyDescent="0.2">
      <c r="A202" s="473"/>
      <c r="B202" s="473"/>
      <c r="C202" s="473"/>
      <c r="D202" s="473"/>
      <c r="E202" s="473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  <c r="AL202" s="473"/>
      <c r="AM202" s="473"/>
      <c r="AN202" s="473"/>
      <c r="AO202" s="473"/>
      <c r="AP202" s="575"/>
      <c r="AQ202" s="575"/>
      <c r="AR202" s="575"/>
      <c r="AS202" s="575"/>
      <c r="AT202" s="575"/>
      <c r="AU202" s="575"/>
      <c r="AV202" s="575"/>
      <c r="AW202" s="575"/>
      <c r="AX202" s="575"/>
      <c r="AY202" s="575"/>
      <c r="AZ202" s="575"/>
      <c r="BA202" s="575"/>
      <c r="BB202" s="575"/>
      <c r="BC202" s="575"/>
      <c r="BD202" s="575"/>
      <c r="BE202" s="575"/>
      <c r="BF202" s="575"/>
      <c r="BG202" s="575"/>
      <c r="BH202" s="575"/>
      <c r="BI202" s="575"/>
      <c r="BJ202" s="575"/>
      <c r="BK202" s="575"/>
      <c r="BL202" s="575"/>
      <c r="BM202" s="575"/>
      <c r="BN202" s="575"/>
      <c r="BO202" s="575"/>
      <c r="BP202" s="575"/>
      <c r="BQ202" s="473"/>
      <c r="BR202" s="473"/>
      <c r="BS202" s="473"/>
      <c r="BT202" s="473"/>
      <c r="BU202" s="473"/>
      <c r="BV202" s="473"/>
      <c r="BW202" s="473"/>
      <c r="BX202" s="473"/>
      <c r="BY202" s="473"/>
      <c r="BZ202" s="473"/>
      <c r="CA202" s="473"/>
      <c r="CB202" s="473"/>
      <c r="CC202" s="473"/>
      <c r="CD202" s="473"/>
      <c r="CE202" s="473"/>
      <c r="CF202" s="473"/>
      <c r="CG202" s="473"/>
      <c r="CH202" s="473"/>
      <c r="CI202" s="473"/>
    </row>
    <row r="203" spans="1:87" ht="12.75" customHeight="1" x14ac:dyDescent="0.2">
      <c r="A203" s="473"/>
      <c r="B203" s="473"/>
      <c r="C203" s="473"/>
      <c r="D203" s="473"/>
      <c r="E203" s="473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  <c r="AL203" s="473"/>
      <c r="AM203" s="473"/>
      <c r="AN203" s="473"/>
      <c r="AO203" s="473"/>
      <c r="AP203" s="575"/>
      <c r="AQ203" s="575"/>
      <c r="AR203" s="575"/>
      <c r="AS203" s="575"/>
      <c r="AT203" s="575"/>
      <c r="AU203" s="575"/>
      <c r="AV203" s="575"/>
      <c r="AW203" s="575"/>
      <c r="AX203" s="575"/>
      <c r="AY203" s="575"/>
      <c r="AZ203" s="575"/>
      <c r="BA203" s="575"/>
      <c r="BB203" s="575"/>
      <c r="BC203" s="575"/>
      <c r="BD203" s="575"/>
      <c r="BE203" s="575"/>
      <c r="BF203" s="575"/>
      <c r="BG203" s="575"/>
      <c r="BH203" s="575"/>
      <c r="BI203" s="575"/>
      <c r="BJ203" s="575"/>
      <c r="BK203" s="575"/>
      <c r="BL203" s="575"/>
      <c r="BM203" s="575"/>
      <c r="BN203" s="575"/>
      <c r="BO203" s="575"/>
      <c r="BP203" s="575"/>
      <c r="BQ203" s="473"/>
      <c r="BR203" s="473"/>
      <c r="BS203" s="473"/>
      <c r="BT203" s="473"/>
      <c r="BU203" s="473"/>
      <c r="BV203" s="473"/>
      <c r="BW203" s="473"/>
      <c r="BX203" s="473"/>
      <c r="BY203" s="473"/>
      <c r="BZ203" s="473"/>
      <c r="CA203" s="473"/>
      <c r="CB203" s="473"/>
      <c r="CC203" s="473"/>
      <c r="CD203" s="473"/>
      <c r="CE203" s="473"/>
      <c r="CF203" s="473"/>
      <c r="CG203" s="473"/>
      <c r="CH203" s="473"/>
      <c r="CI203" s="473"/>
    </row>
    <row r="204" spans="1:87" ht="12.75" customHeight="1" x14ac:dyDescent="0.2">
      <c r="A204" s="473"/>
      <c r="B204" s="473"/>
      <c r="C204" s="473"/>
      <c r="D204" s="473"/>
      <c r="E204" s="473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  <c r="AL204" s="473"/>
      <c r="AM204" s="473"/>
      <c r="AN204" s="473"/>
      <c r="AO204" s="473"/>
      <c r="AP204" s="575"/>
      <c r="AQ204" s="575"/>
      <c r="AR204" s="575"/>
      <c r="AS204" s="575"/>
      <c r="AT204" s="575"/>
      <c r="AU204" s="575"/>
      <c r="AV204" s="575"/>
      <c r="AW204" s="575"/>
      <c r="AX204" s="575"/>
      <c r="AY204" s="575"/>
      <c r="AZ204" s="575"/>
      <c r="BA204" s="575"/>
      <c r="BB204" s="575"/>
      <c r="BC204" s="575"/>
      <c r="BD204" s="575"/>
      <c r="BE204" s="575"/>
      <c r="BF204" s="575"/>
      <c r="BG204" s="575"/>
      <c r="BH204" s="575"/>
      <c r="BI204" s="575"/>
      <c r="BJ204" s="575"/>
      <c r="BK204" s="575"/>
      <c r="BL204" s="575"/>
      <c r="BM204" s="575"/>
      <c r="BN204" s="575"/>
      <c r="BO204" s="575"/>
      <c r="BP204" s="575"/>
      <c r="BQ204" s="473"/>
      <c r="BR204" s="473"/>
      <c r="BS204" s="473"/>
      <c r="BT204" s="473"/>
      <c r="BU204" s="473"/>
      <c r="BV204" s="473"/>
      <c r="BW204" s="473"/>
      <c r="BX204" s="473"/>
      <c r="BY204" s="473"/>
      <c r="BZ204" s="473"/>
      <c r="CA204" s="473"/>
      <c r="CB204" s="473"/>
      <c r="CC204" s="473"/>
      <c r="CD204" s="473"/>
      <c r="CE204" s="473"/>
      <c r="CF204" s="473"/>
      <c r="CG204" s="473"/>
      <c r="CH204" s="473"/>
      <c r="CI204" s="473"/>
    </row>
    <row r="205" spans="1:87" ht="12.75" customHeight="1" x14ac:dyDescent="0.2">
      <c r="A205" s="473"/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  <c r="AL205" s="473"/>
      <c r="AM205" s="473"/>
      <c r="AN205" s="473"/>
      <c r="AO205" s="473"/>
      <c r="AP205" s="575"/>
      <c r="AQ205" s="575"/>
      <c r="AR205" s="575"/>
      <c r="AS205" s="575"/>
      <c r="AT205" s="575"/>
      <c r="AU205" s="575"/>
      <c r="AV205" s="575"/>
      <c r="AW205" s="575"/>
      <c r="AX205" s="575"/>
      <c r="AY205" s="575"/>
      <c r="AZ205" s="575"/>
      <c r="BA205" s="575"/>
      <c r="BB205" s="575"/>
      <c r="BC205" s="575"/>
      <c r="BD205" s="575"/>
      <c r="BE205" s="575"/>
      <c r="BF205" s="575"/>
      <c r="BG205" s="575"/>
      <c r="BH205" s="575"/>
      <c r="BI205" s="575"/>
      <c r="BJ205" s="575"/>
      <c r="BK205" s="575"/>
      <c r="BL205" s="575"/>
      <c r="BM205" s="575"/>
      <c r="BN205" s="575"/>
      <c r="BO205" s="575"/>
      <c r="BP205" s="575"/>
      <c r="BQ205" s="473"/>
      <c r="BR205" s="473"/>
      <c r="BS205" s="473"/>
      <c r="BT205" s="473"/>
      <c r="BU205" s="473"/>
      <c r="BV205" s="473"/>
      <c r="BW205" s="473"/>
      <c r="BX205" s="473"/>
      <c r="BY205" s="473"/>
      <c r="BZ205" s="473"/>
      <c r="CA205" s="473"/>
      <c r="CB205" s="473"/>
      <c r="CC205" s="473"/>
      <c r="CD205" s="473"/>
      <c r="CE205" s="473"/>
      <c r="CF205" s="473"/>
      <c r="CG205" s="473"/>
      <c r="CH205" s="473"/>
      <c r="CI205" s="473"/>
    </row>
    <row r="206" spans="1:87" ht="12.75" customHeight="1" x14ac:dyDescent="0.2">
      <c r="A206" s="473"/>
      <c r="B206" s="473"/>
      <c r="C206" s="473"/>
      <c r="D206" s="473"/>
      <c r="E206" s="473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  <c r="AL206" s="473"/>
      <c r="AM206" s="473"/>
      <c r="AN206" s="473"/>
      <c r="AO206" s="473"/>
      <c r="AP206" s="575"/>
      <c r="AQ206" s="575"/>
      <c r="AR206" s="575"/>
      <c r="AS206" s="575"/>
      <c r="AT206" s="575"/>
      <c r="AU206" s="575"/>
      <c r="AV206" s="575"/>
      <c r="AW206" s="575"/>
      <c r="AX206" s="575"/>
      <c r="AY206" s="575"/>
      <c r="AZ206" s="575"/>
      <c r="BA206" s="575"/>
      <c r="BB206" s="575"/>
      <c r="BC206" s="575"/>
      <c r="BD206" s="575"/>
      <c r="BE206" s="575"/>
      <c r="BF206" s="575"/>
      <c r="BG206" s="575"/>
      <c r="BH206" s="575"/>
      <c r="BI206" s="575"/>
      <c r="BJ206" s="575"/>
      <c r="BK206" s="575"/>
      <c r="BL206" s="575"/>
      <c r="BM206" s="575"/>
      <c r="BN206" s="575"/>
      <c r="BO206" s="575"/>
      <c r="BP206" s="575"/>
      <c r="BQ206" s="473"/>
      <c r="BR206" s="473"/>
      <c r="BS206" s="473"/>
      <c r="BT206" s="473"/>
      <c r="BU206" s="473"/>
      <c r="BV206" s="473"/>
      <c r="BW206" s="473"/>
      <c r="BX206" s="473"/>
      <c r="BY206" s="473"/>
      <c r="BZ206" s="473"/>
      <c r="CA206" s="473"/>
      <c r="CB206" s="473"/>
      <c r="CC206" s="473"/>
      <c r="CD206" s="473"/>
      <c r="CE206" s="473"/>
      <c r="CF206" s="473"/>
      <c r="CG206" s="473"/>
      <c r="CH206" s="473"/>
      <c r="CI206" s="473"/>
    </row>
    <row r="207" spans="1:87" ht="12.75" customHeight="1" x14ac:dyDescent="0.2">
      <c r="A207" s="473"/>
      <c r="B207" s="473"/>
      <c r="C207" s="473"/>
      <c r="D207" s="473"/>
      <c r="E207" s="473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  <c r="AL207" s="473"/>
      <c r="AM207" s="473"/>
      <c r="AN207" s="473"/>
      <c r="AO207" s="473"/>
      <c r="AP207" s="575"/>
      <c r="AQ207" s="575"/>
      <c r="AR207" s="575"/>
      <c r="AS207" s="575"/>
      <c r="AT207" s="575"/>
      <c r="AU207" s="575"/>
      <c r="AV207" s="575"/>
      <c r="AW207" s="575"/>
      <c r="AX207" s="575"/>
      <c r="AY207" s="575"/>
      <c r="AZ207" s="575"/>
      <c r="BA207" s="575"/>
      <c r="BB207" s="575"/>
      <c r="BC207" s="575"/>
      <c r="BD207" s="575"/>
      <c r="BE207" s="575"/>
      <c r="BF207" s="575"/>
      <c r="BG207" s="575"/>
      <c r="BH207" s="575"/>
      <c r="BI207" s="575"/>
      <c r="BJ207" s="575"/>
      <c r="BK207" s="575"/>
      <c r="BL207" s="575"/>
      <c r="BM207" s="575"/>
      <c r="BN207" s="575"/>
      <c r="BO207" s="575"/>
      <c r="BP207" s="575"/>
      <c r="BQ207" s="473"/>
      <c r="BR207" s="473"/>
      <c r="BS207" s="473"/>
      <c r="BT207" s="473"/>
      <c r="BU207" s="473"/>
      <c r="BV207" s="473"/>
      <c r="BW207" s="473"/>
      <c r="BX207" s="473"/>
      <c r="BY207" s="473"/>
      <c r="BZ207" s="473"/>
      <c r="CA207" s="473"/>
      <c r="CB207" s="473"/>
      <c r="CC207" s="473"/>
      <c r="CD207" s="473"/>
      <c r="CE207" s="473"/>
      <c r="CF207" s="473"/>
      <c r="CG207" s="473"/>
      <c r="CH207" s="473"/>
      <c r="CI207" s="473"/>
    </row>
    <row r="208" spans="1:87" ht="12.75" customHeight="1" x14ac:dyDescent="0.2">
      <c r="A208" s="473"/>
      <c r="B208" s="473"/>
      <c r="C208" s="473"/>
      <c r="D208" s="473"/>
      <c r="E208" s="473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  <c r="AL208" s="473"/>
      <c r="AM208" s="473"/>
      <c r="AN208" s="473"/>
      <c r="AO208" s="473"/>
      <c r="AP208" s="575"/>
      <c r="AQ208" s="575"/>
      <c r="AR208" s="575"/>
      <c r="AS208" s="575"/>
      <c r="AT208" s="575"/>
      <c r="AU208" s="575"/>
      <c r="AV208" s="575"/>
      <c r="AW208" s="575"/>
      <c r="AX208" s="575"/>
      <c r="AY208" s="575"/>
      <c r="AZ208" s="575"/>
      <c r="BA208" s="575"/>
      <c r="BB208" s="575"/>
      <c r="BC208" s="575"/>
      <c r="BD208" s="575"/>
      <c r="BE208" s="575"/>
      <c r="BF208" s="575"/>
      <c r="BG208" s="575"/>
      <c r="BH208" s="575"/>
      <c r="BI208" s="575"/>
      <c r="BJ208" s="575"/>
      <c r="BK208" s="575"/>
      <c r="BL208" s="575"/>
      <c r="BM208" s="575"/>
      <c r="BN208" s="575"/>
      <c r="BO208" s="575"/>
      <c r="BP208" s="575"/>
      <c r="BQ208" s="473"/>
      <c r="BR208" s="473"/>
      <c r="BS208" s="473"/>
      <c r="BT208" s="473"/>
      <c r="BU208" s="473"/>
      <c r="BV208" s="473"/>
      <c r="BW208" s="473"/>
      <c r="BX208" s="473"/>
      <c r="BY208" s="473"/>
      <c r="BZ208" s="473"/>
      <c r="CA208" s="473"/>
      <c r="CB208" s="473"/>
      <c r="CC208" s="473"/>
      <c r="CD208" s="473"/>
      <c r="CE208" s="473"/>
      <c r="CF208" s="473"/>
      <c r="CG208" s="473"/>
      <c r="CH208" s="473"/>
      <c r="CI208" s="473"/>
    </row>
    <row r="209" spans="1:87" ht="12.75" customHeight="1" x14ac:dyDescent="0.2">
      <c r="A209" s="473"/>
      <c r="B209" s="473"/>
      <c r="C209" s="473"/>
      <c r="D209" s="473"/>
      <c r="E209" s="473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  <c r="AL209" s="473"/>
      <c r="AM209" s="473"/>
      <c r="AN209" s="473"/>
      <c r="AO209" s="473"/>
      <c r="AP209" s="575"/>
      <c r="AQ209" s="575"/>
      <c r="AR209" s="575"/>
      <c r="AS209" s="575"/>
      <c r="AT209" s="575"/>
      <c r="AU209" s="575"/>
      <c r="AV209" s="575"/>
      <c r="AW209" s="575"/>
      <c r="AX209" s="575"/>
      <c r="AY209" s="575"/>
      <c r="AZ209" s="575"/>
      <c r="BA209" s="575"/>
      <c r="BB209" s="575"/>
      <c r="BC209" s="575"/>
      <c r="BD209" s="575"/>
      <c r="BE209" s="575"/>
      <c r="BF209" s="575"/>
      <c r="BG209" s="575"/>
      <c r="BH209" s="575"/>
      <c r="BI209" s="575"/>
      <c r="BJ209" s="575"/>
      <c r="BK209" s="575"/>
      <c r="BL209" s="575"/>
      <c r="BM209" s="575"/>
      <c r="BN209" s="575"/>
      <c r="BO209" s="575"/>
      <c r="BP209" s="575"/>
      <c r="BQ209" s="473"/>
      <c r="BR209" s="473"/>
      <c r="BS209" s="473"/>
      <c r="BT209" s="473"/>
      <c r="BU209" s="473"/>
      <c r="BV209" s="473"/>
      <c r="BW209" s="473"/>
      <c r="BX209" s="473"/>
      <c r="BY209" s="473"/>
      <c r="BZ209" s="473"/>
      <c r="CA209" s="473"/>
      <c r="CB209" s="473"/>
      <c r="CC209" s="473"/>
      <c r="CD209" s="473"/>
      <c r="CE209" s="473"/>
      <c r="CF209" s="473"/>
      <c r="CG209" s="473"/>
      <c r="CH209" s="473"/>
      <c r="CI209" s="473"/>
    </row>
    <row r="210" spans="1:87" ht="12.75" customHeight="1" x14ac:dyDescent="0.2">
      <c r="A210" s="473"/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  <c r="AL210" s="473"/>
      <c r="AM210" s="473"/>
      <c r="AN210" s="473"/>
      <c r="AO210" s="473"/>
      <c r="AP210" s="575"/>
      <c r="AQ210" s="575"/>
      <c r="AR210" s="575"/>
      <c r="AS210" s="575"/>
      <c r="AT210" s="575"/>
      <c r="AU210" s="575"/>
      <c r="AV210" s="575"/>
      <c r="AW210" s="575"/>
      <c r="AX210" s="575"/>
      <c r="AY210" s="575"/>
      <c r="AZ210" s="575"/>
      <c r="BA210" s="575"/>
      <c r="BB210" s="575"/>
      <c r="BC210" s="575"/>
      <c r="BD210" s="575"/>
      <c r="BE210" s="575"/>
      <c r="BF210" s="575"/>
      <c r="BG210" s="575"/>
      <c r="BH210" s="575"/>
      <c r="BI210" s="575"/>
      <c r="BJ210" s="575"/>
      <c r="BK210" s="575"/>
      <c r="BL210" s="575"/>
      <c r="BM210" s="575"/>
      <c r="BN210" s="575"/>
      <c r="BO210" s="575"/>
      <c r="BP210" s="575"/>
      <c r="BQ210" s="473"/>
      <c r="BR210" s="473"/>
      <c r="BS210" s="473"/>
      <c r="BT210" s="473"/>
      <c r="BU210" s="473"/>
      <c r="BV210" s="473"/>
      <c r="BW210" s="473"/>
      <c r="BX210" s="473"/>
      <c r="BY210" s="473"/>
      <c r="BZ210" s="473"/>
      <c r="CA210" s="473"/>
      <c r="CB210" s="473"/>
      <c r="CC210" s="473"/>
      <c r="CD210" s="473"/>
      <c r="CE210" s="473"/>
      <c r="CF210" s="473"/>
      <c r="CG210" s="473"/>
      <c r="CH210" s="473"/>
      <c r="CI210" s="473"/>
    </row>
    <row r="211" spans="1:87" ht="12.75" customHeight="1" x14ac:dyDescent="0.2">
      <c r="A211" s="473"/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  <c r="AL211" s="473"/>
      <c r="AM211" s="473"/>
      <c r="AN211" s="473"/>
      <c r="AO211" s="473"/>
      <c r="AP211" s="575"/>
      <c r="AQ211" s="575"/>
      <c r="AR211" s="575"/>
      <c r="AS211" s="575"/>
      <c r="AT211" s="575"/>
      <c r="AU211" s="575"/>
      <c r="AV211" s="575"/>
      <c r="AW211" s="575"/>
      <c r="AX211" s="575"/>
      <c r="AY211" s="575"/>
      <c r="AZ211" s="575"/>
      <c r="BA211" s="575"/>
      <c r="BB211" s="575"/>
      <c r="BC211" s="575"/>
      <c r="BD211" s="575"/>
      <c r="BE211" s="575"/>
      <c r="BF211" s="575"/>
      <c r="BG211" s="575"/>
      <c r="BH211" s="575"/>
      <c r="BI211" s="575"/>
      <c r="BJ211" s="575"/>
      <c r="BK211" s="575"/>
      <c r="BL211" s="575"/>
      <c r="BM211" s="575"/>
      <c r="BN211" s="575"/>
      <c r="BO211" s="575"/>
      <c r="BP211" s="575"/>
      <c r="BQ211" s="473"/>
      <c r="BR211" s="473"/>
      <c r="BS211" s="473"/>
      <c r="BT211" s="473"/>
      <c r="BU211" s="473"/>
      <c r="BV211" s="473"/>
      <c r="BW211" s="473"/>
      <c r="BX211" s="473"/>
      <c r="BY211" s="473"/>
      <c r="BZ211" s="473"/>
      <c r="CA211" s="473"/>
      <c r="CB211" s="473"/>
      <c r="CC211" s="473"/>
      <c r="CD211" s="473"/>
      <c r="CE211" s="473"/>
      <c r="CF211" s="473"/>
      <c r="CG211" s="473"/>
      <c r="CH211" s="473"/>
      <c r="CI211" s="473"/>
    </row>
    <row r="212" spans="1:87" ht="12.75" customHeight="1" x14ac:dyDescent="0.2">
      <c r="A212" s="473"/>
      <c r="B212" s="473"/>
      <c r="C212" s="473"/>
      <c r="D212" s="473"/>
      <c r="E212" s="473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  <c r="AL212" s="473"/>
      <c r="AM212" s="473"/>
      <c r="AN212" s="473"/>
      <c r="AO212" s="473"/>
      <c r="AP212" s="575"/>
      <c r="AQ212" s="575"/>
      <c r="AR212" s="575"/>
      <c r="AS212" s="575"/>
      <c r="AT212" s="575"/>
      <c r="AU212" s="575"/>
      <c r="AV212" s="575"/>
      <c r="AW212" s="575"/>
      <c r="AX212" s="575"/>
      <c r="AY212" s="575"/>
      <c r="AZ212" s="575"/>
      <c r="BA212" s="575"/>
      <c r="BB212" s="575"/>
      <c r="BC212" s="575"/>
      <c r="BD212" s="575"/>
      <c r="BE212" s="575"/>
      <c r="BF212" s="575"/>
      <c r="BG212" s="575"/>
      <c r="BH212" s="575"/>
      <c r="BI212" s="575"/>
      <c r="BJ212" s="575"/>
      <c r="BK212" s="575"/>
      <c r="BL212" s="575"/>
      <c r="BM212" s="575"/>
      <c r="BN212" s="575"/>
      <c r="BO212" s="575"/>
      <c r="BP212" s="575"/>
      <c r="BQ212" s="473"/>
      <c r="BR212" s="473"/>
      <c r="BS212" s="473"/>
      <c r="BT212" s="473"/>
      <c r="BU212" s="473"/>
      <c r="BV212" s="473"/>
      <c r="BW212" s="473"/>
      <c r="BX212" s="473"/>
      <c r="BY212" s="473"/>
      <c r="BZ212" s="473"/>
      <c r="CA212" s="473"/>
      <c r="CB212" s="473"/>
      <c r="CC212" s="473"/>
      <c r="CD212" s="473"/>
      <c r="CE212" s="473"/>
      <c r="CF212" s="473"/>
      <c r="CG212" s="473"/>
      <c r="CH212" s="473"/>
      <c r="CI212" s="473"/>
    </row>
    <row r="213" spans="1:87" ht="12.75" customHeight="1" x14ac:dyDescent="0.2">
      <c r="A213" s="473"/>
      <c r="B213" s="473"/>
      <c r="C213" s="473"/>
      <c r="D213" s="473"/>
      <c r="E213" s="473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  <c r="AL213" s="473"/>
      <c r="AM213" s="473"/>
      <c r="AN213" s="473"/>
      <c r="AO213" s="473"/>
      <c r="AP213" s="575"/>
      <c r="AQ213" s="575"/>
      <c r="AR213" s="575"/>
      <c r="AS213" s="575"/>
      <c r="AT213" s="575"/>
      <c r="AU213" s="575"/>
      <c r="AV213" s="575"/>
      <c r="AW213" s="575"/>
      <c r="AX213" s="575"/>
      <c r="AY213" s="575"/>
      <c r="AZ213" s="575"/>
      <c r="BA213" s="575"/>
      <c r="BB213" s="575"/>
      <c r="BC213" s="575"/>
      <c r="BD213" s="575"/>
      <c r="BE213" s="575"/>
      <c r="BF213" s="575"/>
      <c r="BG213" s="575"/>
      <c r="BH213" s="575"/>
      <c r="BI213" s="575"/>
      <c r="BJ213" s="575"/>
      <c r="BK213" s="575"/>
      <c r="BL213" s="575"/>
      <c r="BM213" s="575"/>
      <c r="BN213" s="575"/>
      <c r="BO213" s="575"/>
      <c r="BP213" s="575"/>
      <c r="BQ213" s="473"/>
      <c r="BR213" s="473"/>
      <c r="BS213" s="473"/>
      <c r="BT213" s="473"/>
      <c r="BU213" s="473"/>
      <c r="BV213" s="473"/>
      <c r="BW213" s="473"/>
      <c r="BX213" s="473"/>
      <c r="BY213" s="473"/>
      <c r="BZ213" s="473"/>
      <c r="CA213" s="473"/>
      <c r="CB213" s="473"/>
      <c r="CC213" s="473"/>
      <c r="CD213" s="473"/>
      <c r="CE213" s="473"/>
      <c r="CF213" s="473"/>
      <c r="CG213" s="473"/>
      <c r="CH213" s="473"/>
      <c r="CI213" s="473"/>
    </row>
    <row r="214" spans="1:87" ht="12.75" customHeight="1" x14ac:dyDescent="0.2">
      <c r="A214" s="473"/>
      <c r="B214" s="473"/>
      <c r="C214" s="473"/>
      <c r="D214" s="473"/>
      <c r="E214" s="473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  <c r="AL214" s="473"/>
      <c r="AM214" s="473"/>
      <c r="AN214" s="473"/>
      <c r="AO214" s="473"/>
      <c r="AP214" s="575"/>
      <c r="AQ214" s="575"/>
      <c r="AR214" s="575"/>
      <c r="AS214" s="575"/>
      <c r="AT214" s="575"/>
      <c r="AU214" s="575"/>
      <c r="AV214" s="575"/>
      <c r="AW214" s="575"/>
      <c r="AX214" s="575"/>
      <c r="AY214" s="575"/>
      <c r="AZ214" s="575"/>
      <c r="BA214" s="575"/>
      <c r="BB214" s="575"/>
      <c r="BC214" s="575"/>
      <c r="BD214" s="575"/>
      <c r="BE214" s="575"/>
      <c r="BF214" s="575"/>
      <c r="BG214" s="575"/>
      <c r="BH214" s="575"/>
      <c r="BI214" s="575"/>
      <c r="BJ214" s="575"/>
      <c r="BK214" s="575"/>
      <c r="BL214" s="575"/>
      <c r="BM214" s="575"/>
      <c r="BN214" s="575"/>
      <c r="BO214" s="575"/>
      <c r="BP214" s="575"/>
      <c r="BQ214" s="473"/>
      <c r="BR214" s="473"/>
      <c r="BS214" s="473"/>
      <c r="BT214" s="473"/>
      <c r="BU214" s="473"/>
      <c r="BV214" s="473"/>
      <c r="BW214" s="473"/>
      <c r="BX214" s="473"/>
      <c r="BY214" s="473"/>
      <c r="BZ214" s="473"/>
      <c r="CA214" s="473"/>
      <c r="CB214" s="473"/>
      <c r="CC214" s="473"/>
      <c r="CD214" s="473"/>
      <c r="CE214" s="473"/>
      <c r="CF214" s="473"/>
      <c r="CG214" s="473"/>
      <c r="CH214" s="473"/>
      <c r="CI214" s="473"/>
    </row>
    <row r="215" spans="1:87" ht="12.75" customHeight="1" x14ac:dyDescent="0.2">
      <c r="A215" s="473"/>
      <c r="B215" s="473"/>
      <c r="C215" s="473"/>
      <c r="D215" s="473"/>
      <c r="E215" s="473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  <c r="AL215" s="473"/>
      <c r="AM215" s="473"/>
      <c r="AN215" s="473"/>
      <c r="AO215" s="473"/>
      <c r="AP215" s="575"/>
      <c r="AQ215" s="575"/>
      <c r="AR215" s="575"/>
      <c r="AS215" s="575"/>
      <c r="AT215" s="575"/>
      <c r="AU215" s="575"/>
      <c r="AV215" s="575"/>
      <c r="AW215" s="575"/>
      <c r="AX215" s="575"/>
      <c r="AY215" s="575"/>
      <c r="AZ215" s="575"/>
      <c r="BA215" s="575"/>
      <c r="BB215" s="575"/>
      <c r="BC215" s="575"/>
      <c r="BD215" s="575"/>
      <c r="BE215" s="575"/>
      <c r="BF215" s="575"/>
      <c r="BG215" s="575"/>
      <c r="BH215" s="575"/>
      <c r="BI215" s="575"/>
      <c r="BJ215" s="575"/>
      <c r="BK215" s="575"/>
      <c r="BL215" s="575"/>
      <c r="BM215" s="575"/>
      <c r="BN215" s="575"/>
      <c r="BO215" s="575"/>
      <c r="BP215" s="575"/>
      <c r="BQ215" s="473"/>
      <c r="BR215" s="473"/>
      <c r="BS215" s="473"/>
      <c r="BT215" s="473"/>
      <c r="BU215" s="473"/>
      <c r="BV215" s="473"/>
      <c r="BW215" s="473"/>
      <c r="BX215" s="473"/>
      <c r="BY215" s="473"/>
      <c r="BZ215" s="473"/>
      <c r="CA215" s="473"/>
      <c r="CB215" s="473"/>
      <c r="CC215" s="473"/>
      <c r="CD215" s="473"/>
      <c r="CE215" s="473"/>
      <c r="CF215" s="473"/>
      <c r="CG215" s="473"/>
      <c r="CH215" s="473"/>
      <c r="CI215" s="473"/>
    </row>
    <row r="216" spans="1:87" ht="12.75" customHeight="1" x14ac:dyDescent="0.2">
      <c r="A216" s="473"/>
      <c r="B216" s="473"/>
      <c r="C216" s="473"/>
      <c r="D216" s="473"/>
      <c r="E216" s="473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  <c r="AL216" s="473"/>
      <c r="AM216" s="473"/>
      <c r="AN216" s="473"/>
      <c r="AO216" s="473"/>
      <c r="AP216" s="575"/>
      <c r="AQ216" s="575"/>
      <c r="AR216" s="575"/>
      <c r="AS216" s="575"/>
      <c r="AT216" s="575"/>
      <c r="AU216" s="575"/>
      <c r="AV216" s="575"/>
      <c r="AW216" s="575"/>
      <c r="AX216" s="575"/>
      <c r="AY216" s="575"/>
      <c r="AZ216" s="575"/>
      <c r="BA216" s="575"/>
      <c r="BB216" s="575"/>
      <c r="BC216" s="575"/>
      <c r="BD216" s="575"/>
      <c r="BE216" s="575"/>
      <c r="BF216" s="575"/>
      <c r="BG216" s="575"/>
      <c r="BH216" s="575"/>
      <c r="BI216" s="575"/>
      <c r="BJ216" s="575"/>
      <c r="BK216" s="575"/>
      <c r="BL216" s="575"/>
      <c r="BM216" s="575"/>
      <c r="BN216" s="575"/>
      <c r="BO216" s="575"/>
      <c r="BP216" s="575"/>
      <c r="BQ216" s="473"/>
      <c r="BR216" s="473"/>
      <c r="BS216" s="473"/>
      <c r="BT216" s="473"/>
      <c r="BU216" s="473"/>
      <c r="BV216" s="473"/>
      <c r="BW216" s="473"/>
      <c r="BX216" s="473"/>
      <c r="BY216" s="473"/>
      <c r="BZ216" s="473"/>
      <c r="CA216" s="473"/>
      <c r="CB216" s="473"/>
      <c r="CC216" s="473"/>
      <c r="CD216" s="473"/>
      <c r="CE216" s="473"/>
      <c r="CF216" s="473"/>
      <c r="CG216" s="473"/>
      <c r="CH216" s="473"/>
      <c r="CI216" s="473"/>
    </row>
    <row r="217" spans="1:87" ht="12.75" customHeight="1" x14ac:dyDescent="0.2">
      <c r="A217" s="473"/>
      <c r="B217" s="473"/>
      <c r="C217" s="473"/>
      <c r="D217" s="473"/>
      <c r="E217" s="473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  <c r="AL217" s="473"/>
      <c r="AM217" s="473"/>
      <c r="AN217" s="473"/>
      <c r="AO217" s="473"/>
      <c r="AP217" s="575"/>
      <c r="AQ217" s="575"/>
      <c r="AR217" s="575"/>
      <c r="AS217" s="575"/>
      <c r="AT217" s="575"/>
      <c r="AU217" s="575"/>
      <c r="AV217" s="575"/>
      <c r="AW217" s="575"/>
      <c r="AX217" s="575"/>
      <c r="AY217" s="575"/>
      <c r="AZ217" s="575"/>
      <c r="BA217" s="575"/>
      <c r="BB217" s="575"/>
      <c r="BC217" s="575"/>
      <c r="BD217" s="575"/>
      <c r="BE217" s="575"/>
      <c r="BF217" s="575"/>
      <c r="BG217" s="575"/>
      <c r="BH217" s="575"/>
      <c r="BI217" s="575"/>
      <c r="BJ217" s="575"/>
      <c r="BK217" s="575"/>
      <c r="BL217" s="575"/>
      <c r="BM217" s="575"/>
      <c r="BN217" s="575"/>
      <c r="BO217" s="575"/>
      <c r="BP217" s="575"/>
      <c r="BQ217" s="473"/>
      <c r="BR217" s="473"/>
      <c r="BS217" s="473"/>
      <c r="BT217" s="473"/>
      <c r="BU217" s="473"/>
      <c r="BV217" s="473"/>
      <c r="BW217" s="473"/>
      <c r="BX217" s="473"/>
      <c r="BY217" s="473"/>
      <c r="BZ217" s="473"/>
      <c r="CA217" s="473"/>
      <c r="CB217" s="473"/>
      <c r="CC217" s="473"/>
      <c r="CD217" s="473"/>
      <c r="CE217" s="473"/>
      <c r="CF217" s="473"/>
      <c r="CG217" s="473"/>
      <c r="CH217" s="473"/>
      <c r="CI217" s="473"/>
    </row>
    <row r="218" spans="1:87" ht="12.75" customHeight="1" x14ac:dyDescent="0.2">
      <c r="A218" s="473"/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  <c r="AL218" s="473"/>
      <c r="AM218" s="473"/>
      <c r="AN218" s="473"/>
      <c r="AO218" s="473"/>
      <c r="AP218" s="575"/>
      <c r="AQ218" s="575"/>
      <c r="AR218" s="575"/>
      <c r="AS218" s="575"/>
      <c r="AT218" s="575"/>
      <c r="AU218" s="575"/>
      <c r="AV218" s="575"/>
      <c r="AW218" s="575"/>
      <c r="AX218" s="575"/>
      <c r="AY218" s="575"/>
      <c r="AZ218" s="575"/>
      <c r="BA218" s="575"/>
      <c r="BB218" s="575"/>
      <c r="BC218" s="575"/>
      <c r="BD218" s="575"/>
      <c r="BE218" s="575"/>
      <c r="BF218" s="575"/>
      <c r="BG218" s="575"/>
      <c r="BH218" s="575"/>
      <c r="BI218" s="575"/>
      <c r="BJ218" s="575"/>
      <c r="BK218" s="575"/>
      <c r="BL218" s="575"/>
      <c r="BM218" s="575"/>
      <c r="BN218" s="575"/>
      <c r="BO218" s="575"/>
      <c r="BP218" s="575"/>
      <c r="BQ218" s="473"/>
      <c r="BR218" s="473"/>
      <c r="BS218" s="473"/>
      <c r="BT218" s="473"/>
      <c r="BU218" s="473"/>
      <c r="BV218" s="473"/>
      <c r="BW218" s="473"/>
      <c r="BX218" s="473"/>
      <c r="BY218" s="473"/>
      <c r="BZ218" s="473"/>
      <c r="CA218" s="473"/>
      <c r="CB218" s="473"/>
      <c r="CC218" s="473"/>
      <c r="CD218" s="473"/>
      <c r="CE218" s="473"/>
      <c r="CF218" s="473"/>
      <c r="CG218" s="473"/>
      <c r="CH218" s="473"/>
      <c r="CI218" s="473"/>
    </row>
    <row r="219" spans="1:87" ht="12.75" customHeight="1" x14ac:dyDescent="0.2">
      <c r="A219" s="473"/>
      <c r="B219" s="473"/>
      <c r="C219" s="473"/>
      <c r="D219" s="473"/>
      <c r="E219" s="473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  <c r="AL219" s="473"/>
      <c r="AM219" s="473"/>
      <c r="AN219" s="473"/>
      <c r="AO219" s="473"/>
      <c r="AP219" s="575"/>
      <c r="AQ219" s="575"/>
      <c r="AR219" s="575"/>
      <c r="AS219" s="575"/>
      <c r="AT219" s="575"/>
      <c r="AU219" s="575"/>
      <c r="AV219" s="575"/>
      <c r="AW219" s="575"/>
      <c r="AX219" s="575"/>
      <c r="AY219" s="575"/>
      <c r="AZ219" s="575"/>
      <c r="BA219" s="575"/>
      <c r="BB219" s="575"/>
      <c r="BC219" s="575"/>
      <c r="BD219" s="575"/>
      <c r="BE219" s="575"/>
      <c r="BF219" s="575"/>
      <c r="BG219" s="575"/>
      <c r="BH219" s="575"/>
      <c r="BI219" s="575"/>
      <c r="BJ219" s="575"/>
      <c r="BK219" s="575"/>
      <c r="BL219" s="575"/>
      <c r="BM219" s="575"/>
      <c r="BN219" s="575"/>
      <c r="BO219" s="575"/>
      <c r="BP219" s="575"/>
      <c r="BQ219" s="473"/>
      <c r="BR219" s="473"/>
      <c r="BS219" s="473"/>
      <c r="BT219" s="473"/>
      <c r="BU219" s="473"/>
      <c r="BV219" s="473"/>
      <c r="BW219" s="473"/>
      <c r="BX219" s="473"/>
      <c r="BY219" s="473"/>
      <c r="BZ219" s="473"/>
      <c r="CA219" s="473"/>
      <c r="CB219" s="473"/>
      <c r="CC219" s="473"/>
      <c r="CD219" s="473"/>
      <c r="CE219" s="473"/>
      <c r="CF219" s="473"/>
      <c r="CG219" s="473"/>
      <c r="CH219" s="473"/>
      <c r="CI219" s="473"/>
    </row>
    <row r="220" spans="1:87" ht="12.75" customHeight="1" x14ac:dyDescent="0.2">
      <c r="A220" s="473"/>
      <c r="B220" s="473"/>
      <c r="C220" s="473"/>
      <c r="D220" s="473"/>
      <c r="E220" s="473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  <c r="AL220" s="473"/>
      <c r="AM220" s="473"/>
      <c r="AN220" s="473"/>
      <c r="AO220" s="473"/>
      <c r="AP220" s="575"/>
      <c r="AQ220" s="575"/>
      <c r="AR220" s="575"/>
      <c r="AS220" s="575"/>
      <c r="AT220" s="575"/>
      <c r="AU220" s="575"/>
      <c r="AV220" s="575"/>
      <c r="AW220" s="575"/>
      <c r="AX220" s="575"/>
      <c r="AY220" s="575"/>
      <c r="AZ220" s="575"/>
      <c r="BA220" s="575"/>
      <c r="BB220" s="575"/>
      <c r="BC220" s="575"/>
      <c r="BD220" s="575"/>
      <c r="BE220" s="575"/>
      <c r="BF220" s="575"/>
      <c r="BG220" s="575"/>
      <c r="BH220" s="575"/>
      <c r="BI220" s="575"/>
      <c r="BJ220" s="575"/>
      <c r="BK220" s="575"/>
      <c r="BL220" s="575"/>
      <c r="BM220" s="575"/>
      <c r="BN220" s="575"/>
      <c r="BO220" s="575"/>
      <c r="BP220" s="575"/>
      <c r="BQ220" s="473"/>
      <c r="BR220" s="473"/>
      <c r="BS220" s="473"/>
      <c r="BT220" s="473"/>
      <c r="BU220" s="473"/>
      <c r="BV220" s="473"/>
      <c r="BW220" s="473"/>
      <c r="BX220" s="473"/>
      <c r="BY220" s="473"/>
      <c r="BZ220" s="473"/>
      <c r="CA220" s="473"/>
      <c r="CB220" s="473"/>
      <c r="CC220" s="473"/>
      <c r="CD220" s="473"/>
      <c r="CE220" s="473"/>
      <c r="CF220" s="473"/>
      <c r="CG220" s="473"/>
      <c r="CH220" s="473"/>
      <c r="CI220" s="473"/>
    </row>
    <row r="221" spans="1:87" ht="12.75" customHeight="1" x14ac:dyDescent="0.2">
      <c r="A221" s="473"/>
      <c r="B221" s="473"/>
      <c r="C221" s="473"/>
      <c r="D221" s="473"/>
      <c r="E221" s="473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  <c r="AL221" s="473"/>
      <c r="AM221" s="473"/>
      <c r="AN221" s="473"/>
      <c r="AO221" s="473"/>
      <c r="AP221" s="575"/>
      <c r="AQ221" s="575"/>
      <c r="AR221" s="575"/>
      <c r="AS221" s="575"/>
      <c r="AT221" s="575"/>
      <c r="AU221" s="575"/>
      <c r="AV221" s="575"/>
      <c r="AW221" s="575"/>
      <c r="AX221" s="575"/>
      <c r="AY221" s="575"/>
      <c r="AZ221" s="575"/>
      <c r="BA221" s="575"/>
      <c r="BB221" s="575"/>
      <c r="BC221" s="575"/>
      <c r="BD221" s="575"/>
      <c r="BE221" s="575"/>
      <c r="BF221" s="575"/>
      <c r="BG221" s="575"/>
      <c r="BH221" s="575"/>
      <c r="BI221" s="575"/>
      <c r="BJ221" s="575"/>
      <c r="BK221" s="575"/>
      <c r="BL221" s="575"/>
      <c r="BM221" s="575"/>
      <c r="BN221" s="575"/>
      <c r="BO221" s="575"/>
      <c r="BP221" s="575"/>
      <c r="BQ221" s="473"/>
      <c r="BR221" s="473"/>
      <c r="BS221" s="473"/>
      <c r="BT221" s="473"/>
      <c r="BU221" s="473"/>
      <c r="BV221" s="473"/>
      <c r="BW221" s="473"/>
      <c r="BX221" s="473"/>
      <c r="BY221" s="473"/>
      <c r="BZ221" s="473"/>
      <c r="CA221" s="473"/>
      <c r="CB221" s="473"/>
      <c r="CC221" s="473"/>
      <c r="CD221" s="473"/>
      <c r="CE221" s="473"/>
      <c r="CF221" s="473"/>
      <c r="CG221" s="473"/>
      <c r="CH221" s="473"/>
      <c r="CI221" s="473"/>
    </row>
    <row r="222" spans="1:87" ht="12.75" customHeight="1" x14ac:dyDescent="0.2">
      <c r="A222" s="473"/>
      <c r="B222" s="473"/>
      <c r="C222" s="473"/>
      <c r="D222" s="473"/>
      <c r="E222" s="473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  <c r="AL222" s="473"/>
      <c r="AM222" s="473"/>
      <c r="AN222" s="473"/>
      <c r="AO222" s="473"/>
      <c r="AP222" s="575"/>
      <c r="AQ222" s="575"/>
      <c r="AR222" s="575"/>
      <c r="AS222" s="575"/>
      <c r="AT222" s="575"/>
      <c r="AU222" s="575"/>
      <c r="AV222" s="575"/>
      <c r="AW222" s="575"/>
      <c r="AX222" s="575"/>
      <c r="AY222" s="575"/>
      <c r="AZ222" s="575"/>
      <c r="BA222" s="575"/>
      <c r="BB222" s="575"/>
      <c r="BC222" s="575"/>
      <c r="BD222" s="575"/>
      <c r="BE222" s="575"/>
      <c r="BF222" s="575"/>
      <c r="BG222" s="575"/>
      <c r="BH222" s="575"/>
      <c r="BI222" s="473"/>
      <c r="BJ222" s="473"/>
      <c r="BK222" s="473"/>
      <c r="BL222" s="473"/>
      <c r="BM222" s="473"/>
      <c r="BN222" s="473"/>
      <c r="BO222" s="473"/>
      <c r="BP222" s="473"/>
      <c r="BQ222" s="473"/>
      <c r="BR222" s="473"/>
      <c r="BS222" s="473"/>
      <c r="BT222" s="473"/>
      <c r="BU222" s="473"/>
      <c r="BV222" s="473"/>
      <c r="BW222" s="473"/>
      <c r="BX222" s="473"/>
      <c r="BY222" s="473"/>
      <c r="BZ222" s="473"/>
      <c r="CA222" s="473"/>
      <c r="CB222" s="473"/>
      <c r="CC222" s="473"/>
      <c r="CD222" s="473"/>
      <c r="CE222" s="473"/>
      <c r="CF222" s="473"/>
      <c r="CG222" s="473"/>
      <c r="CH222" s="473"/>
      <c r="CI222" s="473"/>
    </row>
    <row r="223" spans="1:87" ht="12.75" customHeight="1" x14ac:dyDescent="0.2">
      <c r="A223" s="473"/>
      <c r="B223" s="473"/>
      <c r="C223" s="473"/>
      <c r="D223" s="473"/>
      <c r="E223" s="473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  <c r="AL223" s="473"/>
      <c r="AM223" s="473"/>
      <c r="AN223" s="473"/>
      <c r="AO223" s="473"/>
      <c r="AP223" s="575"/>
      <c r="AQ223" s="575"/>
      <c r="AR223" s="575"/>
      <c r="AS223" s="575"/>
      <c r="AT223" s="575"/>
      <c r="AU223" s="575"/>
      <c r="AV223" s="575"/>
      <c r="AW223" s="575"/>
      <c r="AX223" s="575"/>
      <c r="AY223" s="575"/>
      <c r="AZ223" s="575"/>
      <c r="BA223" s="575"/>
      <c r="BB223" s="575"/>
      <c r="BC223" s="575"/>
      <c r="BD223" s="575"/>
      <c r="BE223" s="575"/>
      <c r="BF223" s="575"/>
      <c r="BG223" s="575"/>
      <c r="BH223" s="575"/>
      <c r="BI223" s="473"/>
      <c r="BJ223" s="473"/>
      <c r="BK223" s="473"/>
      <c r="BL223" s="473"/>
      <c r="BM223" s="473"/>
      <c r="BN223" s="473"/>
      <c r="BO223" s="473"/>
      <c r="BP223" s="473"/>
      <c r="BQ223" s="473"/>
      <c r="BR223" s="473"/>
      <c r="BS223" s="473"/>
      <c r="BT223" s="473"/>
      <c r="BU223" s="473"/>
      <c r="BV223" s="473"/>
      <c r="BW223" s="473"/>
      <c r="BX223" s="473"/>
      <c r="BY223" s="473"/>
      <c r="BZ223" s="473"/>
      <c r="CA223" s="473"/>
      <c r="CB223" s="473"/>
      <c r="CC223" s="473"/>
      <c r="CD223" s="473"/>
      <c r="CE223" s="473"/>
      <c r="CF223" s="473"/>
      <c r="CG223" s="473"/>
      <c r="CH223" s="473"/>
      <c r="CI223" s="473"/>
    </row>
    <row r="224" spans="1:87" ht="12.75" customHeight="1" x14ac:dyDescent="0.2">
      <c r="A224" s="473"/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  <c r="AL224" s="473"/>
      <c r="AM224" s="473"/>
      <c r="AN224" s="473"/>
      <c r="AO224" s="473"/>
      <c r="AP224" s="575"/>
      <c r="AQ224" s="575"/>
      <c r="AR224" s="575"/>
      <c r="AS224" s="575"/>
      <c r="AT224" s="575"/>
      <c r="AU224" s="575"/>
      <c r="AV224" s="575"/>
      <c r="AW224" s="575"/>
      <c r="AX224" s="575"/>
      <c r="AY224" s="575"/>
      <c r="AZ224" s="575"/>
      <c r="BA224" s="575"/>
      <c r="BB224" s="575"/>
      <c r="BC224" s="575"/>
      <c r="BD224" s="575"/>
      <c r="BE224" s="575"/>
      <c r="BF224" s="575"/>
      <c r="BG224" s="575"/>
      <c r="BH224" s="575"/>
      <c r="BI224" s="473"/>
      <c r="BJ224" s="473"/>
      <c r="BK224" s="473"/>
      <c r="BL224" s="473"/>
      <c r="BM224" s="473"/>
      <c r="BN224" s="473"/>
      <c r="BO224" s="473"/>
      <c r="BP224" s="473"/>
      <c r="BQ224" s="473"/>
      <c r="BR224" s="473"/>
      <c r="BS224" s="473"/>
      <c r="BT224" s="473"/>
      <c r="BU224" s="473"/>
      <c r="BV224" s="473"/>
      <c r="BW224" s="473"/>
      <c r="BX224" s="473"/>
      <c r="BY224" s="473"/>
      <c r="BZ224" s="473"/>
      <c r="CA224" s="473"/>
      <c r="CB224" s="473"/>
      <c r="CC224" s="473"/>
      <c r="CD224" s="473"/>
      <c r="CE224" s="473"/>
      <c r="CF224" s="473"/>
      <c r="CG224" s="473"/>
      <c r="CH224" s="473"/>
      <c r="CI224" s="473"/>
    </row>
    <row r="225" spans="1:87" ht="12.75" customHeight="1" x14ac:dyDescent="0.2">
      <c r="A225" s="473"/>
      <c r="B225" s="473"/>
      <c r="C225" s="473"/>
      <c r="D225" s="473"/>
      <c r="E225" s="473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  <c r="AL225" s="473"/>
      <c r="AM225" s="473"/>
      <c r="AN225" s="473"/>
      <c r="AO225" s="473"/>
      <c r="AP225" s="575"/>
      <c r="AQ225" s="575"/>
      <c r="AR225" s="575"/>
      <c r="AS225" s="575"/>
      <c r="AT225" s="575"/>
      <c r="AU225" s="575"/>
      <c r="AV225" s="575"/>
      <c r="AW225" s="575"/>
      <c r="AX225" s="575"/>
      <c r="AY225" s="575"/>
      <c r="AZ225" s="575"/>
      <c r="BA225" s="575"/>
      <c r="BB225" s="575"/>
      <c r="BC225" s="575"/>
      <c r="BD225" s="575"/>
      <c r="BE225" s="575"/>
      <c r="BF225" s="575"/>
      <c r="BG225" s="575"/>
      <c r="BH225" s="575"/>
      <c r="BI225" s="473"/>
      <c r="BJ225" s="473"/>
      <c r="BK225" s="473"/>
      <c r="BL225" s="473"/>
      <c r="BM225" s="473"/>
      <c r="BN225" s="473"/>
      <c r="BO225" s="473"/>
      <c r="BP225" s="473"/>
      <c r="BQ225" s="473"/>
      <c r="BR225" s="473"/>
      <c r="BS225" s="473"/>
      <c r="BT225" s="473"/>
      <c r="BU225" s="473"/>
      <c r="BV225" s="473"/>
      <c r="BW225" s="473"/>
      <c r="BX225" s="473"/>
      <c r="BY225" s="473"/>
      <c r="BZ225" s="473"/>
      <c r="CA225" s="473"/>
      <c r="CB225" s="473"/>
      <c r="CC225" s="473"/>
      <c r="CD225" s="473"/>
      <c r="CE225" s="473"/>
      <c r="CF225" s="473"/>
      <c r="CG225" s="473"/>
      <c r="CH225" s="473"/>
      <c r="CI225" s="473"/>
    </row>
    <row r="226" spans="1:87" ht="12.75" customHeight="1" x14ac:dyDescent="0.2">
      <c r="A226" s="473"/>
      <c r="B226" s="473"/>
      <c r="C226" s="473"/>
      <c r="D226" s="473"/>
      <c r="E226" s="473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  <c r="AL226" s="473"/>
      <c r="AM226" s="473"/>
      <c r="AN226" s="473"/>
      <c r="AO226" s="473"/>
      <c r="AP226" s="575"/>
      <c r="AQ226" s="575"/>
      <c r="AR226" s="575"/>
      <c r="AS226" s="575"/>
      <c r="AT226" s="575"/>
      <c r="AU226" s="575"/>
      <c r="AV226" s="575"/>
      <c r="AW226" s="575"/>
      <c r="AX226" s="575"/>
      <c r="AY226" s="575"/>
      <c r="AZ226" s="575"/>
      <c r="BA226" s="575"/>
      <c r="BB226" s="575"/>
      <c r="BC226" s="575"/>
      <c r="BD226" s="575"/>
      <c r="BE226" s="575"/>
      <c r="BF226" s="575"/>
      <c r="BG226" s="575"/>
      <c r="BH226" s="575"/>
      <c r="BI226" s="473"/>
      <c r="BJ226" s="473"/>
      <c r="BK226" s="473"/>
      <c r="BL226" s="473"/>
      <c r="BM226" s="473"/>
      <c r="BN226" s="473"/>
      <c r="BO226" s="473"/>
      <c r="BP226" s="473"/>
      <c r="BQ226" s="473"/>
      <c r="BR226" s="473"/>
      <c r="BS226" s="473"/>
      <c r="BT226" s="473"/>
      <c r="BU226" s="473"/>
      <c r="BV226" s="473"/>
      <c r="BW226" s="473"/>
      <c r="BX226" s="473"/>
      <c r="BY226" s="473"/>
      <c r="BZ226" s="473"/>
      <c r="CA226" s="473"/>
      <c r="CB226" s="473"/>
      <c r="CC226" s="473"/>
      <c r="CD226" s="473"/>
      <c r="CE226" s="473"/>
      <c r="CF226" s="473"/>
      <c r="CG226" s="473"/>
      <c r="CH226" s="473"/>
      <c r="CI226" s="473"/>
    </row>
    <row r="227" spans="1:87" ht="12.75" customHeight="1" x14ac:dyDescent="0.2">
      <c r="A227" s="473"/>
      <c r="B227" s="473"/>
      <c r="C227" s="473"/>
      <c r="D227" s="473"/>
      <c r="E227" s="473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  <c r="AL227" s="473"/>
      <c r="AM227" s="473"/>
      <c r="AN227" s="473"/>
      <c r="AO227" s="473"/>
      <c r="AP227" s="575"/>
      <c r="AQ227" s="575"/>
      <c r="AR227" s="575"/>
      <c r="AS227" s="575"/>
      <c r="AT227" s="575"/>
      <c r="AU227" s="575"/>
      <c r="AV227" s="575"/>
      <c r="AW227" s="575"/>
      <c r="AX227" s="575"/>
      <c r="AY227" s="575"/>
      <c r="AZ227" s="575"/>
      <c r="BA227" s="575"/>
      <c r="BB227" s="575"/>
      <c r="BC227" s="575"/>
      <c r="BD227" s="575"/>
      <c r="BE227" s="575"/>
      <c r="BF227" s="575"/>
      <c r="BG227" s="575"/>
      <c r="BH227" s="575"/>
      <c r="BI227" s="473"/>
      <c r="BJ227" s="473"/>
      <c r="BK227" s="473"/>
      <c r="BL227" s="473"/>
      <c r="BM227" s="473"/>
      <c r="BN227" s="473"/>
      <c r="BO227" s="473"/>
      <c r="BP227" s="473"/>
      <c r="BQ227" s="473"/>
      <c r="BR227" s="473"/>
      <c r="BS227" s="473"/>
      <c r="BT227" s="473"/>
      <c r="BU227" s="473"/>
      <c r="BV227" s="473"/>
      <c r="BW227" s="473"/>
      <c r="BX227" s="473"/>
      <c r="BY227" s="473"/>
      <c r="BZ227" s="473"/>
      <c r="CA227" s="473"/>
      <c r="CB227" s="473"/>
      <c r="CC227" s="473"/>
      <c r="CD227" s="473"/>
      <c r="CE227" s="473"/>
      <c r="CF227" s="473"/>
      <c r="CG227" s="473"/>
      <c r="CH227" s="473"/>
      <c r="CI227" s="473"/>
    </row>
    <row r="228" spans="1:87" ht="12.75" customHeight="1" x14ac:dyDescent="0.2">
      <c r="A228" s="473"/>
      <c r="B228" s="473"/>
      <c r="C228" s="473"/>
      <c r="D228" s="473"/>
      <c r="E228" s="473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  <c r="AL228" s="473"/>
      <c r="AM228" s="473"/>
      <c r="AN228" s="473"/>
      <c r="AO228" s="473"/>
      <c r="AP228" s="575"/>
      <c r="AQ228" s="575"/>
      <c r="AR228" s="575"/>
      <c r="AS228" s="575"/>
      <c r="AT228" s="575"/>
      <c r="AU228" s="575"/>
      <c r="AV228" s="575"/>
      <c r="AW228" s="575"/>
      <c r="AX228" s="575"/>
      <c r="AY228" s="575"/>
      <c r="AZ228" s="575"/>
      <c r="BA228" s="575"/>
      <c r="BB228" s="575"/>
      <c r="BC228" s="575"/>
      <c r="BD228" s="575"/>
      <c r="BE228" s="575"/>
      <c r="BF228" s="575"/>
      <c r="BG228" s="575"/>
      <c r="BH228" s="575"/>
      <c r="BI228" s="473"/>
      <c r="BJ228" s="473"/>
      <c r="BK228" s="473"/>
      <c r="BL228" s="473"/>
      <c r="BM228" s="473"/>
      <c r="BN228" s="473"/>
      <c r="BO228" s="473"/>
      <c r="BP228" s="473"/>
      <c r="BQ228" s="473"/>
      <c r="BR228" s="473"/>
      <c r="BS228" s="473"/>
      <c r="BT228" s="473"/>
      <c r="BU228" s="473"/>
      <c r="BV228" s="473"/>
      <c r="BW228" s="473"/>
      <c r="BX228" s="473"/>
      <c r="BY228" s="473"/>
      <c r="BZ228" s="473"/>
      <c r="CA228" s="473"/>
      <c r="CB228" s="473"/>
      <c r="CC228" s="473"/>
      <c r="CD228" s="473"/>
      <c r="CE228" s="473"/>
      <c r="CF228" s="473"/>
      <c r="CG228" s="473"/>
      <c r="CH228" s="473"/>
      <c r="CI228" s="473"/>
    </row>
    <row r="229" spans="1:87" ht="12.75" customHeight="1" x14ac:dyDescent="0.2">
      <c r="A229" s="473"/>
      <c r="B229" s="473"/>
      <c r="C229" s="473"/>
      <c r="D229" s="473"/>
      <c r="E229" s="473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  <c r="AL229" s="473"/>
      <c r="AM229" s="473"/>
      <c r="AN229" s="473"/>
      <c r="AO229" s="473"/>
      <c r="AP229" s="575"/>
      <c r="AQ229" s="575"/>
      <c r="AR229" s="575"/>
      <c r="AS229" s="575"/>
      <c r="AT229" s="575"/>
      <c r="AU229" s="575"/>
      <c r="AV229" s="575"/>
      <c r="AW229" s="575"/>
      <c r="AX229" s="575"/>
      <c r="AY229" s="575"/>
      <c r="AZ229" s="575"/>
      <c r="BA229" s="575"/>
      <c r="BB229" s="575"/>
      <c r="BC229" s="575"/>
      <c r="BD229" s="575"/>
      <c r="BE229" s="575"/>
      <c r="BF229" s="575"/>
      <c r="BG229" s="575"/>
      <c r="BH229" s="575"/>
      <c r="BI229" s="473"/>
      <c r="BJ229" s="473"/>
      <c r="BK229" s="473"/>
      <c r="BL229" s="473"/>
      <c r="BM229" s="473"/>
      <c r="BN229" s="473"/>
      <c r="BO229" s="473"/>
      <c r="BP229" s="473"/>
      <c r="BQ229" s="473"/>
      <c r="BR229" s="473"/>
      <c r="BS229" s="473"/>
      <c r="BT229" s="473"/>
      <c r="BU229" s="473"/>
      <c r="BV229" s="473"/>
      <c r="BW229" s="473"/>
      <c r="BX229" s="473"/>
      <c r="BY229" s="473"/>
      <c r="BZ229" s="473"/>
      <c r="CA229" s="473"/>
      <c r="CB229" s="473"/>
      <c r="CC229" s="473"/>
      <c r="CD229" s="473"/>
      <c r="CE229" s="473"/>
      <c r="CF229" s="473"/>
      <c r="CG229" s="473"/>
      <c r="CH229" s="473"/>
      <c r="CI229" s="473"/>
    </row>
    <row r="230" spans="1:87" ht="12.75" customHeight="1" x14ac:dyDescent="0.2">
      <c r="A230" s="473"/>
      <c r="B230" s="473"/>
      <c r="C230" s="473"/>
      <c r="D230" s="473"/>
      <c r="E230" s="473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  <c r="AL230" s="473"/>
      <c r="AM230" s="473"/>
      <c r="AN230" s="473"/>
      <c r="AO230" s="473"/>
      <c r="AP230" s="575"/>
      <c r="AQ230" s="575"/>
      <c r="AR230" s="575"/>
      <c r="AS230" s="575"/>
      <c r="AT230" s="575"/>
      <c r="AU230" s="575"/>
      <c r="AV230" s="575"/>
      <c r="AW230" s="575"/>
      <c r="AX230" s="575"/>
      <c r="AY230" s="575"/>
      <c r="AZ230" s="575"/>
      <c r="BA230" s="575"/>
      <c r="BB230" s="575"/>
      <c r="BC230" s="575"/>
      <c r="BD230" s="575"/>
      <c r="BE230" s="575"/>
      <c r="BF230" s="575"/>
      <c r="BG230" s="575"/>
      <c r="BH230" s="575"/>
      <c r="BI230" s="473"/>
      <c r="BJ230" s="473"/>
      <c r="BK230" s="473"/>
      <c r="BL230" s="473"/>
      <c r="BM230" s="473"/>
      <c r="BN230" s="473"/>
      <c r="BO230" s="473"/>
      <c r="BP230" s="473"/>
      <c r="BQ230" s="473"/>
      <c r="BR230" s="473"/>
      <c r="BS230" s="473"/>
      <c r="BT230" s="473"/>
      <c r="BU230" s="473"/>
      <c r="BV230" s="473"/>
      <c r="BW230" s="473"/>
      <c r="BX230" s="473"/>
      <c r="BY230" s="473"/>
      <c r="BZ230" s="473"/>
      <c r="CA230" s="473"/>
      <c r="CB230" s="473"/>
      <c r="CC230" s="473"/>
      <c r="CD230" s="473"/>
      <c r="CE230" s="473"/>
      <c r="CF230" s="473"/>
      <c r="CG230" s="473"/>
      <c r="CH230" s="473"/>
      <c r="CI230" s="473"/>
    </row>
    <row r="231" spans="1:87" ht="12.75" customHeight="1" x14ac:dyDescent="0.2">
      <c r="A231" s="473"/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  <c r="AL231" s="473"/>
      <c r="AM231" s="473"/>
      <c r="AN231" s="473"/>
      <c r="AO231" s="473"/>
      <c r="AP231" s="575"/>
      <c r="AQ231" s="575"/>
      <c r="AR231" s="575"/>
      <c r="AS231" s="575"/>
      <c r="AT231" s="575"/>
      <c r="AU231" s="575"/>
      <c r="AV231" s="575"/>
      <c r="AW231" s="575"/>
      <c r="AX231" s="575"/>
      <c r="AY231" s="575"/>
      <c r="AZ231" s="575"/>
      <c r="BA231" s="575"/>
      <c r="BB231" s="575"/>
      <c r="BC231" s="575"/>
      <c r="BD231" s="575"/>
      <c r="BE231" s="575"/>
      <c r="BF231" s="575"/>
      <c r="BG231" s="575"/>
      <c r="BH231" s="575"/>
      <c r="BI231" s="473"/>
      <c r="BJ231" s="473"/>
      <c r="BK231" s="473"/>
      <c r="BL231" s="473"/>
      <c r="BM231" s="473"/>
      <c r="BN231" s="473"/>
      <c r="BO231" s="473"/>
      <c r="BP231" s="473"/>
      <c r="BQ231" s="473"/>
      <c r="BR231" s="473"/>
      <c r="BS231" s="473"/>
      <c r="BT231" s="473"/>
      <c r="BU231" s="473"/>
      <c r="BV231" s="473"/>
      <c r="BW231" s="473"/>
      <c r="BX231" s="473"/>
      <c r="BY231" s="473"/>
      <c r="BZ231" s="473"/>
      <c r="CA231" s="473"/>
      <c r="CB231" s="473"/>
      <c r="CC231" s="473"/>
      <c r="CD231" s="473"/>
      <c r="CE231" s="473"/>
      <c r="CF231" s="473"/>
      <c r="CG231" s="473"/>
      <c r="CH231" s="473"/>
      <c r="CI231" s="473"/>
    </row>
    <row r="232" spans="1:87" ht="12.75" customHeight="1" x14ac:dyDescent="0.2">
      <c r="A232" s="473"/>
      <c r="B232" s="473"/>
      <c r="C232" s="473"/>
      <c r="D232" s="473"/>
      <c r="E232" s="473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  <c r="AL232" s="473"/>
      <c r="AM232" s="473"/>
      <c r="AN232" s="473"/>
      <c r="AO232" s="473"/>
      <c r="AP232" s="575"/>
      <c r="AQ232" s="575"/>
      <c r="AR232" s="575"/>
      <c r="AS232" s="575"/>
      <c r="AT232" s="575"/>
      <c r="AU232" s="575"/>
      <c r="AV232" s="575"/>
      <c r="AW232" s="575"/>
      <c r="AX232" s="575"/>
      <c r="AY232" s="575"/>
      <c r="AZ232" s="575"/>
      <c r="BA232" s="575"/>
      <c r="BB232" s="575"/>
      <c r="BC232" s="575"/>
      <c r="BD232" s="575"/>
      <c r="BE232" s="575"/>
      <c r="BF232" s="575"/>
      <c r="BG232" s="575"/>
      <c r="BH232" s="575"/>
      <c r="BI232" s="473"/>
      <c r="BJ232" s="473"/>
      <c r="BK232" s="473"/>
      <c r="BL232" s="473"/>
      <c r="BM232" s="473"/>
      <c r="BN232" s="473"/>
      <c r="BO232" s="473"/>
      <c r="BP232" s="473"/>
      <c r="BQ232" s="473"/>
      <c r="BR232" s="473"/>
      <c r="BS232" s="473"/>
      <c r="BT232" s="473"/>
      <c r="BU232" s="473"/>
      <c r="BV232" s="473"/>
      <c r="BW232" s="473"/>
      <c r="BX232" s="473"/>
      <c r="BY232" s="473"/>
      <c r="BZ232" s="473"/>
      <c r="CA232" s="473"/>
      <c r="CB232" s="473"/>
      <c r="CC232" s="473"/>
      <c r="CD232" s="473"/>
      <c r="CE232" s="473"/>
      <c r="CF232" s="473"/>
      <c r="CG232" s="473"/>
      <c r="CH232" s="473"/>
      <c r="CI232" s="473"/>
    </row>
    <row r="233" spans="1:87" ht="12.75" customHeight="1" x14ac:dyDescent="0.2">
      <c r="A233" s="473"/>
      <c r="B233" s="473"/>
      <c r="C233" s="473"/>
      <c r="D233" s="473"/>
      <c r="E233" s="473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  <c r="AL233" s="473"/>
      <c r="AM233" s="473"/>
      <c r="AN233" s="473"/>
      <c r="AO233" s="473"/>
      <c r="AP233" s="575"/>
      <c r="AQ233" s="575"/>
      <c r="AR233" s="575"/>
      <c r="AS233" s="575"/>
      <c r="AT233" s="575"/>
      <c r="AU233" s="575"/>
      <c r="AV233" s="575"/>
      <c r="AW233" s="575"/>
      <c r="AX233" s="575"/>
      <c r="AY233" s="575"/>
      <c r="AZ233" s="575"/>
      <c r="BA233" s="575"/>
      <c r="BB233" s="575"/>
      <c r="BC233" s="575"/>
      <c r="BD233" s="575"/>
      <c r="BE233" s="575"/>
      <c r="BF233" s="575"/>
      <c r="BG233" s="575"/>
      <c r="BH233" s="575"/>
      <c r="BI233" s="473"/>
      <c r="BJ233" s="473"/>
      <c r="BK233" s="473"/>
      <c r="BL233" s="473"/>
      <c r="BM233" s="473"/>
      <c r="BN233" s="473"/>
      <c r="BO233" s="473"/>
      <c r="BP233" s="473"/>
      <c r="BQ233" s="473"/>
      <c r="BR233" s="473"/>
      <c r="BS233" s="473"/>
      <c r="BT233" s="473"/>
      <c r="BU233" s="473"/>
      <c r="BV233" s="473"/>
      <c r="BW233" s="473"/>
      <c r="BX233" s="473"/>
      <c r="BY233" s="473"/>
      <c r="BZ233" s="473"/>
      <c r="CA233" s="473"/>
      <c r="CB233" s="473"/>
      <c r="CC233" s="473"/>
      <c r="CD233" s="473"/>
      <c r="CE233" s="473"/>
      <c r="CF233" s="473"/>
      <c r="CG233" s="473"/>
      <c r="CH233" s="473"/>
      <c r="CI233" s="473"/>
    </row>
    <row r="234" spans="1:87" ht="12.75" customHeight="1" x14ac:dyDescent="0.2">
      <c r="A234" s="473"/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  <c r="AL234" s="473"/>
      <c r="AM234" s="473"/>
      <c r="AN234" s="473"/>
      <c r="AO234" s="473"/>
      <c r="AP234" s="575"/>
      <c r="AQ234" s="575"/>
      <c r="AR234" s="575"/>
      <c r="AS234" s="575"/>
      <c r="AT234" s="575"/>
      <c r="AU234" s="575"/>
      <c r="AV234" s="575"/>
      <c r="AW234" s="575"/>
      <c r="AX234" s="575"/>
      <c r="AY234" s="575"/>
      <c r="AZ234" s="575"/>
      <c r="BA234" s="575"/>
      <c r="BB234" s="575"/>
      <c r="BC234" s="575"/>
      <c r="BD234" s="575"/>
      <c r="BE234" s="575"/>
      <c r="BF234" s="575"/>
      <c r="BG234" s="575"/>
      <c r="BH234" s="575"/>
      <c r="BI234" s="473"/>
      <c r="BJ234" s="473"/>
      <c r="BK234" s="473"/>
      <c r="BL234" s="473"/>
      <c r="BM234" s="473"/>
      <c r="BN234" s="473"/>
      <c r="BO234" s="473"/>
      <c r="BP234" s="473"/>
      <c r="BQ234" s="473"/>
      <c r="BR234" s="473"/>
      <c r="BS234" s="473"/>
      <c r="BT234" s="473"/>
      <c r="BU234" s="473"/>
      <c r="BV234" s="473"/>
      <c r="BW234" s="473"/>
      <c r="BX234" s="473"/>
      <c r="BY234" s="473"/>
      <c r="BZ234" s="473"/>
      <c r="CA234" s="473"/>
      <c r="CB234" s="473"/>
      <c r="CC234" s="473"/>
      <c r="CD234" s="473"/>
      <c r="CE234" s="473"/>
      <c r="CF234" s="473"/>
      <c r="CG234" s="473"/>
      <c r="CH234" s="473"/>
      <c r="CI234" s="473"/>
    </row>
    <row r="235" spans="1:87" ht="12.75" customHeight="1" x14ac:dyDescent="0.2">
      <c r="A235" s="473"/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  <c r="AL235" s="473"/>
      <c r="AM235" s="473"/>
      <c r="AN235" s="473"/>
      <c r="AO235" s="473"/>
      <c r="AP235" s="575"/>
      <c r="AQ235" s="575"/>
      <c r="AR235" s="575"/>
      <c r="AS235" s="575"/>
      <c r="AT235" s="575"/>
      <c r="AU235" s="575"/>
      <c r="AV235" s="575"/>
      <c r="AW235" s="575"/>
      <c r="AX235" s="575"/>
      <c r="AY235" s="575"/>
      <c r="AZ235" s="575"/>
      <c r="BA235" s="575"/>
      <c r="BB235" s="575"/>
      <c r="BC235" s="575"/>
      <c r="BD235" s="575"/>
      <c r="BE235" s="575"/>
      <c r="BF235" s="575"/>
      <c r="BG235" s="575"/>
      <c r="BH235" s="575"/>
      <c r="BI235" s="473"/>
      <c r="BJ235" s="473"/>
      <c r="BK235" s="473"/>
      <c r="BL235" s="473"/>
      <c r="BM235" s="473"/>
      <c r="BN235" s="473"/>
      <c r="BO235" s="473"/>
      <c r="BP235" s="473"/>
      <c r="BQ235" s="473"/>
      <c r="BR235" s="473"/>
      <c r="BS235" s="473"/>
      <c r="BT235" s="473"/>
      <c r="BU235" s="473"/>
      <c r="BV235" s="473"/>
      <c r="BW235" s="473"/>
      <c r="BX235" s="473"/>
      <c r="BY235" s="473"/>
      <c r="BZ235" s="473"/>
      <c r="CA235" s="473"/>
      <c r="CB235" s="473"/>
      <c r="CC235" s="473"/>
      <c r="CD235" s="473"/>
      <c r="CE235" s="473"/>
      <c r="CF235" s="473"/>
      <c r="CG235" s="473"/>
      <c r="CH235" s="473"/>
      <c r="CI235" s="473"/>
    </row>
    <row r="236" spans="1:87" ht="12.75" customHeight="1" x14ac:dyDescent="0.2">
      <c r="A236" s="473"/>
      <c r="B236" s="473"/>
      <c r="C236" s="473"/>
      <c r="D236" s="473"/>
      <c r="E236" s="473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  <c r="AL236" s="473"/>
      <c r="AM236" s="473"/>
      <c r="AN236" s="473"/>
      <c r="AO236" s="473"/>
      <c r="AP236" s="575"/>
      <c r="AQ236" s="575"/>
      <c r="AR236" s="575"/>
      <c r="AS236" s="575"/>
      <c r="AT236" s="575"/>
      <c r="AU236" s="575"/>
      <c r="AV236" s="575"/>
      <c r="AW236" s="575"/>
      <c r="AX236" s="575"/>
      <c r="AY236" s="575"/>
      <c r="AZ236" s="575"/>
      <c r="BA236" s="575"/>
      <c r="BB236" s="575"/>
      <c r="BC236" s="575"/>
      <c r="BD236" s="575"/>
      <c r="BE236" s="575"/>
      <c r="BF236" s="575"/>
      <c r="BG236" s="575"/>
      <c r="BH236" s="575"/>
      <c r="BI236" s="473"/>
      <c r="BJ236" s="473"/>
      <c r="BK236" s="473"/>
      <c r="BL236" s="473"/>
      <c r="BM236" s="473"/>
      <c r="BN236" s="473"/>
      <c r="BO236" s="473"/>
      <c r="BP236" s="473"/>
      <c r="BQ236" s="473"/>
      <c r="BR236" s="473"/>
      <c r="BS236" s="473"/>
      <c r="BT236" s="473"/>
      <c r="BU236" s="473"/>
      <c r="BV236" s="473"/>
      <c r="BW236" s="473"/>
      <c r="BX236" s="473"/>
      <c r="BY236" s="473"/>
      <c r="BZ236" s="473"/>
      <c r="CA236" s="473"/>
      <c r="CB236" s="473"/>
      <c r="CC236" s="473"/>
      <c r="CD236" s="473"/>
      <c r="CE236" s="473"/>
      <c r="CF236" s="473"/>
      <c r="CG236" s="473"/>
      <c r="CH236" s="473"/>
      <c r="CI236" s="473"/>
    </row>
    <row r="237" spans="1:87" ht="12.75" customHeight="1" x14ac:dyDescent="0.2">
      <c r="A237" s="473"/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  <c r="AL237" s="473"/>
      <c r="AM237" s="473"/>
      <c r="AN237" s="473"/>
      <c r="AO237" s="473"/>
      <c r="AP237" s="575"/>
      <c r="AQ237" s="575"/>
      <c r="AR237" s="575"/>
      <c r="AS237" s="575"/>
      <c r="AT237" s="575"/>
      <c r="AU237" s="575"/>
      <c r="AV237" s="575"/>
      <c r="AW237" s="575"/>
      <c r="AX237" s="575"/>
      <c r="AY237" s="575"/>
      <c r="AZ237" s="575"/>
      <c r="BA237" s="575"/>
      <c r="BB237" s="575"/>
      <c r="BC237" s="575"/>
      <c r="BD237" s="575"/>
      <c r="BE237" s="575"/>
      <c r="BF237" s="575"/>
      <c r="BG237" s="575"/>
      <c r="BH237" s="575"/>
      <c r="BI237" s="473"/>
      <c r="BJ237" s="473"/>
      <c r="BK237" s="473"/>
      <c r="BL237" s="473"/>
      <c r="BM237" s="473"/>
      <c r="BN237" s="473"/>
      <c r="BO237" s="473"/>
      <c r="BP237" s="473"/>
      <c r="BQ237" s="473"/>
      <c r="BR237" s="473"/>
      <c r="BS237" s="473"/>
      <c r="BT237" s="473"/>
      <c r="BU237" s="473"/>
      <c r="BV237" s="473"/>
      <c r="BW237" s="473"/>
      <c r="BX237" s="473"/>
      <c r="BY237" s="473"/>
      <c r="BZ237" s="473"/>
      <c r="CA237" s="473"/>
      <c r="CB237" s="473"/>
      <c r="CC237" s="473"/>
      <c r="CD237" s="473"/>
      <c r="CE237" s="473"/>
      <c r="CF237" s="473"/>
      <c r="CG237" s="473"/>
      <c r="CH237" s="473"/>
      <c r="CI237" s="473"/>
    </row>
    <row r="238" spans="1:87" ht="12.75" customHeight="1" x14ac:dyDescent="0.2">
      <c r="A238" s="473"/>
      <c r="B238" s="473"/>
      <c r="C238" s="473"/>
      <c r="D238" s="473"/>
      <c r="E238" s="473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  <c r="AL238" s="473"/>
      <c r="AM238" s="473"/>
      <c r="AN238" s="473"/>
      <c r="AO238" s="473"/>
      <c r="AP238" s="575"/>
      <c r="AQ238" s="575"/>
      <c r="AR238" s="575"/>
      <c r="AS238" s="575"/>
      <c r="AT238" s="575"/>
      <c r="AU238" s="575"/>
      <c r="AV238" s="575"/>
      <c r="AW238" s="575"/>
      <c r="AX238" s="575"/>
      <c r="AY238" s="575"/>
      <c r="AZ238" s="575"/>
      <c r="BA238" s="575"/>
      <c r="BB238" s="575"/>
      <c r="BC238" s="575"/>
      <c r="BD238" s="575"/>
      <c r="BE238" s="575"/>
      <c r="BF238" s="575"/>
      <c r="BG238" s="575"/>
      <c r="BH238" s="575"/>
      <c r="BI238" s="473"/>
      <c r="BJ238" s="473"/>
      <c r="BK238" s="473"/>
      <c r="BL238" s="473"/>
      <c r="BM238" s="473"/>
      <c r="BN238" s="473"/>
      <c r="BO238" s="473"/>
      <c r="BP238" s="473"/>
      <c r="BQ238" s="473"/>
      <c r="BR238" s="473"/>
      <c r="BS238" s="473"/>
      <c r="BT238" s="473"/>
      <c r="BU238" s="473"/>
      <c r="BV238" s="473"/>
      <c r="BW238" s="473"/>
      <c r="BX238" s="473"/>
      <c r="BY238" s="473"/>
      <c r="BZ238" s="473"/>
      <c r="CA238" s="473"/>
      <c r="CB238" s="473"/>
      <c r="CC238" s="473"/>
      <c r="CD238" s="473"/>
      <c r="CE238" s="473"/>
      <c r="CF238" s="473"/>
      <c r="CG238" s="473"/>
      <c r="CH238" s="473"/>
      <c r="CI238" s="473"/>
    </row>
    <row r="239" spans="1:87" ht="12.75" customHeight="1" x14ac:dyDescent="0.2">
      <c r="A239" s="473"/>
      <c r="B239" s="473"/>
      <c r="C239" s="473"/>
      <c r="D239" s="473"/>
      <c r="E239" s="473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  <c r="AL239" s="473"/>
      <c r="AM239" s="473"/>
      <c r="AN239" s="473"/>
      <c r="AO239" s="473"/>
      <c r="AP239" s="575"/>
      <c r="AQ239" s="575"/>
      <c r="AR239" s="575"/>
      <c r="AS239" s="575"/>
      <c r="AT239" s="575"/>
      <c r="AU239" s="575"/>
      <c r="AV239" s="575"/>
      <c r="AW239" s="575"/>
      <c r="AX239" s="575"/>
      <c r="AY239" s="575"/>
      <c r="AZ239" s="575"/>
      <c r="BA239" s="575"/>
      <c r="BB239" s="575"/>
      <c r="BC239" s="575"/>
      <c r="BD239" s="575"/>
      <c r="BE239" s="575"/>
      <c r="BF239" s="575"/>
      <c r="BG239" s="575"/>
      <c r="BH239" s="575"/>
      <c r="BI239" s="473"/>
      <c r="BJ239" s="473"/>
      <c r="BK239" s="473"/>
      <c r="BL239" s="473"/>
      <c r="BM239" s="473"/>
      <c r="BN239" s="473"/>
      <c r="BO239" s="473"/>
      <c r="BP239" s="473"/>
      <c r="BQ239" s="473"/>
      <c r="BR239" s="473"/>
      <c r="BS239" s="473"/>
      <c r="BT239" s="473"/>
      <c r="BU239" s="473"/>
      <c r="BV239" s="473"/>
      <c r="BW239" s="473"/>
      <c r="BX239" s="473"/>
      <c r="BY239" s="473"/>
      <c r="BZ239" s="473"/>
      <c r="CA239" s="473"/>
      <c r="CB239" s="473"/>
      <c r="CC239" s="473"/>
      <c r="CD239" s="473"/>
      <c r="CE239" s="473"/>
      <c r="CF239" s="473"/>
      <c r="CG239" s="473"/>
      <c r="CH239" s="473"/>
      <c r="CI239" s="473"/>
    </row>
    <row r="240" spans="1:87" ht="12.75" customHeight="1" x14ac:dyDescent="0.2">
      <c r="A240" s="473"/>
      <c r="B240" s="473"/>
      <c r="C240" s="473"/>
      <c r="D240" s="473"/>
      <c r="E240" s="473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  <c r="AL240" s="473"/>
      <c r="AM240" s="473"/>
      <c r="AN240" s="473"/>
      <c r="AO240" s="473"/>
      <c r="AP240" s="575"/>
      <c r="AQ240" s="575"/>
      <c r="AR240" s="575"/>
      <c r="AS240" s="575"/>
      <c r="AT240" s="575"/>
      <c r="AU240" s="575"/>
      <c r="AV240" s="575"/>
      <c r="AW240" s="575"/>
      <c r="AX240" s="575"/>
      <c r="AY240" s="575"/>
      <c r="AZ240" s="575"/>
      <c r="BA240" s="575"/>
      <c r="BB240" s="575"/>
      <c r="BC240" s="575"/>
      <c r="BD240" s="575"/>
      <c r="BE240" s="575"/>
      <c r="BF240" s="575"/>
      <c r="BG240" s="575"/>
      <c r="BH240" s="575"/>
      <c r="BI240" s="473"/>
      <c r="BJ240" s="473"/>
      <c r="BK240" s="473"/>
      <c r="BL240" s="473"/>
      <c r="BM240" s="473"/>
      <c r="BN240" s="473"/>
      <c r="BO240" s="473"/>
      <c r="BP240" s="473"/>
      <c r="BQ240" s="473"/>
      <c r="BR240" s="473"/>
      <c r="BS240" s="473"/>
      <c r="BT240" s="473"/>
      <c r="BU240" s="473"/>
      <c r="BV240" s="473"/>
      <c r="BW240" s="473"/>
      <c r="BX240" s="473"/>
      <c r="BY240" s="473"/>
      <c r="BZ240" s="473"/>
      <c r="CA240" s="473"/>
      <c r="CB240" s="473"/>
      <c r="CC240" s="473"/>
      <c r="CD240" s="473"/>
      <c r="CE240" s="473"/>
      <c r="CF240" s="473"/>
      <c r="CG240" s="473"/>
      <c r="CH240" s="473"/>
      <c r="CI240" s="473"/>
    </row>
    <row r="241" spans="1:87" ht="12.75" customHeight="1" x14ac:dyDescent="0.2">
      <c r="A241" s="473"/>
      <c r="B241" s="473"/>
      <c r="C241" s="473"/>
      <c r="D241" s="473"/>
      <c r="E241" s="473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  <c r="AL241" s="473"/>
      <c r="AM241" s="473"/>
      <c r="AN241" s="473"/>
      <c r="AO241" s="473"/>
      <c r="AP241" s="575"/>
      <c r="AQ241" s="575"/>
      <c r="AR241" s="575"/>
      <c r="AS241" s="575"/>
      <c r="AT241" s="575"/>
      <c r="AU241" s="575"/>
      <c r="AV241" s="575"/>
      <c r="AW241" s="575"/>
      <c r="AX241" s="575"/>
      <c r="AY241" s="575"/>
      <c r="AZ241" s="575"/>
      <c r="BA241" s="575"/>
      <c r="BB241" s="575"/>
      <c r="BC241" s="575"/>
      <c r="BD241" s="575"/>
      <c r="BE241" s="575"/>
      <c r="BF241" s="575"/>
      <c r="BG241" s="575"/>
      <c r="BH241" s="575"/>
      <c r="BI241" s="473"/>
      <c r="BJ241" s="473"/>
      <c r="BK241" s="473"/>
      <c r="BL241" s="473"/>
      <c r="BM241" s="473"/>
      <c r="BN241" s="473"/>
      <c r="BO241" s="473"/>
      <c r="BP241" s="473"/>
      <c r="BQ241" s="473"/>
      <c r="BR241" s="473"/>
      <c r="BS241" s="473"/>
      <c r="BT241" s="473"/>
      <c r="BU241" s="473"/>
      <c r="BV241" s="473"/>
      <c r="BW241" s="473"/>
      <c r="BX241" s="473"/>
      <c r="BY241" s="473"/>
      <c r="BZ241" s="473"/>
      <c r="CA241" s="473"/>
      <c r="CB241" s="473"/>
      <c r="CC241" s="473"/>
      <c r="CD241" s="473"/>
      <c r="CE241" s="473"/>
      <c r="CF241" s="473"/>
      <c r="CG241" s="473"/>
      <c r="CH241" s="473"/>
      <c r="CI241" s="473"/>
    </row>
    <row r="242" spans="1:87" ht="12.75" customHeight="1" x14ac:dyDescent="0.2">
      <c r="A242" s="473"/>
      <c r="B242" s="473"/>
      <c r="C242" s="473"/>
      <c r="D242" s="473"/>
      <c r="E242" s="473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  <c r="AL242" s="473"/>
      <c r="AM242" s="473"/>
      <c r="AN242" s="473"/>
      <c r="AO242" s="473"/>
      <c r="AP242" s="575"/>
      <c r="AQ242" s="575"/>
      <c r="AR242" s="575"/>
      <c r="AS242" s="575"/>
      <c r="AT242" s="575"/>
      <c r="AU242" s="575"/>
      <c r="AV242" s="575"/>
      <c r="AW242" s="575"/>
      <c r="AX242" s="575"/>
      <c r="AY242" s="575"/>
      <c r="AZ242" s="575"/>
      <c r="BA242" s="575"/>
      <c r="BB242" s="575"/>
      <c r="BC242" s="575"/>
      <c r="BD242" s="575"/>
      <c r="BE242" s="575"/>
      <c r="BF242" s="575"/>
      <c r="BG242" s="575"/>
      <c r="BH242" s="575"/>
      <c r="BI242" s="473"/>
      <c r="BJ242" s="473"/>
      <c r="BK242" s="473"/>
      <c r="BL242" s="473"/>
      <c r="BM242" s="473"/>
      <c r="BN242" s="473"/>
      <c r="BO242" s="473"/>
      <c r="BP242" s="473"/>
      <c r="BQ242" s="473"/>
      <c r="BR242" s="473"/>
      <c r="BS242" s="473"/>
      <c r="BT242" s="473"/>
      <c r="BU242" s="473"/>
      <c r="BV242" s="473"/>
      <c r="BW242" s="473"/>
      <c r="BX242" s="473"/>
      <c r="BY242" s="473"/>
      <c r="BZ242" s="473"/>
      <c r="CA242" s="473"/>
      <c r="CB242" s="473"/>
      <c r="CC242" s="473"/>
      <c r="CD242" s="473"/>
      <c r="CE242" s="473"/>
      <c r="CF242" s="473"/>
      <c r="CG242" s="473"/>
      <c r="CH242" s="473"/>
      <c r="CI242" s="473"/>
    </row>
    <row r="243" spans="1:87" ht="12.75" customHeight="1" x14ac:dyDescent="0.2">
      <c r="A243" s="473"/>
      <c r="B243" s="473"/>
      <c r="C243" s="473"/>
      <c r="D243" s="473"/>
      <c r="E243" s="473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  <c r="AL243" s="473"/>
      <c r="AM243" s="473"/>
      <c r="AN243" s="473"/>
      <c r="AO243" s="473"/>
      <c r="AP243" s="575"/>
      <c r="AQ243" s="575"/>
      <c r="AR243" s="575"/>
      <c r="AS243" s="575"/>
      <c r="AT243" s="575"/>
      <c r="AU243" s="575"/>
      <c r="AV243" s="575"/>
      <c r="AW243" s="575"/>
      <c r="AX243" s="575"/>
      <c r="AY243" s="575"/>
      <c r="AZ243" s="575"/>
      <c r="BA243" s="575"/>
      <c r="BB243" s="575"/>
      <c r="BC243" s="575"/>
      <c r="BD243" s="575"/>
      <c r="BE243" s="575"/>
      <c r="BF243" s="575"/>
      <c r="BG243" s="575"/>
      <c r="BH243" s="575"/>
      <c r="BI243" s="473"/>
      <c r="BJ243" s="473"/>
      <c r="BK243" s="473"/>
      <c r="BL243" s="473"/>
      <c r="BM243" s="473"/>
      <c r="BN243" s="473"/>
      <c r="BO243" s="473"/>
      <c r="BP243" s="473"/>
      <c r="BQ243" s="473"/>
      <c r="BR243" s="473"/>
      <c r="BS243" s="473"/>
      <c r="BT243" s="473"/>
      <c r="BU243" s="473"/>
      <c r="BV243" s="473"/>
      <c r="BW243" s="473"/>
      <c r="BX243" s="473"/>
      <c r="BY243" s="473"/>
      <c r="BZ243" s="473"/>
      <c r="CA243" s="473"/>
      <c r="CB243" s="473"/>
      <c r="CC243" s="473"/>
      <c r="CD243" s="473"/>
      <c r="CE243" s="473"/>
      <c r="CF243" s="473"/>
      <c r="CG243" s="473"/>
      <c r="CH243" s="473"/>
      <c r="CI243" s="473"/>
    </row>
    <row r="244" spans="1:87" ht="12.75" customHeight="1" x14ac:dyDescent="0.2">
      <c r="A244" s="473"/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  <c r="AL244" s="473"/>
      <c r="AM244" s="473"/>
      <c r="AN244" s="473"/>
      <c r="AO244" s="473"/>
      <c r="AP244" s="575"/>
      <c r="AQ244" s="575"/>
      <c r="AR244" s="575"/>
      <c r="AS244" s="575"/>
      <c r="AT244" s="575"/>
      <c r="AU244" s="575"/>
      <c r="AV244" s="575"/>
      <c r="AW244" s="575"/>
      <c r="AX244" s="575"/>
      <c r="AY244" s="575"/>
      <c r="AZ244" s="575"/>
      <c r="BA244" s="575"/>
      <c r="BB244" s="575"/>
      <c r="BC244" s="575"/>
      <c r="BD244" s="575"/>
      <c r="BE244" s="575"/>
      <c r="BF244" s="575"/>
      <c r="BG244" s="575"/>
      <c r="BH244" s="575"/>
      <c r="BI244" s="473"/>
      <c r="BJ244" s="473"/>
      <c r="BK244" s="473"/>
      <c r="BL244" s="473"/>
      <c r="BM244" s="473"/>
      <c r="BN244" s="473"/>
      <c r="BO244" s="473"/>
      <c r="BP244" s="473"/>
      <c r="BQ244" s="473"/>
      <c r="BR244" s="473"/>
      <c r="BS244" s="473"/>
      <c r="BT244" s="473"/>
      <c r="BU244" s="473"/>
      <c r="BV244" s="473"/>
      <c r="BW244" s="473"/>
      <c r="BX244" s="473"/>
      <c r="BY244" s="473"/>
      <c r="BZ244" s="473"/>
      <c r="CA244" s="473"/>
      <c r="CB244" s="473"/>
      <c r="CC244" s="473"/>
      <c r="CD244" s="473"/>
      <c r="CE244" s="473"/>
      <c r="CF244" s="473"/>
      <c r="CG244" s="473"/>
      <c r="CH244" s="473"/>
      <c r="CI244" s="473"/>
    </row>
    <row r="245" spans="1:87" ht="12.75" customHeight="1" x14ac:dyDescent="0.2">
      <c r="A245" s="473"/>
      <c r="B245" s="473"/>
      <c r="C245" s="473"/>
      <c r="D245" s="473"/>
      <c r="E245" s="473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  <c r="AL245" s="473"/>
      <c r="AM245" s="473"/>
      <c r="AN245" s="473"/>
      <c r="AO245" s="473"/>
      <c r="AP245" s="575"/>
      <c r="AQ245" s="575"/>
      <c r="AR245" s="575"/>
      <c r="AS245" s="575"/>
      <c r="AT245" s="575"/>
      <c r="AU245" s="575"/>
      <c r="AV245" s="575"/>
      <c r="AW245" s="575"/>
      <c r="AX245" s="575"/>
      <c r="AY245" s="575"/>
      <c r="AZ245" s="575"/>
      <c r="BA245" s="575"/>
      <c r="BB245" s="575"/>
      <c r="BC245" s="575"/>
      <c r="BD245" s="575"/>
      <c r="BE245" s="575"/>
      <c r="BF245" s="575"/>
      <c r="BG245" s="575"/>
      <c r="BH245" s="575"/>
      <c r="BI245" s="473"/>
      <c r="BJ245" s="473"/>
      <c r="BK245" s="473"/>
      <c r="BL245" s="473"/>
      <c r="BM245" s="473"/>
      <c r="BN245" s="473"/>
      <c r="BO245" s="473"/>
      <c r="BP245" s="473"/>
      <c r="BQ245" s="473"/>
      <c r="BR245" s="473"/>
      <c r="BS245" s="473"/>
      <c r="BT245" s="473"/>
      <c r="BU245" s="473"/>
      <c r="BV245" s="473"/>
      <c r="BW245" s="473"/>
      <c r="BX245" s="473"/>
      <c r="BY245" s="473"/>
      <c r="BZ245" s="473"/>
      <c r="CA245" s="473"/>
      <c r="CB245" s="473"/>
      <c r="CC245" s="473"/>
      <c r="CD245" s="473"/>
      <c r="CE245" s="473"/>
      <c r="CF245" s="473"/>
      <c r="CG245" s="473"/>
      <c r="CH245" s="473"/>
      <c r="CI245" s="473"/>
    </row>
    <row r="246" spans="1:87" ht="12.75" customHeight="1" x14ac:dyDescent="0.2">
      <c r="A246" s="473"/>
      <c r="B246" s="473"/>
      <c r="C246" s="473"/>
      <c r="D246" s="473"/>
      <c r="E246" s="473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  <c r="AL246" s="473"/>
      <c r="AM246" s="473"/>
      <c r="AN246" s="473"/>
      <c r="AO246" s="473"/>
      <c r="AP246" s="575"/>
      <c r="AQ246" s="575"/>
      <c r="AR246" s="575"/>
      <c r="AS246" s="575"/>
      <c r="AT246" s="575"/>
      <c r="AU246" s="575"/>
      <c r="AV246" s="575"/>
      <c r="AW246" s="575"/>
      <c r="AX246" s="575"/>
      <c r="AY246" s="575"/>
      <c r="AZ246" s="575"/>
      <c r="BA246" s="575"/>
      <c r="BB246" s="575"/>
      <c r="BC246" s="575"/>
      <c r="BD246" s="575"/>
      <c r="BE246" s="575"/>
      <c r="BF246" s="575"/>
      <c r="BG246" s="575"/>
      <c r="BH246" s="575"/>
      <c r="BI246" s="473"/>
      <c r="BJ246" s="473"/>
      <c r="BK246" s="473"/>
      <c r="BL246" s="473"/>
      <c r="BM246" s="473"/>
      <c r="BN246" s="473"/>
      <c r="BO246" s="473"/>
      <c r="BP246" s="473"/>
      <c r="BQ246" s="473"/>
      <c r="BR246" s="473"/>
      <c r="BS246" s="473"/>
      <c r="BT246" s="473"/>
      <c r="BU246" s="473"/>
      <c r="BV246" s="473"/>
      <c r="BW246" s="473"/>
      <c r="BX246" s="473"/>
      <c r="BY246" s="473"/>
      <c r="BZ246" s="473"/>
      <c r="CA246" s="473"/>
      <c r="CB246" s="473"/>
      <c r="CC246" s="473"/>
      <c r="CD246" s="473"/>
      <c r="CE246" s="473"/>
      <c r="CF246" s="473"/>
      <c r="CG246" s="473"/>
      <c r="CH246" s="473"/>
      <c r="CI246" s="473"/>
    </row>
    <row r="247" spans="1:87" ht="12.75" customHeight="1" x14ac:dyDescent="0.2">
      <c r="A247" s="473"/>
      <c r="B247" s="473"/>
      <c r="C247" s="473"/>
      <c r="D247" s="473"/>
      <c r="E247" s="473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  <c r="AL247" s="473"/>
      <c r="AM247" s="473"/>
      <c r="AN247" s="473"/>
      <c r="AO247" s="473"/>
      <c r="AP247" s="575"/>
      <c r="AQ247" s="575"/>
      <c r="AR247" s="575"/>
      <c r="AS247" s="575"/>
      <c r="AT247" s="575"/>
      <c r="AU247" s="575"/>
      <c r="AV247" s="575"/>
      <c r="AW247" s="575"/>
      <c r="AX247" s="575"/>
      <c r="AY247" s="575"/>
      <c r="AZ247" s="575"/>
      <c r="BA247" s="575"/>
      <c r="BB247" s="575"/>
      <c r="BC247" s="575"/>
      <c r="BD247" s="575"/>
      <c r="BE247" s="575"/>
      <c r="BF247" s="575"/>
      <c r="BG247" s="575"/>
      <c r="BH247" s="575"/>
      <c r="BI247" s="473"/>
      <c r="BJ247" s="473"/>
      <c r="BK247" s="473"/>
      <c r="BL247" s="473"/>
      <c r="BM247" s="473"/>
      <c r="BN247" s="473"/>
      <c r="BO247" s="473"/>
      <c r="BP247" s="473"/>
      <c r="BQ247" s="473"/>
      <c r="BR247" s="473"/>
      <c r="BS247" s="473"/>
      <c r="BT247" s="473"/>
      <c r="BU247" s="473"/>
      <c r="BV247" s="473"/>
      <c r="BW247" s="473"/>
      <c r="BX247" s="473"/>
      <c r="BY247" s="473"/>
      <c r="BZ247" s="473"/>
      <c r="CA247" s="473"/>
      <c r="CB247" s="473"/>
      <c r="CC247" s="473"/>
      <c r="CD247" s="473"/>
      <c r="CE247" s="473"/>
      <c r="CF247" s="473"/>
      <c r="CG247" s="473"/>
      <c r="CH247" s="473"/>
      <c r="CI247" s="473"/>
    </row>
    <row r="248" spans="1:87" ht="12.75" customHeight="1" x14ac:dyDescent="0.2">
      <c r="A248" s="473"/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  <c r="AL248" s="473"/>
      <c r="AM248" s="473"/>
      <c r="AN248" s="473"/>
      <c r="AO248" s="473"/>
      <c r="AP248" s="575"/>
      <c r="AQ248" s="575"/>
      <c r="AR248" s="575"/>
      <c r="AS248" s="575"/>
      <c r="AT248" s="575"/>
      <c r="AU248" s="575"/>
      <c r="AV248" s="575"/>
      <c r="AW248" s="575"/>
      <c r="AX248" s="575"/>
      <c r="AY248" s="575"/>
      <c r="AZ248" s="575"/>
      <c r="BA248" s="575"/>
      <c r="BB248" s="575"/>
      <c r="BC248" s="575"/>
      <c r="BD248" s="575"/>
      <c r="BE248" s="575"/>
      <c r="BF248" s="575"/>
      <c r="BG248" s="575"/>
      <c r="BH248" s="575"/>
      <c r="BI248" s="473"/>
      <c r="BJ248" s="473"/>
      <c r="BK248" s="473"/>
      <c r="BL248" s="473"/>
      <c r="BM248" s="473"/>
      <c r="BN248" s="473"/>
      <c r="BO248" s="473"/>
      <c r="BP248" s="473"/>
      <c r="BQ248" s="473"/>
      <c r="BR248" s="473"/>
      <c r="BS248" s="473"/>
      <c r="BT248" s="473"/>
      <c r="BU248" s="473"/>
      <c r="BV248" s="473"/>
      <c r="BW248" s="473"/>
      <c r="BX248" s="473"/>
      <c r="BY248" s="473"/>
      <c r="BZ248" s="473"/>
      <c r="CA248" s="473"/>
      <c r="CB248" s="473"/>
      <c r="CC248" s="473"/>
      <c r="CD248" s="473"/>
      <c r="CE248" s="473"/>
      <c r="CF248" s="473"/>
      <c r="CG248" s="473"/>
      <c r="CH248" s="473"/>
      <c r="CI248" s="473"/>
    </row>
    <row r="249" spans="1:87" ht="12.75" customHeight="1" x14ac:dyDescent="0.2">
      <c r="A249" s="473"/>
      <c r="B249" s="473"/>
      <c r="C249" s="473"/>
      <c r="D249" s="473"/>
      <c r="E249" s="473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  <c r="AL249" s="473"/>
      <c r="AM249" s="473"/>
      <c r="AN249" s="473"/>
      <c r="AO249" s="473"/>
      <c r="AP249" s="575"/>
      <c r="AQ249" s="575"/>
      <c r="AR249" s="575"/>
      <c r="AS249" s="575"/>
      <c r="AT249" s="575"/>
      <c r="AU249" s="575"/>
      <c r="AV249" s="575"/>
      <c r="AW249" s="575"/>
      <c r="AX249" s="575"/>
      <c r="AY249" s="575"/>
      <c r="AZ249" s="575"/>
      <c r="BA249" s="575"/>
      <c r="BB249" s="575"/>
      <c r="BC249" s="575"/>
      <c r="BD249" s="575"/>
      <c r="BE249" s="575"/>
      <c r="BF249" s="575"/>
      <c r="BG249" s="575"/>
      <c r="BH249" s="575"/>
      <c r="BI249" s="473"/>
      <c r="BJ249" s="473"/>
      <c r="BK249" s="473"/>
      <c r="BL249" s="473"/>
      <c r="BM249" s="473"/>
      <c r="BN249" s="473"/>
      <c r="BO249" s="473"/>
      <c r="BP249" s="473"/>
      <c r="BQ249" s="473"/>
      <c r="BR249" s="473"/>
      <c r="BS249" s="473"/>
      <c r="BT249" s="473"/>
      <c r="BU249" s="473"/>
      <c r="BV249" s="473"/>
      <c r="BW249" s="473"/>
      <c r="BX249" s="473"/>
      <c r="BY249" s="473"/>
      <c r="BZ249" s="473"/>
      <c r="CA249" s="473"/>
      <c r="CB249" s="473"/>
      <c r="CC249" s="473"/>
      <c r="CD249" s="473"/>
      <c r="CE249" s="473"/>
      <c r="CF249" s="473"/>
      <c r="CG249" s="473"/>
      <c r="CH249" s="473"/>
      <c r="CI249" s="473"/>
    </row>
    <row r="250" spans="1:87" ht="12.75" customHeight="1" x14ac:dyDescent="0.2">
      <c r="A250" s="473"/>
      <c r="B250" s="473"/>
      <c r="C250" s="473"/>
      <c r="D250" s="473"/>
      <c r="E250" s="473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  <c r="AL250" s="473"/>
      <c r="AM250" s="473"/>
      <c r="AN250" s="473"/>
      <c r="AO250" s="473"/>
      <c r="AP250" s="575"/>
      <c r="AQ250" s="575"/>
      <c r="AR250" s="575"/>
      <c r="AS250" s="575"/>
      <c r="AT250" s="575"/>
      <c r="AU250" s="575"/>
      <c r="AV250" s="575"/>
      <c r="AW250" s="575"/>
      <c r="AX250" s="575"/>
      <c r="AY250" s="575"/>
      <c r="AZ250" s="575"/>
      <c r="BA250" s="575"/>
      <c r="BB250" s="575"/>
      <c r="BC250" s="575"/>
      <c r="BD250" s="575"/>
      <c r="BE250" s="575"/>
      <c r="BF250" s="575"/>
      <c r="BG250" s="575"/>
      <c r="BH250" s="575"/>
      <c r="BI250" s="473"/>
      <c r="BJ250" s="473"/>
      <c r="BK250" s="473"/>
      <c r="BL250" s="473"/>
      <c r="BM250" s="473"/>
      <c r="BN250" s="473"/>
      <c r="BO250" s="473"/>
      <c r="BP250" s="473"/>
      <c r="BQ250" s="473"/>
      <c r="BR250" s="473"/>
      <c r="BS250" s="473"/>
      <c r="BT250" s="473"/>
      <c r="BU250" s="473"/>
      <c r="BV250" s="473"/>
      <c r="BW250" s="473"/>
      <c r="BX250" s="473"/>
      <c r="BY250" s="473"/>
      <c r="BZ250" s="473"/>
      <c r="CA250" s="473"/>
      <c r="CB250" s="473"/>
      <c r="CC250" s="473"/>
      <c r="CD250" s="473"/>
      <c r="CE250" s="473"/>
      <c r="CF250" s="473"/>
      <c r="CG250" s="473"/>
      <c r="CH250" s="473"/>
      <c r="CI250" s="473"/>
    </row>
    <row r="251" spans="1:87" ht="12.75" customHeight="1" x14ac:dyDescent="0.2">
      <c r="A251" s="473"/>
      <c r="B251" s="473"/>
      <c r="C251" s="473"/>
      <c r="D251" s="473"/>
      <c r="E251" s="473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  <c r="AL251" s="473"/>
      <c r="AM251" s="473"/>
      <c r="AN251" s="473"/>
      <c r="AO251" s="473"/>
      <c r="AP251" s="575"/>
      <c r="AQ251" s="575"/>
      <c r="AR251" s="575"/>
      <c r="AS251" s="575"/>
      <c r="AT251" s="575"/>
      <c r="AU251" s="575"/>
      <c r="AV251" s="575"/>
      <c r="AW251" s="575"/>
      <c r="AX251" s="575"/>
      <c r="AY251" s="575"/>
      <c r="AZ251" s="575"/>
      <c r="BA251" s="575"/>
      <c r="BB251" s="575"/>
      <c r="BC251" s="575"/>
      <c r="BD251" s="575"/>
      <c r="BE251" s="575"/>
      <c r="BF251" s="575"/>
      <c r="BG251" s="575"/>
      <c r="BH251" s="575"/>
      <c r="BI251" s="473"/>
      <c r="BJ251" s="473"/>
      <c r="BK251" s="473"/>
      <c r="BL251" s="473"/>
      <c r="BM251" s="473"/>
      <c r="BN251" s="473"/>
      <c r="BO251" s="473"/>
      <c r="BP251" s="473"/>
      <c r="BQ251" s="473"/>
      <c r="BR251" s="473"/>
      <c r="BS251" s="473"/>
      <c r="BT251" s="473"/>
      <c r="BU251" s="473"/>
      <c r="BV251" s="473"/>
      <c r="BW251" s="473"/>
      <c r="BX251" s="473"/>
      <c r="BY251" s="473"/>
      <c r="BZ251" s="473"/>
      <c r="CA251" s="473"/>
      <c r="CB251" s="473"/>
      <c r="CC251" s="473"/>
      <c r="CD251" s="473"/>
      <c r="CE251" s="473"/>
      <c r="CF251" s="473"/>
      <c r="CG251" s="473"/>
      <c r="CH251" s="473"/>
      <c r="CI251" s="473"/>
    </row>
    <row r="252" spans="1:87" ht="12.75" customHeight="1" x14ac:dyDescent="0.2">
      <c r="A252" s="473"/>
      <c r="B252" s="473"/>
      <c r="C252" s="473"/>
      <c r="D252" s="473"/>
      <c r="E252" s="473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  <c r="AL252" s="473"/>
      <c r="AM252" s="473"/>
      <c r="AN252" s="473"/>
      <c r="AO252" s="473"/>
      <c r="AP252" s="575"/>
      <c r="AQ252" s="575"/>
      <c r="AR252" s="575"/>
      <c r="AS252" s="575"/>
      <c r="AT252" s="575"/>
      <c r="AU252" s="575"/>
      <c r="AV252" s="575"/>
      <c r="AW252" s="575"/>
      <c r="AX252" s="575"/>
      <c r="AY252" s="575"/>
      <c r="AZ252" s="575"/>
      <c r="BA252" s="575"/>
      <c r="BB252" s="575"/>
      <c r="BC252" s="575"/>
      <c r="BD252" s="575"/>
      <c r="BE252" s="575"/>
      <c r="BF252" s="575"/>
      <c r="BG252" s="575"/>
      <c r="BH252" s="575"/>
      <c r="BI252" s="473"/>
      <c r="BJ252" s="473"/>
      <c r="BK252" s="473"/>
      <c r="BL252" s="473"/>
      <c r="BM252" s="473"/>
      <c r="BN252" s="473"/>
      <c r="BO252" s="473"/>
      <c r="BP252" s="473"/>
      <c r="BQ252" s="473"/>
      <c r="BR252" s="473"/>
      <c r="BS252" s="473"/>
      <c r="BT252" s="473"/>
      <c r="BU252" s="473"/>
      <c r="BV252" s="473"/>
      <c r="BW252" s="473"/>
      <c r="BX252" s="473"/>
      <c r="BY252" s="473"/>
      <c r="BZ252" s="473"/>
      <c r="CA252" s="473"/>
      <c r="CB252" s="473"/>
      <c r="CC252" s="473"/>
      <c r="CD252" s="473"/>
      <c r="CE252" s="473"/>
      <c r="CF252" s="473"/>
      <c r="CG252" s="473"/>
      <c r="CH252" s="473"/>
      <c r="CI252" s="473"/>
    </row>
    <row r="253" spans="1:87" ht="12.75" customHeight="1" x14ac:dyDescent="0.2">
      <c r="A253" s="473"/>
      <c r="B253" s="473"/>
      <c r="C253" s="473"/>
      <c r="D253" s="473"/>
      <c r="E253" s="473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  <c r="AL253" s="473"/>
      <c r="AM253" s="473"/>
      <c r="AN253" s="473"/>
      <c r="AO253" s="473"/>
      <c r="AP253" s="575"/>
      <c r="AQ253" s="575"/>
      <c r="AR253" s="575"/>
      <c r="AS253" s="575"/>
      <c r="AT253" s="575"/>
      <c r="AU253" s="575"/>
      <c r="AV253" s="575"/>
      <c r="AW253" s="575"/>
      <c r="AX253" s="575"/>
      <c r="AY253" s="575"/>
      <c r="AZ253" s="575"/>
      <c r="BA253" s="575"/>
      <c r="BB253" s="575"/>
      <c r="BC253" s="575"/>
      <c r="BD253" s="575"/>
      <c r="BE253" s="575"/>
      <c r="BF253" s="575"/>
      <c r="BG253" s="575"/>
      <c r="BH253" s="575"/>
      <c r="BI253" s="473"/>
      <c r="BJ253" s="473"/>
      <c r="BK253" s="473"/>
      <c r="BL253" s="473"/>
      <c r="BM253" s="473"/>
      <c r="BN253" s="473"/>
      <c r="BO253" s="473"/>
      <c r="BP253" s="473"/>
      <c r="BQ253" s="473"/>
      <c r="BR253" s="473"/>
      <c r="BS253" s="473"/>
      <c r="BT253" s="473"/>
      <c r="BU253" s="473"/>
      <c r="BV253" s="473"/>
      <c r="BW253" s="473"/>
      <c r="BX253" s="473"/>
      <c r="BY253" s="473"/>
      <c r="BZ253" s="473"/>
      <c r="CA253" s="473"/>
      <c r="CB253" s="473"/>
      <c r="CC253" s="473"/>
      <c r="CD253" s="473"/>
      <c r="CE253" s="473"/>
      <c r="CF253" s="473"/>
      <c r="CG253" s="473"/>
      <c r="CH253" s="473"/>
      <c r="CI253" s="473"/>
    </row>
    <row r="254" spans="1:87" ht="12.75" customHeight="1" x14ac:dyDescent="0.2">
      <c r="A254" s="473"/>
      <c r="B254" s="473"/>
      <c r="C254" s="473"/>
      <c r="D254" s="473"/>
      <c r="E254" s="473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  <c r="AL254" s="473"/>
      <c r="AM254" s="473"/>
      <c r="AN254" s="473"/>
      <c r="AO254" s="473"/>
      <c r="AP254" s="575"/>
      <c r="AQ254" s="575"/>
      <c r="AR254" s="575"/>
      <c r="AS254" s="575"/>
      <c r="AT254" s="575"/>
      <c r="AU254" s="575"/>
      <c r="AV254" s="575"/>
      <c r="AW254" s="575"/>
      <c r="AX254" s="575"/>
      <c r="AY254" s="575"/>
      <c r="AZ254" s="575"/>
      <c r="BA254" s="575"/>
      <c r="BB254" s="575"/>
      <c r="BC254" s="575"/>
      <c r="BD254" s="575"/>
      <c r="BE254" s="575"/>
      <c r="BF254" s="575"/>
      <c r="BG254" s="575"/>
      <c r="BH254" s="575"/>
      <c r="BI254" s="473"/>
      <c r="BJ254" s="473"/>
      <c r="BK254" s="473"/>
      <c r="BL254" s="473"/>
      <c r="BM254" s="473"/>
      <c r="BN254" s="473"/>
      <c r="BO254" s="473"/>
      <c r="BP254" s="473"/>
      <c r="BQ254" s="473"/>
      <c r="BR254" s="473"/>
      <c r="BS254" s="473"/>
      <c r="BT254" s="473"/>
      <c r="BU254" s="473"/>
      <c r="BV254" s="473"/>
      <c r="BW254" s="473"/>
      <c r="BX254" s="473"/>
      <c r="BY254" s="473"/>
      <c r="BZ254" s="473"/>
      <c r="CA254" s="473"/>
      <c r="CB254" s="473"/>
      <c r="CC254" s="473"/>
      <c r="CD254" s="473"/>
      <c r="CE254" s="473"/>
      <c r="CF254" s="473"/>
      <c r="CG254" s="473"/>
      <c r="CH254" s="473"/>
      <c r="CI254" s="473"/>
    </row>
    <row r="255" spans="1:87" ht="12.75" customHeight="1" x14ac:dyDescent="0.2">
      <c r="A255" s="473"/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  <c r="AL255" s="473"/>
      <c r="AM255" s="473"/>
      <c r="AN255" s="473"/>
      <c r="AO255" s="473"/>
      <c r="AP255" s="575"/>
      <c r="AQ255" s="575"/>
      <c r="AR255" s="575"/>
      <c r="AS255" s="575"/>
      <c r="AT255" s="575"/>
      <c r="AU255" s="575"/>
      <c r="AV255" s="575"/>
      <c r="AW255" s="575"/>
      <c r="AX255" s="575"/>
      <c r="AY255" s="575"/>
      <c r="AZ255" s="575"/>
      <c r="BA255" s="575"/>
      <c r="BB255" s="575"/>
      <c r="BC255" s="575"/>
      <c r="BD255" s="575"/>
      <c r="BE255" s="575"/>
      <c r="BF255" s="575"/>
      <c r="BG255" s="575"/>
      <c r="BH255" s="575"/>
      <c r="BI255" s="473"/>
      <c r="BJ255" s="473"/>
      <c r="BK255" s="473"/>
      <c r="BL255" s="473"/>
      <c r="BM255" s="473"/>
      <c r="BN255" s="473"/>
      <c r="BO255" s="473"/>
      <c r="BP255" s="473"/>
      <c r="BQ255" s="473"/>
      <c r="BR255" s="473"/>
      <c r="BS255" s="473"/>
      <c r="BT255" s="473"/>
      <c r="BU255" s="473"/>
      <c r="BV255" s="473"/>
      <c r="BW255" s="473"/>
      <c r="BX255" s="473"/>
      <c r="BY255" s="473"/>
      <c r="BZ255" s="473"/>
      <c r="CA255" s="473"/>
      <c r="CB255" s="473"/>
      <c r="CC255" s="473"/>
      <c r="CD255" s="473"/>
      <c r="CE255" s="473"/>
      <c r="CF255" s="473"/>
      <c r="CG255" s="473"/>
      <c r="CH255" s="473"/>
      <c r="CI255" s="473"/>
    </row>
    <row r="256" spans="1:87" ht="12.75" customHeight="1" x14ac:dyDescent="0.2">
      <c r="A256" s="473"/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  <c r="AL256" s="473"/>
      <c r="AM256" s="473"/>
      <c r="AN256" s="473"/>
      <c r="AO256" s="473"/>
      <c r="AP256" s="575"/>
      <c r="AQ256" s="575"/>
      <c r="AR256" s="575"/>
      <c r="AS256" s="575"/>
      <c r="AT256" s="575"/>
      <c r="AU256" s="575"/>
      <c r="AV256" s="575"/>
      <c r="AW256" s="575"/>
      <c r="AX256" s="575"/>
      <c r="AY256" s="575"/>
      <c r="AZ256" s="575"/>
      <c r="BA256" s="575"/>
      <c r="BB256" s="575"/>
      <c r="BC256" s="575"/>
      <c r="BD256" s="575"/>
      <c r="BE256" s="575"/>
      <c r="BF256" s="575"/>
      <c r="BG256" s="575"/>
      <c r="BH256" s="575"/>
      <c r="BI256" s="473"/>
      <c r="BJ256" s="473"/>
      <c r="BK256" s="473"/>
      <c r="BL256" s="473"/>
      <c r="BM256" s="473"/>
      <c r="BN256" s="473"/>
      <c r="BO256" s="473"/>
      <c r="BP256" s="473"/>
      <c r="BQ256" s="473"/>
      <c r="BR256" s="473"/>
      <c r="BS256" s="473"/>
      <c r="BT256" s="473"/>
      <c r="BU256" s="473"/>
      <c r="BV256" s="473"/>
      <c r="BW256" s="473"/>
      <c r="BX256" s="473"/>
      <c r="BY256" s="473"/>
      <c r="BZ256" s="473"/>
      <c r="CA256" s="473"/>
      <c r="CB256" s="473"/>
      <c r="CC256" s="473"/>
      <c r="CD256" s="473"/>
      <c r="CE256" s="473"/>
      <c r="CF256" s="473"/>
      <c r="CG256" s="473"/>
      <c r="CH256" s="473"/>
      <c r="CI256" s="473"/>
    </row>
    <row r="257" spans="1:87" ht="12.75" customHeight="1" x14ac:dyDescent="0.2">
      <c r="A257" s="473"/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  <c r="AL257" s="473"/>
      <c r="AM257" s="473"/>
      <c r="AN257" s="473"/>
      <c r="AO257" s="473"/>
      <c r="AP257" s="575"/>
      <c r="AQ257" s="575"/>
      <c r="AR257" s="575"/>
      <c r="AS257" s="575"/>
      <c r="AT257" s="575"/>
      <c r="AU257" s="575"/>
      <c r="AV257" s="575"/>
      <c r="AW257" s="575"/>
      <c r="AX257" s="575"/>
      <c r="AY257" s="575"/>
      <c r="AZ257" s="575"/>
      <c r="BA257" s="575"/>
      <c r="BB257" s="575"/>
      <c r="BC257" s="575"/>
      <c r="BD257" s="575"/>
      <c r="BE257" s="575"/>
      <c r="BF257" s="575"/>
      <c r="BG257" s="575"/>
      <c r="BH257" s="575"/>
      <c r="BI257" s="473"/>
      <c r="BJ257" s="473"/>
      <c r="BK257" s="473"/>
      <c r="BL257" s="473"/>
      <c r="BM257" s="473"/>
      <c r="BN257" s="473"/>
      <c r="BO257" s="473"/>
      <c r="BP257" s="473"/>
      <c r="BQ257" s="473"/>
      <c r="BR257" s="473"/>
      <c r="BS257" s="473"/>
      <c r="BT257" s="473"/>
      <c r="BU257" s="473"/>
      <c r="BV257" s="473"/>
      <c r="BW257" s="473"/>
      <c r="BX257" s="473"/>
      <c r="BY257" s="473"/>
      <c r="BZ257" s="473"/>
      <c r="CA257" s="473"/>
      <c r="CB257" s="473"/>
      <c r="CC257" s="473"/>
      <c r="CD257" s="473"/>
      <c r="CE257" s="473"/>
      <c r="CF257" s="473"/>
      <c r="CG257" s="473"/>
      <c r="CH257" s="473"/>
      <c r="CI257" s="473"/>
    </row>
    <row r="258" spans="1:87" ht="12.75" customHeight="1" x14ac:dyDescent="0.2">
      <c r="A258" s="473"/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  <c r="AL258" s="473"/>
      <c r="AM258" s="473"/>
      <c r="AN258" s="473"/>
      <c r="AO258" s="473"/>
      <c r="AP258" s="575"/>
      <c r="AQ258" s="575"/>
      <c r="AR258" s="575"/>
      <c r="AS258" s="575"/>
      <c r="AT258" s="575"/>
      <c r="AU258" s="575"/>
      <c r="AV258" s="575"/>
      <c r="AW258" s="575"/>
      <c r="AX258" s="575"/>
      <c r="AY258" s="575"/>
      <c r="AZ258" s="575"/>
      <c r="BA258" s="575"/>
      <c r="BB258" s="575"/>
      <c r="BC258" s="575"/>
      <c r="BD258" s="575"/>
      <c r="BE258" s="575"/>
      <c r="BF258" s="575"/>
      <c r="BG258" s="575"/>
      <c r="BH258" s="575"/>
      <c r="BI258" s="473"/>
      <c r="BJ258" s="473"/>
      <c r="BK258" s="473"/>
      <c r="BL258" s="473"/>
      <c r="BM258" s="473"/>
      <c r="BN258" s="473"/>
      <c r="BO258" s="473"/>
      <c r="BP258" s="473"/>
      <c r="BQ258" s="473"/>
      <c r="BR258" s="473"/>
      <c r="BS258" s="473"/>
      <c r="BT258" s="473"/>
      <c r="BU258" s="473"/>
      <c r="BV258" s="473"/>
      <c r="BW258" s="473"/>
      <c r="BX258" s="473"/>
      <c r="BY258" s="473"/>
      <c r="BZ258" s="473"/>
      <c r="CA258" s="473"/>
      <c r="CB258" s="473"/>
      <c r="CC258" s="473"/>
      <c r="CD258" s="473"/>
      <c r="CE258" s="473"/>
      <c r="CF258" s="473"/>
      <c r="CG258" s="473"/>
      <c r="CH258" s="473"/>
      <c r="CI258" s="473"/>
    </row>
    <row r="259" spans="1:87" ht="12.75" customHeight="1" x14ac:dyDescent="0.2">
      <c r="A259" s="473"/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  <c r="AL259" s="473"/>
      <c r="AM259" s="473"/>
      <c r="AN259" s="473"/>
      <c r="AO259" s="473"/>
      <c r="AP259" s="575"/>
      <c r="AQ259" s="575"/>
      <c r="AR259" s="575"/>
      <c r="AS259" s="575"/>
      <c r="AT259" s="575"/>
      <c r="AU259" s="575"/>
      <c r="AV259" s="575"/>
      <c r="AW259" s="575"/>
      <c r="AX259" s="575"/>
      <c r="AY259" s="575"/>
      <c r="AZ259" s="575"/>
      <c r="BA259" s="575"/>
      <c r="BB259" s="575"/>
      <c r="BC259" s="575"/>
      <c r="BD259" s="575"/>
      <c r="BE259" s="575"/>
      <c r="BF259" s="575"/>
      <c r="BG259" s="575"/>
      <c r="BH259" s="575"/>
      <c r="BI259" s="473"/>
      <c r="BJ259" s="473"/>
      <c r="BK259" s="473"/>
      <c r="BL259" s="473"/>
      <c r="BM259" s="473"/>
      <c r="BN259" s="473"/>
      <c r="BO259" s="473"/>
      <c r="BP259" s="473"/>
      <c r="BQ259" s="473"/>
      <c r="BR259" s="473"/>
      <c r="BS259" s="473"/>
      <c r="BT259" s="473"/>
      <c r="BU259" s="473"/>
      <c r="BV259" s="473"/>
      <c r="BW259" s="473"/>
      <c r="BX259" s="473"/>
      <c r="BY259" s="473"/>
      <c r="BZ259" s="473"/>
      <c r="CA259" s="473"/>
      <c r="CB259" s="473"/>
      <c r="CC259" s="473"/>
      <c r="CD259" s="473"/>
      <c r="CE259" s="473"/>
      <c r="CF259" s="473"/>
      <c r="CG259" s="473"/>
      <c r="CH259" s="473"/>
      <c r="CI259" s="473"/>
    </row>
    <row r="260" spans="1:87" ht="12.75" customHeight="1" x14ac:dyDescent="0.2">
      <c r="A260" s="473"/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  <c r="AL260" s="473"/>
      <c r="AM260" s="473"/>
      <c r="AN260" s="473"/>
      <c r="AO260" s="473"/>
      <c r="AP260" s="575"/>
      <c r="AQ260" s="575"/>
      <c r="AR260" s="575"/>
      <c r="AS260" s="575"/>
      <c r="AT260" s="575"/>
      <c r="AU260" s="575"/>
      <c r="AV260" s="575"/>
      <c r="AW260" s="575"/>
      <c r="AX260" s="575"/>
      <c r="AY260" s="575"/>
      <c r="AZ260" s="575"/>
      <c r="BA260" s="575"/>
      <c r="BB260" s="575"/>
      <c r="BC260" s="575"/>
      <c r="BD260" s="575"/>
      <c r="BE260" s="575"/>
      <c r="BF260" s="575"/>
      <c r="BG260" s="575"/>
      <c r="BH260" s="575"/>
      <c r="BI260" s="473"/>
      <c r="BJ260" s="473"/>
      <c r="BK260" s="473"/>
      <c r="BL260" s="473"/>
      <c r="BM260" s="473"/>
      <c r="BN260" s="473"/>
      <c r="BO260" s="473"/>
      <c r="BP260" s="473"/>
      <c r="BQ260" s="473"/>
      <c r="BR260" s="473"/>
      <c r="BS260" s="473"/>
      <c r="BT260" s="473"/>
      <c r="BU260" s="473"/>
      <c r="BV260" s="473"/>
      <c r="BW260" s="473"/>
      <c r="BX260" s="473"/>
      <c r="BY260" s="473"/>
      <c r="BZ260" s="473"/>
      <c r="CA260" s="473"/>
      <c r="CB260" s="473"/>
      <c r="CC260" s="473"/>
      <c r="CD260" s="473"/>
      <c r="CE260" s="473"/>
      <c r="CF260" s="473"/>
      <c r="CG260" s="473"/>
      <c r="CH260" s="473"/>
      <c r="CI260" s="473"/>
    </row>
    <row r="261" spans="1:87" ht="12.75" customHeight="1" x14ac:dyDescent="0.2">
      <c r="A261" s="473"/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  <c r="AL261" s="473"/>
      <c r="AM261" s="473"/>
      <c r="AN261" s="473"/>
      <c r="AO261" s="473"/>
      <c r="AP261" s="575"/>
      <c r="AQ261" s="575"/>
      <c r="AR261" s="575"/>
      <c r="AS261" s="575"/>
      <c r="AT261" s="575"/>
      <c r="AU261" s="575"/>
      <c r="AV261" s="575"/>
      <c r="AW261" s="575"/>
      <c r="AX261" s="575"/>
      <c r="AY261" s="575"/>
      <c r="AZ261" s="575"/>
      <c r="BA261" s="575"/>
      <c r="BB261" s="575"/>
      <c r="BC261" s="575"/>
      <c r="BD261" s="575"/>
      <c r="BE261" s="575"/>
      <c r="BF261" s="575"/>
      <c r="BG261" s="575"/>
      <c r="BH261" s="575"/>
      <c r="BI261" s="473"/>
      <c r="BJ261" s="473"/>
      <c r="BK261" s="473"/>
      <c r="BL261" s="473"/>
      <c r="BM261" s="473"/>
      <c r="BN261" s="473"/>
      <c r="BO261" s="473"/>
      <c r="BP261" s="473"/>
      <c r="BQ261" s="473"/>
      <c r="BR261" s="473"/>
      <c r="BS261" s="473"/>
      <c r="BT261" s="473"/>
      <c r="BU261" s="473"/>
      <c r="BV261" s="473"/>
      <c r="BW261" s="473"/>
      <c r="BX261" s="473"/>
      <c r="BY261" s="473"/>
      <c r="BZ261" s="473"/>
      <c r="CA261" s="473"/>
      <c r="CB261" s="473"/>
      <c r="CC261" s="473"/>
      <c r="CD261" s="473"/>
      <c r="CE261" s="473"/>
      <c r="CF261" s="473"/>
      <c r="CG261" s="473"/>
      <c r="CH261" s="473"/>
      <c r="CI261" s="473"/>
    </row>
    <row r="262" spans="1:87" ht="12.75" customHeight="1" x14ac:dyDescent="0.2">
      <c r="A262" s="473"/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  <c r="AL262" s="473"/>
      <c r="AM262" s="473"/>
      <c r="AN262" s="473"/>
      <c r="AO262" s="473"/>
      <c r="AP262" s="575"/>
      <c r="AQ262" s="575"/>
      <c r="AR262" s="575"/>
      <c r="AS262" s="575"/>
      <c r="AT262" s="575"/>
      <c r="AU262" s="575"/>
      <c r="AV262" s="575"/>
      <c r="AW262" s="575"/>
      <c r="AX262" s="575"/>
      <c r="AY262" s="575"/>
      <c r="AZ262" s="575"/>
      <c r="BA262" s="575"/>
      <c r="BB262" s="575"/>
      <c r="BC262" s="575"/>
      <c r="BD262" s="575"/>
      <c r="BE262" s="575"/>
      <c r="BF262" s="575"/>
      <c r="BG262" s="575"/>
      <c r="BH262" s="575"/>
      <c r="BI262" s="473"/>
      <c r="BJ262" s="473"/>
      <c r="BK262" s="473"/>
      <c r="BL262" s="473"/>
      <c r="BM262" s="473"/>
      <c r="BN262" s="473"/>
      <c r="BO262" s="473"/>
      <c r="BP262" s="473"/>
      <c r="BQ262" s="473"/>
      <c r="BR262" s="473"/>
      <c r="BS262" s="473"/>
      <c r="BT262" s="473"/>
      <c r="BU262" s="473"/>
      <c r="BV262" s="473"/>
      <c r="BW262" s="473"/>
      <c r="BX262" s="473"/>
      <c r="BY262" s="473"/>
      <c r="BZ262" s="473"/>
      <c r="CA262" s="473"/>
      <c r="CB262" s="473"/>
      <c r="CC262" s="473"/>
      <c r="CD262" s="473"/>
      <c r="CE262" s="473"/>
      <c r="CF262" s="473"/>
      <c r="CG262" s="473"/>
      <c r="CH262" s="473"/>
      <c r="CI262" s="473"/>
    </row>
    <row r="263" spans="1:87" ht="12.75" customHeight="1" x14ac:dyDescent="0.2">
      <c r="A263" s="473"/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  <c r="AL263" s="473"/>
      <c r="AM263" s="473"/>
      <c r="AN263" s="473"/>
      <c r="AO263" s="473"/>
      <c r="AP263" s="575"/>
      <c r="AQ263" s="575"/>
      <c r="AR263" s="575"/>
      <c r="AS263" s="575"/>
      <c r="AT263" s="575"/>
      <c r="AU263" s="575"/>
      <c r="AV263" s="575"/>
      <c r="AW263" s="575"/>
      <c r="AX263" s="575"/>
      <c r="AY263" s="575"/>
      <c r="AZ263" s="575"/>
      <c r="BA263" s="575"/>
      <c r="BB263" s="575"/>
      <c r="BC263" s="575"/>
      <c r="BD263" s="575"/>
      <c r="BE263" s="575"/>
      <c r="BF263" s="575"/>
      <c r="BG263" s="575"/>
      <c r="BH263" s="575"/>
      <c r="BI263" s="473"/>
      <c r="BJ263" s="473"/>
      <c r="BK263" s="473"/>
      <c r="BL263" s="473"/>
      <c r="BM263" s="473"/>
      <c r="BN263" s="473"/>
      <c r="BO263" s="473"/>
      <c r="BP263" s="473"/>
      <c r="BQ263" s="473"/>
      <c r="BR263" s="473"/>
      <c r="BS263" s="473"/>
      <c r="BT263" s="473"/>
      <c r="BU263" s="473"/>
      <c r="BV263" s="473"/>
      <c r="BW263" s="473"/>
      <c r="BX263" s="473"/>
      <c r="BY263" s="473"/>
      <c r="BZ263" s="473"/>
      <c r="CA263" s="473"/>
      <c r="CB263" s="473"/>
      <c r="CC263" s="473"/>
      <c r="CD263" s="473"/>
      <c r="CE263" s="473"/>
      <c r="CF263" s="473"/>
      <c r="CG263" s="473"/>
      <c r="CH263" s="473"/>
      <c r="CI263" s="473"/>
    </row>
    <row r="264" spans="1:87" ht="12.75" customHeight="1" x14ac:dyDescent="0.2">
      <c r="A264" s="473"/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  <c r="AL264" s="473"/>
      <c r="AM264" s="473"/>
      <c r="AN264" s="473"/>
      <c r="AO264" s="473"/>
      <c r="AP264" s="575"/>
      <c r="AQ264" s="575"/>
      <c r="AR264" s="575"/>
      <c r="AS264" s="575"/>
      <c r="AT264" s="575"/>
      <c r="AU264" s="575"/>
      <c r="AV264" s="575"/>
      <c r="AW264" s="575"/>
      <c r="AX264" s="575"/>
      <c r="AY264" s="575"/>
      <c r="AZ264" s="575"/>
      <c r="BA264" s="575"/>
      <c r="BB264" s="575"/>
      <c r="BC264" s="575"/>
      <c r="BD264" s="575"/>
      <c r="BE264" s="575"/>
      <c r="BF264" s="575"/>
      <c r="BG264" s="575"/>
      <c r="BH264" s="575"/>
      <c r="BI264" s="473"/>
      <c r="BJ264" s="473"/>
      <c r="BK264" s="473"/>
      <c r="BL264" s="473"/>
      <c r="BM264" s="473"/>
      <c r="BN264" s="473"/>
      <c r="BO264" s="473"/>
      <c r="BP264" s="473"/>
      <c r="BQ264" s="473"/>
      <c r="BR264" s="473"/>
      <c r="BS264" s="473"/>
      <c r="BT264" s="473"/>
      <c r="BU264" s="473"/>
      <c r="BV264" s="473"/>
      <c r="BW264" s="473"/>
      <c r="BX264" s="473"/>
      <c r="BY264" s="473"/>
      <c r="BZ264" s="473"/>
      <c r="CA264" s="473"/>
      <c r="CB264" s="473"/>
      <c r="CC264" s="473"/>
      <c r="CD264" s="473"/>
      <c r="CE264" s="473"/>
      <c r="CF264" s="473"/>
      <c r="CG264" s="473"/>
      <c r="CH264" s="473"/>
      <c r="CI264" s="473"/>
    </row>
    <row r="265" spans="1:87" ht="12.75" customHeight="1" x14ac:dyDescent="0.2">
      <c r="A265" s="473"/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  <c r="AL265" s="473"/>
      <c r="AM265" s="473"/>
      <c r="AN265" s="473"/>
      <c r="AO265" s="473"/>
      <c r="AP265" s="575"/>
      <c r="AQ265" s="575"/>
      <c r="AR265" s="575"/>
      <c r="AS265" s="575"/>
      <c r="AT265" s="575"/>
      <c r="AU265" s="575"/>
      <c r="AV265" s="575"/>
      <c r="AW265" s="575"/>
      <c r="AX265" s="575"/>
      <c r="AY265" s="575"/>
      <c r="AZ265" s="575"/>
      <c r="BA265" s="575"/>
      <c r="BB265" s="575"/>
      <c r="BC265" s="575"/>
      <c r="BD265" s="575"/>
      <c r="BE265" s="575"/>
      <c r="BF265" s="575"/>
      <c r="BG265" s="575"/>
      <c r="BH265" s="575"/>
      <c r="BI265" s="473"/>
      <c r="BJ265" s="473"/>
      <c r="BK265" s="473"/>
      <c r="BL265" s="473"/>
      <c r="BM265" s="473"/>
      <c r="BN265" s="473"/>
      <c r="BO265" s="473"/>
      <c r="BP265" s="473"/>
      <c r="BQ265" s="473"/>
      <c r="BR265" s="473"/>
      <c r="BS265" s="473"/>
      <c r="BT265" s="473"/>
      <c r="BU265" s="473"/>
      <c r="BV265" s="473"/>
      <c r="BW265" s="473"/>
      <c r="BX265" s="473"/>
      <c r="BY265" s="473"/>
      <c r="BZ265" s="473"/>
      <c r="CA265" s="473"/>
      <c r="CB265" s="473"/>
      <c r="CC265" s="473"/>
      <c r="CD265" s="473"/>
      <c r="CE265" s="473"/>
      <c r="CF265" s="473"/>
      <c r="CG265" s="473"/>
      <c r="CH265" s="473"/>
      <c r="CI265" s="473"/>
    </row>
    <row r="266" spans="1:87" ht="12.75" customHeight="1" x14ac:dyDescent="0.2">
      <c r="A266" s="473"/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  <c r="AL266" s="473"/>
      <c r="AM266" s="473"/>
      <c r="AN266" s="473"/>
      <c r="AO266" s="473"/>
      <c r="AP266" s="575"/>
      <c r="AQ266" s="575"/>
      <c r="AR266" s="575"/>
      <c r="AS266" s="575"/>
      <c r="AT266" s="575"/>
      <c r="AU266" s="575"/>
      <c r="AV266" s="575"/>
      <c r="AW266" s="575"/>
      <c r="AX266" s="575"/>
      <c r="AY266" s="575"/>
      <c r="AZ266" s="575"/>
      <c r="BA266" s="575"/>
      <c r="BB266" s="575"/>
      <c r="BC266" s="575"/>
      <c r="BD266" s="575"/>
      <c r="BE266" s="575"/>
      <c r="BF266" s="575"/>
      <c r="BG266" s="575"/>
      <c r="BH266" s="575"/>
      <c r="BI266" s="473"/>
      <c r="BJ266" s="473"/>
      <c r="BK266" s="473"/>
      <c r="BL266" s="473"/>
      <c r="BM266" s="473"/>
      <c r="BN266" s="473"/>
      <c r="BO266" s="473"/>
      <c r="BP266" s="473"/>
      <c r="BQ266" s="473"/>
      <c r="BR266" s="473"/>
      <c r="BS266" s="473"/>
      <c r="BT266" s="473"/>
      <c r="BU266" s="473"/>
      <c r="BV266" s="473"/>
      <c r="BW266" s="473"/>
      <c r="BX266" s="473"/>
      <c r="BY266" s="473"/>
      <c r="BZ266" s="473"/>
      <c r="CA266" s="473"/>
      <c r="CB266" s="473"/>
      <c r="CC266" s="473"/>
      <c r="CD266" s="473"/>
      <c r="CE266" s="473"/>
      <c r="CF266" s="473"/>
      <c r="CG266" s="473"/>
      <c r="CH266" s="473"/>
      <c r="CI266" s="473"/>
    </row>
    <row r="267" spans="1:87" ht="12.75" customHeight="1" x14ac:dyDescent="0.2">
      <c r="A267" s="473"/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  <c r="AL267" s="473"/>
      <c r="AM267" s="473"/>
      <c r="AN267" s="473"/>
      <c r="AO267" s="473"/>
      <c r="AP267" s="575"/>
      <c r="AQ267" s="575"/>
      <c r="AR267" s="575"/>
      <c r="AS267" s="575"/>
      <c r="AT267" s="575"/>
      <c r="AU267" s="575"/>
      <c r="AV267" s="575"/>
      <c r="AW267" s="575"/>
      <c r="AX267" s="575"/>
      <c r="AY267" s="575"/>
      <c r="AZ267" s="575"/>
      <c r="BA267" s="575"/>
      <c r="BB267" s="575"/>
      <c r="BC267" s="575"/>
      <c r="BD267" s="575"/>
      <c r="BE267" s="575"/>
      <c r="BF267" s="575"/>
      <c r="BG267" s="575"/>
      <c r="BH267" s="575"/>
      <c r="BI267" s="473"/>
      <c r="BJ267" s="473"/>
      <c r="BK267" s="473"/>
      <c r="BL267" s="473"/>
      <c r="BM267" s="473"/>
      <c r="BN267" s="473"/>
      <c r="BO267" s="473"/>
      <c r="BP267" s="473"/>
      <c r="BQ267" s="473"/>
      <c r="BR267" s="473"/>
      <c r="BS267" s="473"/>
      <c r="BT267" s="473"/>
      <c r="BU267" s="473"/>
      <c r="BV267" s="473"/>
      <c r="BW267" s="473"/>
      <c r="BX267" s="473"/>
      <c r="BY267" s="473"/>
      <c r="BZ267" s="473"/>
      <c r="CA267" s="473"/>
      <c r="CB267" s="473"/>
      <c r="CC267" s="473"/>
      <c r="CD267" s="473"/>
      <c r="CE267" s="473"/>
      <c r="CF267" s="473"/>
      <c r="CG267" s="473"/>
      <c r="CH267" s="473"/>
      <c r="CI267" s="473"/>
    </row>
    <row r="268" spans="1:87" ht="12.75" customHeight="1" x14ac:dyDescent="0.2">
      <c r="A268" s="473"/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  <c r="AL268" s="473"/>
      <c r="AM268" s="473"/>
      <c r="AN268" s="473"/>
      <c r="AO268" s="473"/>
      <c r="AP268" s="575"/>
      <c r="AQ268" s="575"/>
      <c r="AR268" s="575"/>
      <c r="AS268" s="575"/>
      <c r="AT268" s="575"/>
      <c r="AU268" s="575"/>
      <c r="AV268" s="575"/>
      <c r="AW268" s="575"/>
      <c r="AX268" s="575"/>
      <c r="AY268" s="575"/>
      <c r="AZ268" s="575"/>
      <c r="BA268" s="575"/>
      <c r="BB268" s="575"/>
      <c r="BC268" s="575"/>
      <c r="BD268" s="575"/>
      <c r="BE268" s="575"/>
      <c r="BF268" s="575"/>
      <c r="BG268" s="575"/>
      <c r="BH268" s="575"/>
      <c r="BI268" s="473"/>
      <c r="BJ268" s="473"/>
      <c r="BK268" s="473"/>
      <c r="BL268" s="473"/>
      <c r="BM268" s="473"/>
      <c r="BN268" s="473"/>
      <c r="BO268" s="473"/>
      <c r="BP268" s="473"/>
      <c r="BQ268" s="473"/>
      <c r="BR268" s="473"/>
      <c r="BS268" s="473"/>
      <c r="BT268" s="473"/>
      <c r="BU268" s="473"/>
      <c r="BV268" s="473"/>
      <c r="BW268" s="473"/>
      <c r="BX268" s="473"/>
      <c r="BY268" s="473"/>
      <c r="BZ268" s="473"/>
      <c r="CA268" s="473"/>
      <c r="CB268" s="473"/>
      <c r="CC268" s="473"/>
      <c r="CD268" s="473"/>
      <c r="CE268" s="473"/>
      <c r="CF268" s="473"/>
      <c r="CG268" s="473"/>
      <c r="CH268" s="473"/>
      <c r="CI268" s="473"/>
    </row>
    <row r="269" spans="1:87" ht="12.75" customHeight="1" x14ac:dyDescent="0.2">
      <c r="A269" s="473"/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  <c r="AL269" s="473"/>
      <c r="AM269" s="473"/>
      <c r="AN269" s="473"/>
      <c r="AO269" s="473"/>
      <c r="AP269" s="575"/>
      <c r="AQ269" s="575"/>
      <c r="AR269" s="575"/>
      <c r="AS269" s="575"/>
      <c r="AT269" s="575"/>
      <c r="AU269" s="575"/>
      <c r="AV269" s="575"/>
      <c r="AW269" s="575"/>
      <c r="AX269" s="575"/>
      <c r="AY269" s="575"/>
      <c r="AZ269" s="575"/>
      <c r="BA269" s="575"/>
      <c r="BB269" s="575"/>
      <c r="BC269" s="575"/>
      <c r="BD269" s="575"/>
      <c r="BE269" s="575"/>
      <c r="BF269" s="575"/>
      <c r="BG269" s="575"/>
      <c r="BH269" s="575"/>
      <c r="BI269" s="473"/>
      <c r="BJ269" s="473"/>
      <c r="BK269" s="473"/>
      <c r="BL269" s="473"/>
      <c r="BM269" s="473"/>
      <c r="BN269" s="473"/>
      <c r="BO269" s="473"/>
      <c r="BP269" s="473"/>
      <c r="BQ269" s="473"/>
      <c r="BR269" s="473"/>
      <c r="BS269" s="473"/>
      <c r="BT269" s="473"/>
      <c r="BU269" s="473"/>
      <c r="BV269" s="473"/>
      <c r="BW269" s="473"/>
      <c r="BX269" s="473"/>
      <c r="BY269" s="473"/>
      <c r="BZ269" s="473"/>
      <c r="CA269" s="473"/>
      <c r="CB269" s="473"/>
      <c r="CC269" s="473"/>
      <c r="CD269" s="473"/>
      <c r="CE269" s="473"/>
      <c r="CF269" s="473"/>
      <c r="CG269" s="473"/>
      <c r="CH269" s="473"/>
      <c r="CI269" s="473"/>
    </row>
    <row r="270" spans="1:87" ht="12.75" customHeight="1" x14ac:dyDescent="0.2">
      <c r="A270" s="473"/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  <c r="AL270" s="473"/>
      <c r="AM270" s="473"/>
      <c r="AN270" s="473"/>
      <c r="AO270" s="473"/>
      <c r="AP270" s="575"/>
      <c r="AQ270" s="575"/>
      <c r="AR270" s="575"/>
      <c r="AS270" s="575"/>
      <c r="AT270" s="575"/>
      <c r="AU270" s="575"/>
      <c r="AV270" s="575"/>
      <c r="AW270" s="575"/>
      <c r="AX270" s="575"/>
      <c r="AY270" s="575"/>
      <c r="AZ270" s="575"/>
      <c r="BA270" s="575"/>
      <c r="BB270" s="575"/>
      <c r="BC270" s="575"/>
      <c r="BD270" s="575"/>
      <c r="BE270" s="575"/>
      <c r="BF270" s="575"/>
      <c r="BG270" s="575"/>
      <c r="BH270" s="575"/>
      <c r="BI270" s="473"/>
      <c r="BJ270" s="473"/>
      <c r="BK270" s="473"/>
      <c r="BL270" s="473"/>
      <c r="BM270" s="473"/>
      <c r="BN270" s="473"/>
      <c r="BO270" s="473"/>
      <c r="BP270" s="473"/>
      <c r="BQ270" s="473"/>
      <c r="BR270" s="473"/>
      <c r="BS270" s="473"/>
      <c r="BT270" s="473"/>
      <c r="BU270" s="473"/>
      <c r="BV270" s="473"/>
      <c r="BW270" s="473"/>
      <c r="BX270" s="473"/>
      <c r="BY270" s="473"/>
      <c r="BZ270" s="473"/>
      <c r="CA270" s="473"/>
      <c r="CB270" s="473"/>
      <c r="CC270" s="473"/>
      <c r="CD270" s="473"/>
      <c r="CE270" s="473"/>
      <c r="CF270" s="473"/>
      <c r="CG270" s="473"/>
      <c r="CH270" s="473"/>
      <c r="CI270" s="473"/>
    </row>
    <row r="271" spans="1:87" ht="12.75" customHeight="1" x14ac:dyDescent="0.2">
      <c r="A271" s="473"/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  <c r="AL271" s="473"/>
      <c r="AM271" s="473"/>
      <c r="AN271" s="473"/>
      <c r="AO271" s="473"/>
      <c r="AP271" s="575"/>
      <c r="AQ271" s="575"/>
      <c r="AR271" s="575"/>
      <c r="AS271" s="575"/>
      <c r="AT271" s="575"/>
      <c r="AU271" s="575"/>
      <c r="AV271" s="575"/>
      <c r="AW271" s="575"/>
      <c r="AX271" s="575"/>
      <c r="AY271" s="575"/>
      <c r="AZ271" s="575"/>
      <c r="BA271" s="575"/>
      <c r="BB271" s="575"/>
      <c r="BC271" s="575"/>
      <c r="BD271" s="575"/>
      <c r="BE271" s="575"/>
      <c r="BF271" s="575"/>
      <c r="BG271" s="575"/>
      <c r="BH271" s="575"/>
      <c r="BI271" s="473"/>
      <c r="BJ271" s="473"/>
      <c r="BK271" s="473"/>
      <c r="BL271" s="473"/>
      <c r="BM271" s="473"/>
      <c r="BN271" s="473"/>
      <c r="BO271" s="473"/>
      <c r="BP271" s="473"/>
      <c r="BQ271" s="473"/>
      <c r="BR271" s="473"/>
      <c r="BS271" s="473"/>
      <c r="BT271" s="473"/>
      <c r="BU271" s="473"/>
      <c r="BV271" s="473"/>
      <c r="BW271" s="473"/>
      <c r="BX271" s="473"/>
      <c r="BY271" s="473"/>
      <c r="BZ271" s="473"/>
      <c r="CA271" s="473"/>
      <c r="CB271" s="473"/>
      <c r="CC271" s="473"/>
      <c r="CD271" s="473"/>
      <c r="CE271" s="473"/>
      <c r="CF271" s="473"/>
      <c r="CG271" s="473"/>
      <c r="CH271" s="473"/>
      <c r="CI271" s="473"/>
    </row>
    <row r="272" spans="1:87" ht="12.75" customHeight="1" x14ac:dyDescent="0.2">
      <c r="A272" s="473"/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  <c r="AL272" s="473"/>
      <c r="AM272" s="473"/>
      <c r="AN272" s="473"/>
      <c r="AO272" s="473"/>
      <c r="AP272" s="575"/>
      <c r="AQ272" s="575"/>
      <c r="AR272" s="575"/>
      <c r="AS272" s="575"/>
      <c r="AT272" s="575"/>
      <c r="AU272" s="575"/>
      <c r="AV272" s="575"/>
      <c r="AW272" s="575"/>
      <c r="AX272" s="575"/>
      <c r="AY272" s="575"/>
      <c r="AZ272" s="575"/>
      <c r="BA272" s="575"/>
      <c r="BB272" s="575"/>
      <c r="BC272" s="575"/>
      <c r="BD272" s="575"/>
      <c r="BE272" s="575"/>
      <c r="BF272" s="575"/>
      <c r="BG272" s="575"/>
      <c r="BH272" s="575"/>
      <c r="BI272" s="473"/>
      <c r="BJ272" s="473"/>
      <c r="BK272" s="473"/>
      <c r="BL272" s="473"/>
      <c r="BM272" s="473"/>
      <c r="BN272" s="473"/>
      <c r="BO272" s="473"/>
      <c r="BP272" s="473"/>
      <c r="BQ272" s="473"/>
      <c r="BR272" s="473"/>
      <c r="BS272" s="473"/>
      <c r="BT272" s="473"/>
      <c r="BU272" s="473"/>
      <c r="BV272" s="473"/>
      <c r="BW272" s="473"/>
      <c r="BX272" s="473"/>
      <c r="BY272" s="473"/>
      <c r="BZ272" s="473"/>
      <c r="CA272" s="473"/>
      <c r="CB272" s="473"/>
      <c r="CC272" s="473"/>
      <c r="CD272" s="473"/>
      <c r="CE272" s="473"/>
      <c r="CF272" s="473"/>
      <c r="CG272" s="473"/>
      <c r="CH272" s="473"/>
      <c r="CI272" s="473"/>
    </row>
    <row r="273" spans="1:87" ht="12.75" customHeight="1" x14ac:dyDescent="0.2">
      <c r="A273" s="473"/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  <c r="AL273" s="473"/>
      <c r="AM273" s="473"/>
      <c r="AN273" s="473"/>
      <c r="AO273" s="473"/>
      <c r="AP273" s="575"/>
      <c r="AQ273" s="575"/>
      <c r="AR273" s="575"/>
      <c r="AS273" s="575"/>
      <c r="AT273" s="575"/>
      <c r="AU273" s="575"/>
      <c r="AV273" s="575"/>
      <c r="AW273" s="575"/>
      <c r="AX273" s="575"/>
      <c r="AY273" s="575"/>
      <c r="AZ273" s="575"/>
      <c r="BA273" s="575"/>
      <c r="BB273" s="575"/>
      <c r="BC273" s="575"/>
      <c r="BD273" s="575"/>
      <c r="BE273" s="575"/>
      <c r="BF273" s="575"/>
      <c r="BG273" s="575"/>
      <c r="BH273" s="575"/>
      <c r="BI273" s="473"/>
      <c r="BJ273" s="473"/>
      <c r="BK273" s="473"/>
      <c r="BL273" s="473"/>
      <c r="BM273" s="473"/>
      <c r="BN273" s="473"/>
      <c r="BO273" s="473"/>
      <c r="BP273" s="473"/>
      <c r="BQ273" s="473"/>
      <c r="BR273" s="473"/>
      <c r="BS273" s="473"/>
      <c r="BT273" s="473"/>
      <c r="BU273" s="473"/>
      <c r="BV273" s="473"/>
      <c r="BW273" s="473"/>
      <c r="BX273" s="473"/>
      <c r="BY273" s="473"/>
      <c r="BZ273" s="473"/>
      <c r="CA273" s="473"/>
      <c r="CB273" s="473"/>
      <c r="CC273" s="473"/>
      <c r="CD273" s="473"/>
      <c r="CE273" s="473"/>
      <c r="CF273" s="473"/>
      <c r="CG273" s="473"/>
      <c r="CH273" s="473"/>
      <c r="CI273" s="473"/>
    </row>
    <row r="274" spans="1:87" ht="12.75" customHeight="1" x14ac:dyDescent="0.2">
      <c r="A274" s="473"/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  <c r="AL274" s="473"/>
      <c r="AM274" s="473"/>
      <c r="AN274" s="473"/>
      <c r="AO274" s="473"/>
      <c r="AP274" s="575"/>
      <c r="AQ274" s="575"/>
      <c r="AR274" s="575"/>
      <c r="AS274" s="575"/>
      <c r="AT274" s="575"/>
      <c r="AU274" s="575"/>
      <c r="AV274" s="575"/>
      <c r="AW274" s="575"/>
      <c r="AX274" s="575"/>
      <c r="AY274" s="575"/>
      <c r="AZ274" s="575"/>
      <c r="BA274" s="575"/>
      <c r="BB274" s="575"/>
      <c r="BC274" s="575"/>
      <c r="BD274" s="575"/>
      <c r="BE274" s="575"/>
      <c r="BF274" s="575"/>
      <c r="BG274" s="575"/>
      <c r="BH274" s="575"/>
      <c r="BI274" s="473"/>
      <c r="BJ274" s="473"/>
      <c r="BK274" s="473"/>
      <c r="BL274" s="473"/>
      <c r="BM274" s="473"/>
      <c r="BN274" s="473"/>
      <c r="BO274" s="473"/>
      <c r="BP274" s="473"/>
      <c r="BQ274" s="473"/>
      <c r="BR274" s="473"/>
      <c r="BS274" s="473"/>
      <c r="BT274" s="473"/>
      <c r="BU274" s="473"/>
      <c r="BV274" s="473"/>
      <c r="BW274" s="473"/>
      <c r="BX274" s="473"/>
      <c r="BY274" s="473"/>
      <c r="BZ274" s="473"/>
      <c r="CA274" s="473"/>
      <c r="CB274" s="473"/>
      <c r="CC274" s="473"/>
      <c r="CD274" s="473"/>
      <c r="CE274" s="473"/>
      <c r="CF274" s="473"/>
      <c r="CG274" s="473"/>
      <c r="CH274" s="473"/>
      <c r="CI274" s="473"/>
    </row>
    <row r="275" spans="1:87" ht="12.75" customHeight="1" x14ac:dyDescent="0.2">
      <c r="A275" s="473"/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  <c r="AL275" s="473"/>
      <c r="AM275" s="473"/>
      <c r="AN275" s="473"/>
      <c r="AO275" s="473"/>
      <c r="AP275" s="575"/>
      <c r="AQ275" s="575"/>
      <c r="AR275" s="575"/>
      <c r="AS275" s="575"/>
      <c r="AT275" s="575"/>
      <c r="AU275" s="575"/>
      <c r="AV275" s="575"/>
      <c r="AW275" s="575"/>
      <c r="AX275" s="575"/>
      <c r="AY275" s="575"/>
      <c r="AZ275" s="575"/>
      <c r="BA275" s="575"/>
      <c r="BB275" s="575"/>
      <c r="BC275" s="575"/>
      <c r="BD275" s="575"/>
      <c r="BE275" s="575"/>
      <c r="BF275" s="575"/>
      <c r="BG275" s="575"/>
      <c r="BH275" s="575"/>
      <c r="BI275" s="473"/>
      <c r="BJ275" s="473"/>
      <c r="BK275" s="473"/>
      <c r="BL275" s="473"/>
      <c r="BM275" s="473"/>
      <c r="BN275" s="473"/>
      <c r="BO275" s="473"/>
      <c r="BP275" s="473"/>
      <c r="BQ275" s="473"/>
      <c r="BR275" s="473"/>
      <c r="BS275" s="473"/>
      <c r="BT275" s="473"/>
      <c r="BU275" s="473"/>
      <c r="BV275" s="473"/>
      <c r="BW275" s="473"/>
      <c r="BX275" s="473"/>
      <c r="BY275" s="473"/>
      <c r="BZ275" s="473"/>
      <c r="CA275" s="473"/>
      <c r="CB275" s="473"/>
      <c r="CC275" s="473"/>
      <c r="CD275" s="473"/>
      <c r="CE275" s="473"/>
      <c r="CF275" s="473"/>
      <c r="CG275" s="473"/>
      <c r="CH275" s="473"/>
      <c r="CI275" s="473"/>
    </row>
    <row r="276" spans="1:87" ht="12.75" customHeight="1" x14ac:dyDescent="0.2">
      <c r="A276" s="473"/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  <c r="AL276" s="473"/>
      <c r="AM276" s="473"/>
      <c r="AN276" s="473"/>
      <c r="AO276" s="473"/>
      <c r="AP276" s="575"/>
      <c r="AQ276" s="575"/>
      <c r="AR276" s="575"/>
      <c r="AS276" s="575"/>
      <c r="AT276" s="575"/>
      <c r="AU276" s="575"/>
      <c r="AV276" s="575"/>
      <c r="AW276" s="575"/>
      <c r="AX276" s="575"/>
      <c r="AY276" s="575"/>
      <c r="AZ276" s="575"/>
      <c r="BA276" s="575"/>
      <c r="BB276" s="575"/>
      <c r="BC276" s="575"/>
      <c r="BD276" s="575"/>
      <c r="BE276" s="575"/>
      <c r="BF276" s="575"/>
      <c r="BG276" s="575"/>
      <c r="BH276" s="575"/>
      <c r="BI276" s="473"/>
      <c r="BJ276" s="473"/>
      <c r="BK276" s="473"/>
      <c r="BL276" s="473"/>
      <c r="BM276" s="473"/>
      <c r="BN276" s="473"/>
      <c r="BO276" s="473"/>
      <c r="BP276" s="473"/>
      <c r="BQ276" s="473"/>
      <c r="BR276" s="473"/>
      <c r="BS276" s="473"/>
      <c r="BT276" s="473"/>
      <c r="BU276" s="473"/>
      <c r="BV276" s="473"/>
      <c r="BW276" s="473"/>
      <c r="BX276" s="473"/>
      <c r="BY276" s="473"/>
      <c r="BZ276" s="473"/>
      <c r="CA276" s="473"/>
      <c r="CB276" s="473"/>
      <c r="CC276" s="473"/>
      <c r="CD276" s="473"/>
      <c r="CE276" s="473"/>
      <c r="CF276" s="473"/>
      <c r="CG276" s="473"/>
      <c r="CH276" s="473"/>
      <c r="CI276" s="473"/>
    </row>
    <row r="277" spans="1:87" ht="12.75" customHeight="1" x14ac:dyDescent="0.2">
      <c r="A277" s="473"/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  <c r="AL277" s="473"/>
      <c r="AM277" s="473"/>
      <c r="AN277" s="473"/>
      <c r="AO277" s="473"/>
      <c r="AP277" s="575"/>
      <c r="AQ277" s="575"/>
      <c r="AR277" s="575"/>
      <c r="AS277" s="575"/>
      <c r="AT277" s="575"/>
      <c r="AU277" s="575"/>
      <c r="AV277" s="575"/>
      <c r="AW277" s="575"/>
      <c r="AX277" s="575"/>
      <c r="AY277" s="575"/>
      <c r="AZ277" s="575"/>
      <c r="BA277" s="575"/>
      <c r="BB277" s="575"/>
      <c r="BC277" s="575"/>
      <c r="BD277" s="575"/>
      <c r="BE277" s="575"/>
      <c r="BF277" s="575"/>
      <c r="BG277" s="575"/>
      <c r="BH277" s="575"/>
      <c r="BI277" s="473"/>
      <c r="BJ277" s="473"/>
      <c r="BK277" s="473"/>
      <c r="BL277" s="473"/>
      <c r="BM277" s="473"/>
      <c r="BN277" s="473"/>
      <c r="BO277" s="473"/>
      <c r="BP277" s="473"/>
      <c r="BQ277" s="473"/>
      <c r="BR277" s="473"/>
      <c r="BS277" s="473"/>
      <c r="BT277" s="473"/>
      <c r="BU277" s="473"/>
      <c r="BV277" s="473"/>
      <c r="BW277" s="473"/>
      <c r="BX277" s="473"/>
      <c r="BY277" s="473"/>
      <c r="BZ277" s="473"/>
      <c r="CA277" s="473"/>
      <c r="CB277" s="473"/>
      <c r="CC277" s="473"/>
      <c r="CD277" s="473"/>
      <c r="CE277" s="473"/>
      <c r="CF277" s="473"/>
      <c r="CG277" s="473"/>
      <c r="CH277" s="473"/>
      <c r="CI277" s="473"/>
    </row>
    <row r="278" spans="1:87" ht="12.75" customHeight="1" x14ac:dyDescent="0.2">
      <c r="A278" s="473"/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  <c r="AL278" s="473"/>
      <c r="AM278" s="473"/>
      <c r="AN278" s="473"/>
      <c r="AO278" s="473"/>
      <c r="AP278" s="575"/>
      <c r="AQ278" s="575"/>
      <c r="AR278" s="575"/>
      <c r="AS278" s="575"/>
      <c r="AT278" s="575"/>
      <c r="AU278" s="575"/>
      <c r="AV278" s="575"/>
      <c r="AW278" s="575"/>
      <c r="AX278" s="575"/>
      <c r="AY278" s="575"/>
      <c r="AZ278" s="575"/>
      <c r="BA278" s="575"/>
      <c r="BB278" s="575"/>
      <c r="BC278" s="575"/>
      <c r="BD278" s="575"/>
      <c r="BE278" s="575"/>
      <c r="BF278" s="575"/>
      <c r="BG278" s="575"/>
      <c r="BH278" s="575"/>
      <c r="BI278" s="473"/>
      <c r="BJ278" s="473"/>
      <c r="BK278" s="473"/>
      <c r="BL278" s="473"/>
      <c r="BM278" s="473"/>
      <c r="BN278" s="473"/>
      <c r="BO278" s="473"/>
      <c r="BP278" s="473"/>
      <c r="BQ278" s="473"/>
      <c r="BR278" s="473"/>
      <c r="BS278" s="473"/>
      <c r="BT278" s="473"/>
      <c r="BU278" s="473"/>
      <c r="BV278" s="473"/>
      <c r="BW278" s="473"/>
      <c r="BX278" s="473"/>
      <c r="BY278" s="473"/>
      <c r="BZ278" s="473"/>
      <c r="CA278" s="473"/>
      <c r="CB278" s="473"/>
      <c r="CC278" s="473"/>
      <c r="CD278" s="473"/>
      <c r="CE278" s="473"/>
      <c r="CF278" s="473"/>
      <c r="CG278" s="473"/>
      <c r="CH278" s="473"/>
      <c r="CI278" s="473"/>
    </row>
    <row r="279" spans="1:87" ht="12.75" customHeight="1" x14ac:dyDescent="0.2">
      <c r="A279" s="473"/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  <c r="AL279" s="473"/>
      <c r="AM279" s="473"/>
      <c r="AN279" s="473"/>
      <c r="AO279" s="473"/>
      <c r="AP279" s="575"/>
      <c r="AQ279" s="575"/>
      <c r="AR279" s="575"/>
      <c r="AS279" s="575"/>
      <c r="AT279" s="575"/>
      <c r="AU279" s="575"/>
      <c r="AV279" s="575"/>
      <c r="AW279" s="575"/>
      <c r="AX279" s="575"/>
      <c r="AY279" s="575"/>
      <c r="AZ279" s="575"/>
      <c r="BA279" s="575"/>
      <c r="BB279" s="575"/>
      <c r="BC279" s="575"/>
      <c r="BD279" s="575"/>
      <c r="BE279" s="575"/>
      <c r="BF279" s="575"/>
      <c r="BG279" s="575"/>
      <c r="BH279" s="575"/>
      <c r="BI279" s="473"/>
      <c r="BJ279" s="473"/>
      <c r="BK279" s="473"/>
      <c r="BL279" s="473"/>
      <c r="BM279" s="473"/>
      <c r="BN279" s="473"/>
      <c r="BO279" s="473"/>
      <c r="BP279" s="473"/>
      <c r="BQ279" s="473"/>
      <c r="BR279" s="473"/>
      <c r="BS279" s="473"/>
      <c r="BT279" s="473"/>
      <c r="BU279" s="473"/>
      <c r="BV279" s="473"/>
      <c r="BW279" s="473"/>
      <c r="BX279" s="473"/>
      <c r="BY279" s="473"/>
      <c r="BZ279" s="473"/>
      <c r="CA279" s="473"/>
      <c r="CB279" s="473"/>
      <c r="CC279" s="473"/>
      <c r="CD279" s="473"/>
      <c r="CE279" s="473"/>
      <c r="CF279" s="473"/>
      <c r="CG279" s="473"/>
      <c r="CH279" s="473"/>
      <c r="CI279" s="473"/>
    </row>
    <row r="280" spans="1:87" ht="12.75" customHeight="1" x14ac:dyDescent="0.2">
      <c r="A280" s="473"/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  <c r="AL280" s="473"/>
      <c r="AM280" s="473"/>
      <c r="AN280" s="473"/>
      <c r="AO280" s="473"/>
      <c r="AP280" s="575"/>
      <c r="AQ280" s="575"/>
      <c r="AR280" s="575"/>
      <c r="AS280" s="575"/>
      <c r="AT280" s="575"/>
      <c r="AU280" s="575"/>
      <c r="AV280" s="575"/>
      <c r="AW280" s="575"/>
      <c r="AX280" s="575"/>
      <c r="AY280" s="575"/>
      <c r="AZ280" s="575"/>
      <c r="BA280" s="575"/>
      <c r="BB280" s="575"/>
      <c r="BC280" s="575"/>
      <c r="BD280" s="575"/>
      <c r="BE280" s="575"/>
      <c r="BF280" s="575"/>
      <c r="BG280" s="575"/>
      <c r="BH280" s="575"/>
      <c r="BI280" s="473"/>
      <c r="BJ280" s="473"/>
      <c r="BK280" s="473"/>
      <c r="BL280" s="473"/>
      <c r="BM280" s="473"/>
      <c r="BN280" s="473"/>
      <c r="BO280" s="473"/>
      <c r="BP280" s="473"/>
      <c r="BQ280" s="473"/>
      <c r="BR280" s="473"/>
      <c r="BS280" s="473"/>
      <c r="BT280" s="473"/>
      <c r="BU280" s="473"/>
      <c r="BV280" s="473"/>
      <c r="BW280" s="473"/>
      <c r="BX280" s="473"/>
      <c r="BY280" s="473"/>
      <c r="BZ280" s="473"/>
      <c r="CA280" s="473"/>
      <c r="CB280" s="473"/>
      <c r="CC280" s="473"/>
      <c r="CD280" s="473"/>
      <c r="CE280" s="473"/>
      <c r="CF280" s="473"/>
      <c r="CG280" s="473"/>
      <c r="CH280" s="473"/>
      <c r="CI280" s="473"/>
    </row>
    <row r="281" spans="1:87" ht="12.75" customHeight="1" x14ac:dyDescent="0.2">
      <c r="A281" s="473"/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  <c r="AL281" s="473"/>
      <c r="AM281" s="473"/>
      <c r="AN281" s="473"/>
      <c r="AO281" s="473"/>
      <c r="AP281" s="575"/>
      <c r="AQ281" s="575"/>
      <c r="AR281" s="575"/>
      <c r="AS281" s="575"/>
      <c r="AT281" s="575"/>
      <c r="AU281" s="575"/>
      <c r="AV281" s="575"/>
      <c r="AW281" s="575"/>
      <c r="AX281" s="575"/>
      <c r="AY281" s="575"/>
      <c r="AZ281" s="575"/>
      <c r="BA281" s="575"/>
      <c r="BB281" s="575"/>
      <c r="BC281" s="575"/>
      <c r="BD281" s="575"/>
      <c r="BE281" s="575"/>
      <c r="BF281" s="575"/>
      <c r="BG281" s="575"/>
      <c r="BH281" s="575"/>
      <c r="BI281" s="473"/>
      <c r="BJ281" s="473"/>
      <c r="BK281" s="473"/>
      <c r="BL281" s="473"/>
      <c r="BM281" s="473"/>
      <c r="BN281" s="473"/>
      <c r="BO281" s="473"/>
      <c r="BP281" s="473"/>
      <c r="BQ281" s="473"/>
      <c r="BR281" s="473"/>
      <c r="BS281" s="473"/>
      <c r="BT281" s="473"/>
      <c r="BU281" s="473"/>
      <c r="BV281" s="473"/>
      <c r="BW281" s="473"/>
      <c r="BX281" s="473"/>
      <c r="BY281" s="473"/>
      <c r="BZ281" s="473"/>
      <c r="CA281" s="473"/>
      <c r="CB281" s="473"/>
      <c r="CC281" s="473"/>
      <c r="CD281" s="473"/>
      <c r="CE281" s="473"/>
      <c r="CF281" s="473"/>
      <c r="CG281" s="473"/>
      <c r="CH281" s="473"/>
      <c r="CI281" s="473"/>
    </row>
    <row r="282" spans="1:87" ht="12.75" customHeight="1" x14ac:dyDescent="0.2">
      <c r="A282" s="473"/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  <c r="AL282" s="473"/>
      <c r="AM282" s="473"/>
      <c r="AN282" s="473"/>
      <c r="AO282" s="473"/>
      <c r="AP282" s="575"/>
      <c r="AQ282" s="575"/>
      <c r="AR282" s="575"/>
      <c r="AS282" s="575"/>
      <c r="AT282" s="575"/>
      <c r="AU282" s="575"/>
      <c r="AV282" s="575"/>
      <c r="AW282" s="575"/>
      <c r="AX282" s="575"/>
      <c r="AY282" s="575"/>
      <c r="AZ282" s="575"/>
      <c r="BA282" s="575"/>
      <c r="BB282" s="575"/>
      <c r="BC282" s="575"/>
      <c r="BD282" s="575"/>
      <c r="BE282" s="575"/>
      <c r="BF282" s="575"/>
      <c r="BG282" s="575"/>
      <c r="BH282" s="575"/>
      <c r="BI282" s="473"/>
      <c r="BJ282" s="473"/>
      <c r="BK282" s="473"/>
      <c r="BL282" s="473"/>
      <c r="BM282" s="473"/>
      <c r="BN282" s="473"/>
      <c r="BO282" s="473"/>
      <c r="BP282" s="473"/>
      <c r="BQ282" s="473"/>
      <c r="BR282" s="473"/>
      <c r="BS282" s="473"/>
      <c r="BT282" s="473"/>
      <c r="BU282" s="473"/>
      <c r="BV282" s="473"/>
      <c r="BW282" s="473"/>
      <c r="BX282" s="473"/>
      <c r="BY282" s="473"/>
      <c r="BZ282" s="473"/>
      <c r="CA282" s="473"/>
      <c r="CB282" s="473"/>
      <c r="CC282" s="473"/>
      <c r="CD282" s="473"/>
      <c r="CE282" s="473"/>
      <c r="CF282" s="473"/>
      <c r="CG282" s="473"/>
      <c r="CH282" s="473"/>
      <c r="CI282" s="473"/>
    </row>
    <row r="283" spans="1:87" ht="12.75" customHeight="1" x14ac:dyDescent="0.2">
      <c r="A283" s="473"/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  <c r="AL283" s="473"/>
      <c r="AM283" s="473"/>
      <c r="AN283" s="473"/>
      <c r="AO283" s="473"/>
      <c r="AP283" s="575"/>
      <c r="AQ283" s="575"/>
      <c r="AR283" s="575"/>
      <c r="AS283" s="575"/>
      <c r="AT283" s="575"/>
      <c r="AU283" s="575"/>
      <c r="AV283" s="575"/>
      <c r="AW283" s="575"/>
      <c r="AX283" s="575"/>
      <c r="AY283" s="575"/>
      <c r="AZ283" s="575"/>
      <c r="BA283" s="575"/>
      <c r="BB283" s="575"/>
      <c r="BC283" s="575"/>
      <c r="BD283" s="575"/>
      <c r="BE283" s="575"/>
      <c r="BF283" s="575"/>
      <c r="BG283" s="575"/>
      <c r="BH283" s="575"/>
      <c r="BI283" s="473"/>
      <c r="BJ283" s="473"/>
      <c r="BK283" s="473"/>
      <c r="BL283" s="473"/>
      <c r="BM283" s="473"/>
      <c r="BN283" s="473"/>
      <c r="BO283" s="473"/>
      <c r="BP283" s="473"/>
      <c r="BQ283" s="473"/>
      <c r="BR283" s="473"/>
      <c r="BS283" s="473"/>
      <c r="BT283" s="473"/>
      <c r="BU283" s="473"/>
      <c r="BV283" s="473"/>
      <c r="BW283" s="473"/>
      <c r="BX283" s="473"/>
      <c r="BY283" s="473"/>
      <c r="BZ283" s="473"/>
      <c r="CA283" s="473"/>
      <c r="CB283" s="473"/>
      <c r="CC283" s="473"/>
      <c r="CD283" s="473"/>
      <c r="CE283" s="473"/>
      <c r="CF283" s="473"/>
      <c r="CG283" s="473"/>
      <c r="CH283" s="473"/>
      <c r="CI283" s="473"/>
    </row>
    <row r="284" spans="1:87" ht="12.75" customHeight="1" x14ac:dyDescent="0.2">
      <c r="A284" s="473"/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  <c r="AL284" s="473"/>
      <c r="AM284" s="473"/>
      <c r="AN284" s="473"/>
      <c r="AO284" s="473"/>
      <c r="AP284" s="575"/>
      <c r="AQ284" s="575"/>
      <c r="AR284" s="575"/>
      <c r="AS284" s="575"/>
      <c r="AT284" s="575"/>
      <c r="AU284" s="575"/>
      <c r="AV284" s="575"/>
      <c r="AW284" s="575"/>
      <c r="AX284" s="575"/>
      <c r="AY284" s="575"/>
      <c r="AZ284" s="575"/>
      <c r="BA284" s="575"/>
      <c r="BB284" s="575"/>
      <c r="BC284" s="575"/>
      <c r="BD284" s="575"/>
      <c r="BE284" s="575"/>
      <c r="BF284" s="575"/>
      <c r="BG284" s="575"/>
      <c r="BH284" s="575"/>
      <c r="BI284" s="473"/>
      <c r="BJ284" s="473"/>
      <c r="BK284" s="473"/>
      <c r="BL284" s="473"/>
      <c r="BM284" s="473"/>
      <c r="BN284" s="473"/>
      <c r="BO284" s="473"/>
      <c r="BP284" s="473"/>
      <c r="BQ284" s="473"/>
      <c r="BR284" s="473"/>
      <c r="BS284" s="473"/>
      <c r="BT284" s="473"/>
      <c r="BU284" s="473"/>
      <c r="BV284" s="473"/>
      <c r="BW284" s="473"/>
      <c r="BX284" s="473"/>
      <c r="BY284" s="473"/>
      <c r="BZ284" s="473"/>
      <c r="CA284" s="473"/>
      <c r="CB284" s="473"/>
      <c r="CC284" s="473"/>
      <c r="CD284" s="473"/>
      <c r="CE284" s="473"/>
      <c r="CF284" s="473"/>
      <c r="CG284" s="473"/>
      <c r="CH284" s="473"/>
      <c r="CI284" s="473"/>
    </row>
    <row r="285" spans="1:87" ht="12.75" customHeight="1" x14ac:dyDescent="0.2">
      <c r="A285" s="473"/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  <c r="AL285" s="473"/>
      <c r="AM285" s="473"/>
      <c r="AN285" s="473"/>
      <c r="AO285" s="473"/>
      <c r="AP285" s="575"/>
      <c r="AQ285" s="575"/>
      <c r="AR285" s="575"/>
      <c r="AS285" s="575"/>
      <c r="AT285" s="575"/>
      <c r="AU285" s="575"/>
      <c r="AV285" s="575"/>
      <c r="AW285" s="575"/>
      <c r="AX285" s="575"/>
      <c r="AY285" s="575"/>
      <c r="AZ285" s="575"/>
      <c r="BA285" s="575"/>
      <c r="BB285" s="575"/>
      <c r="BC285" s="575"/>
      <c r="BD285" s="575"/>
      <c r="BE285" s="575"/>
      <c r="BF285" s="575"/>
      <c r="BG285" s="575"/>
      <c r="BH285" s="575"/>
      <c r="BI285" s="473"/>
      <c r="BJ285" s="473"/>
      <c r="BK285" s="473"/>
      <c r="BL285" s="473"/>
      <c r="BM285" s="473"/>
      <c r="BN285" s="473"/>
      <c r="BO285" s="473"/>
      <c r="BP285" s="473"/>
      <c r="BQ285" s="473"/>
      <c r="BR285" s="473"/>
      <c r="BS285" s="473"/>
      <c r="BT285" s="473"/>
      <c r="BU285" s="473"/>
      <c r="BV285" s="473"/>
      <c r="BW285" s="473"/>
      <c r="BX285" s="473"/>
      <c r="BY285" s="473"/>
      <c r="BZ285" s="473"/>
      <c r="CA285" s="473"/>
      <c r="CB285" s="473"/>
      <c r="CC285" s="473"/>
      <c r="CD285" s="473"/>
      <c r="CE285" s="473"/>
      <c r="CF285" s="473"/>
      <c r="CG285" s="473"/>
      <c r="CH285" s="473"/>
      <c r="CI285" s="473"/>
    </row>
    <row r="286" spans="1:87" ht="12.75" customHeight="1" x14ac:dyDescent="0.2">
      <c r="A286" s="473"/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  <c r="AL286" s="473"/>
      <c r="AM286" s="473"/>
      <c r="AN286" s="473"/>
      <c r="AO286" s="473"/>
      <c r="AP286" s="575"/>
      <c r="AQ286" s="575"/>
      <c r="AR286" s="575"/>
      <c r="AS286" s="575"/>
      <c r="AT286" s="575"/>
      <c r="AU286" s="575"/>
      <c r="AV286" s="575"/>
      <c r="AW286" s="575"/>
      <c r="AX286" s="575"/>
      <c r="AY286" s="575"/>
      <c r="AZ286" s="575"/>
      <c r="BA286" s="575"/>
      <c r="BB286" s="575"/>
      <c r="BC286" s="575"/>
      <c r="BD286" s="575"/>
      <c r="BE286" s="575"/>
      <c r="BF286" s="575"/>
      <c r="BG286" s="575"/>
      <c r="BH286" s="575"/>
      <c r="BI286" s="473"/>
      <c r="BJ286" s="473"/>
      <c r="BK286" s="473"/>
      <c r="BL286" s="473"/>
      <c r="BM286" s="473"/>
      <c r="BN286" s="473"/>
      <c r="BO286" s="473"/>
      <c r="BP286" s="473"/>
      <c r="BQ286" s="473"/>
      <c r="BR286" s="473"/>
      <c r="BS286" s="473"/>
      <c r="BT286" s="473"/>
      <c r="BU286" s="473"/>
      <c r="BV286" s="473"/>
      <c r="BW286" s="473"/>
      <c r="BX286" s="473"/>
      <c r="BY286" s="473"/>
      <c r="BZ286" s="473"/>
      <c r="CA286" s="473"/>
      <c r="CB286" s="473"/>
      <c r="CC286" s="473"/>
      <c r="CD286" s="473"/>
      <c r="CE286" s="473"/>
      <c r="CF286" s="473"/>
      <c r="CG286" s="473"/>
      <c r="CH286" s="473"/>
      <c r="CI286" s="473"/>
    </row>
    <row r="287" spans="1:87" ht="12.75" customHeight="1" x14ac:dyDescent="0.2">
      <c r="A287" s="473"/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  <c r="AL287" s="473"/>
      <c r="AM287" s="473"/>
      <c r="AN287" s="473"/>
      <c r="AO287" s="473"/>
      <c r="AP287" s="575"/>
      <c r="AQ287" s="575"/>
      <c r="AR287" s="575"/>
      <c r="AS287" s="575"/>
      <c r="AT287" s="575"/>
      <c r="AU287" s="575"/>
      <c r="AV287" s="575"/>
      <c r="AW287" s="575"/>
      <c r="AX287" s="575"/>
      <c r="AY287" s="575"/>
      <c r="AZ287" s="575"/>
      <c r="BA287" s="575"/>
      <c r="BB287" s="575"/>
      <c r="BC287" s="575"/>
      <c r="BD287" s="575"/>
      <c r="BE287" s="575"/>
      <c r="BF287" s="575"/>
      <c r="BG287" s="575"/>
      <c r="BH287" s="575"/>
      <c r="BI287" s="473"/>
      <c r="BJ287" s="473"/>
      <c r="BK287" s="473"/>
      <c r="BL287" s="473"/>
      <c r="BM287" s="473"/>
      <c r="BN287" s="473"/>
      <c r="BO287" s="473"/>
      <c r="BP287" s="473"/>
      <c r="BQ287" s="473"/>
      <c r="BR287" s="473"/>
      <c r="BS287" s="473"/>
      <c r="BT287" s="473"/>
      <c r="BU287" s="473"/>
      <c r="BV287" s="473"/>
      <c r="BW287" s="473"/>
      <c r="BX287" s="473"/>
      <c r="BY287" s="473"/>
      <c r="BZ287" s="473"/>
      <c r="CA287" s="473"/>
      <c r="CB287" s="473"/>
      <c r="CC287" s="473"/>
      <c r="CD287" s="473"/>
      <c r="CE287" s="473"/>
      <c r="CF287" s="473"/>
      <c r="CG287" s="473"/>
      <c r="CH287" s="473"/>
      <c r="CI287" s="473"/>
    </row>
    <row r="288" spans="1:87" ht="12.75" customHeight="1" x14ac:dyDescent="0.2">
      <c r="A288" s="473"/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  <c r="AL288" s="473"/>
      <c r="AM288" s="473"/>
      <c r="AN288" s="473"/>
      <c r="AO288" s="473"/>
      <c r="AP288" s="575"/>
      <c r="AQ288" s="575"/>
      <c r="AR288" s="575"/>
      <c r="AS288" s="575"/>
      <c r="AT288" s="575"/>
      <c r="AU288" s="575"/>
      <c r="AV288" s="575"/>
      <c r="AW288" s="575"/>
      <c r="AX288" s="575"/>
      <c r="AY288" s="575"/>
      <c r="AZ288" s="575"/>
      <c r="BA288" s="575"/>
      <c r="BB288" s="575"/>
      <c r="BC288" s="575"/>
      <c r="BD288" s="575"/>
      <c r="BE288" s="575"/>
      <c r="BF288" s="575"/>
      <c r="BG288" s="575"/>
      <c r="BH288" s="575"/>
      <c r="BI288" s="473"/>
      <c r="BJ288" s="473"/>
      <c r="BK288" s="473"/>
      <c r="BL288" s="473"/>
      <c r="BM288" s="473"/>
      <c r="BN288" s="473"/>
      <c r="BO288" s="473"/>
      <c r="BP288" s="473"/>
      <c r="BQ288" s="473"/>
      <c r="BR288" s="473"/>
      <c r="BS288" s="473"/>
      <c r="BT288" s="473"/>
      <c r="BU288" s="473"/>
      <c r="BV288" s="473"/>
      <c r="BW288" s="473"/>
      <c r="BX288" s="473"/>
      <c r="BY288" s="473"/>
      <c r="BZ288" s="473"/>
      <c r="CA288" s="473"/>
      <c r="CB288" s="473"/>
      <c r="CC288" s="473"/>
      <c r="CD288" s="473"/>
      <c r="CE288" s="473"/>
      <c r="CF288" s="473"/>
      <c r="CG288" s="473"/>
      <c r="CH288" s="473"/>
      <c r="CI288" s="473"/>
    </row>
    <row r="289" spans="1:87" ht="12.75" customHeight="1" x14ac:dyDescent="0.2">
      <c r="A289" s="473"/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  <c r="AL289" s="473"/>
      <c r="AM289" s="473"/>
      <c r="AN289" s="473"/>
      <c r="AO289" s="473"/>
      <c r="AP289" s="575"/>
      <c r="AQ289" s="575"/>
      <c r="AR289" s="575"/>
      <c r="AS289" s="575"/>
      <c r="AT289" s="575"/>
      <c r="AU289" s="575"/>
      <c r="AV289" s="575"/>
      <c r="AW289" s="575"/>
      <c r="AX289" s="575"/>
      <c r="AY289" s="575"/>
      <c r="AZ289" s="575"/>
      <c r="BA289" s="575"/>
      <c r="BB289" s="575"/>
      <c r="BC289" s="575"/>
      <c r="BD289" s="575"/>
      <c r="BE289" s="575"/>
      <c r="BF289" s="575"/>
      <c r="BG289" s="575"/>
      <c r="BH289" s="575"/>
      <c r="BI289" s="473"/>
      <c r="BJ289" s="473"/>
      <c r="BK289" s="473"/>
      <c r="BL289" s="473"/>
      <c r="BM289" s="473"/>
      <c r="BN289" s="473"/>
      <c r="BO289" s="473"/>
      <c r="BP289" s="473"/>
      <c r="BQ289" s="473"/>
      <c r="BR289" s="473"/>
      <c r="BS289" s="473"/>
      <c r="BT289" s="473"/>
      <c r="BU289" s="473"/>
      <c r="BV289" s="473"/>
      <c r="BW289" s="473"/>
      <c r="BX289" s="473"/>
      <c r="BY289" s="473"/>
      <c r="BZ289" s="473"/>
      <c r="CA289" s="473"/>
      <c r="CB289" s="473"/>
      <c r="CC289" s="473"/>
      <c r="CD289" s="473"/>
      <c r="CE289" s="473"/>
      <c r="CF289" s="473"/>
      <c r="CG289" s="473"/>
      <c r="CH289" s="473"/>
      <c r="CI289" s="473"/>
    </row>
    <row r="290" spans="1:87" ht="12.75" customHeight="1" x14ac:dyDescent="0.2">
      <c r="A290" s="473"/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  <c r="AL290" s="473"/>
      <c r="AM290" s="473"/>
      <c r="AN290" s="473"/>
      <c r="AO290" s="473"/>
      <c r="AP290" s="575"/>
      <c r="AQ290" s="575"/>
      <c r="AR290" s="575"/>
      <c r="AS290" s="575"/>
      <c r="AT290" s="575"/>
      <c r="AU290" s="575"/>
      <c r="AV290" s="575"/>
      <c r="AW290" s="575"/>
      <c r="AX290" s="575"/>
      <c r="AY290" s="575"/>
      <c r="AZ290" s="575"/>
      <c r="BA290" s="575"/>
      <c r="BB290" s="575"/>
      <c r="BC290" s="575"/>
      <c r="BD290" s="575"/>
      <c r="BE290" s="575"/>
      <c r="BF290" s="575"/>
      <c r="BG290" s="575"/>
      <c r="BH290" s="575"/>
      <c r="BI290" s="473"/>
      <c r="BJ290" s="473"/>
      <c r="BK290" s="473"/>
      <c r="BL290" s="473"/>
      <c r="BM290" s="473"/>
      <c r="BN290" s="473"/>
      <c r="BO290" s="473"/>
      <c r="BP290" s="473"/>
      <c r="BQ290" s="473"/>
      <c r="BR290" s="473"/>
      <c r="BS290" s="473"/>
      <c r="BT290" s="473"/>
      <c r="BU290" s="473"/>
      <c r="BV290" s="473"/>
      <c r="BW290" s="473"/>
      <c r="BX290" s="473"/>
      <c r="BY290" s="473"/>
      <c r="BZ290" s="473"/>
      <c r="CA290" s="473"/>
      <c r="CB290" s="473"/>
      <c r="CC290" s="473"/>
      <c r="CD290" s="473"/>
      <c r="CE290" s="473"/>
      <c r="CF290" s="473"/>
      <c r="CG290" s="473"/>
      <c r="CH290" s="473"/>
      <c r="CI290" s="473"/>
    </row>
    <row r="291" spans="1:87" ht="12.75" customHeight="1" x14ac:dyDescent="0.2">
      <c r="A291" s="473"/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  <c r="AL291" s="473"/>
      <c r="AM291" s="473"/>
      <c r="AN291" s="473"/>
      <c r="AO291" s="473"/>
      <c r="AP291" s="575"/>
      <c r="AQ291" s="575"/>
      <c r="AR291" s="575"/>
      <c r="AS291" s="575"/>
      <c r="AT291" s="575"/>
      <c r="AU291" s="575"/>
      <c r="AV291" s="575"/>
      <c r="AW291" s="575"/>
      <c r="AX291" s="575"/>
      <c r="AY291" s="575"/>
      <c r="AZ291" s="575"/>
      <c r="BA291" s="575"/>
      <c r="BB291" s="575"/>
      <c r="BC291" s="575"/>
      <c r="BD291" s="575"/>
      <c r="BE291" s="575"/>
      <c r="BF291" s="575"/>
      <c r="BG291" s="575"/>
      <c r="BH291" s="575"/>
      <c r="BI291" s="473"/>
      <c r="BJ291" s="473"/>
      <c r="BK291" s="473"/>
      <c r="BL291" s="473"/>
      <c r="BM291" s="473"/>
      <c r="BN291" s="473"/>
      <c r="BO291" s="473"/>
      <c r="BP291" s="473"/>
      <c r="BQ291" s="473"/>
      <c r="BR291" s="473"/>
      <c r="BS291" s="473"/>
      <c r="BT291" s="473"/>
      <c r="BU291" s="473"/>
      <c r="BV291" s="473"/>
      <c r="BW291" s="473"/>
      <c r="BX291" s="473"/>
      <c r="BY291" s="473"/>
      <c r="BZ291" s="473"/>
      <c r="CA291" s="473"/>
      <c r="CB291" s="473"/>
      <c r="CC291" s="473"/>
      <c r="CD291" s="473"/>
      <c r="CE291" s="473"/>
      <c r="CF291" s="473"/>
      <c r="CG291" s="473"/>
      <c r="CH291" s="473"/>
      <c r="CI291" s="473"/>
    </row>
    <row r="292" spans="1:87" ht="12.75" customHeight="1" x14ac:dyDescent="0.2">
      <c r="A292" s="473"/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  <c r="AL292" s="473"/>
      <c r="AM292" s="473"/>
      <c r="AN292" s="473"/>
      <c r="AO292" s="473"/>
      <c r="AP292" s="575"/>
      <c r="AQ292" s="575"/>
      <c r="AR292" s="575"/>
      <c r="AS292" s="575"/>
      <c r="AT292" s="575"/>
      <c r="AU292" s="575"/>
      <c r="AV292" s="575"/>
      <c r="AW292" s="575"/>
      <c r="AX292" s="575"/>
      <c r="AY292" s="575"/>
      <c r="AZ292" s="575"/>
      <c r="BA292" s="575"/>
      <c r="BB292" s="575"/>
      <c r="BC292" s="575"/>
      <c r="BD292" s="575"/>
      <c r="BE292" s="575"/>
      <c r="BF292" s="575"/>
      <c r="BG292" s="575"/>
      <c r="BH292" s="575"/>
      <c r="BI292" s="473"/>
      <c r="BJ292" s="473"/>
      <c r="BK292" s="473"/>
      <c r="BL292" s="473"/>
      <c r="BM292" s="473"/>
      <c r="BN292" s="473"/>
      <c r="BO292" s="473"/>
      <c r="BP292" s="473"/>
      <c r="BQ292" s="473"/>
      <c r="BR292" s="473"/>
      <c r="BS292" s="473"/>
      <c r="BT292" s="473"/>
      <c r="BU292" s="473"/>
      <c r="BV292" s="473"/>
      <c r="BW292" s="473"/>
      <c r="BX292" s="473"/>
      <c r="BY292" s="473"/>
      <c r="BZ292" s="473"/>
      <c r="CA292" s="473"/>
      <c r="CB292" s="473"/>
      <c r="CC292" s="473"/>
      <c r="CD292" s="473"/>
      <c r="CE292" s="473"/>
      <c r="CF292" s="473"/>
      <c r="CG292" s="473"/>
      <c r="CH292" s="473"/>
      <c r="CI292" s="473"/>
    </row>
    <row r="293" spans="1:87" ht="12.75" customHeight="1" x14ac:dyDescent="0.2">
      <c r="A293" s="473"/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  <c r="AL293" s="473"/>
      <c r="AM293" s="473"/>
      <c r="AN293" s="473"/>
      <c r="AO293" s="473"/>
      <c r="AP293" s="575"/>
      <c r="AQ293" s="575"/>
      <c r="AR293" s="575"/>
      <c r="AS293" s="575"/>
      <c r="AT293" s="575"/>
      <c r="AU293" s="575"/>
      <c r="AV293" s="575"/>
      <c r="AW293" s="575"/>
      <c r="AX293" s="575"/>
      <c r="AY293" s="575"/>
      <c r="AZ293" s="575"/>
      <c r="BA293" s="575"/>
      <c r="BB293" s="575"/>
      <c r="BC293" s="575"/>
      <c r="BD293" s="575"/>
      <c r="BE293" s="575"/>
      <c r="BF293" s="575"/>
      <c r="BG293" s="575"/>
      <c r="BH293" s="575"/>
      <c r="BI293" s="473"/>
      <c r="BJ293" s="473"/>
      <c r="BK293" s="473"/>
      <c r="BL293" s="473"/>
      <c r="BM293" s="473"/>
      <c r="BN293" s="473"/>
      <c r="BO293" s="473"/>
      <c r="BP293" s="473"/>
      <c r="BQ293" s="473"/>
      <c r="BR293" s="473"/>
      <c r="BS293" s="473"/>
      <c r="BT293" s="473"/>
      <c r="BU293" s="473"/>
      <c r="BV293" s="473"/>
      <c r="BW293" s="473"/>
      <c r="BX293" s="473"/>
      <c r="BY293" s="473"/>
      <c r="BZ293" s="473"/>
      <c r="CA293" s="473"/>
      <c r="CB293" s="473"/>
      <c r="CC293" s="473"/>
      <c r="CD293" s="473"/>
      <c r="CE293" s="473"/>
      <c r="CF293" s="473"/>
      <c r="CG293" s="473"/>
      <c r="CH293" s="473"/>
      <c r="CI293" s="473"/>
    </row>
    <row r="294" spans="1:87" ht="12.75" customHeight="1" x14ac:dyDescent="0.2">
      <c r="A294" s="473"/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  <c r="AL294" s="473"/>
      <c r="AM294" s="473"/>
      <c r="AN294" s="473"/>
      <c r="AO294" s="473"/>
      <c r="AP294" s="473"/>
      <c r="AQ294" s="473"/>
      <c r="AR294" s="473"/>
      <c r="AS294" s="473"/>
      <c r="AT294" s="473"/>
      <c r="AU294" s="473"/>
      <c r="AV294" s="473"/>
      <c r="AW294" s="473"/>
      <c r="AX294" s="473"/>
      <c r="AY294" s="473"/>
      <c r="AZ294" s="473"/>
      <c r="BA294" s="473"/>
      <c r="BB294" s="473"/>
      <c r="BC294" s="473"/>
      <c r="BD294" s="473"/>
      <c r="BE294" s="473"/>
      <c r="BF294" s="473"/>
      <c r="BG294" s="473"/>
      <c r="BH294" s="473"/>
      <c r="BI294" s="473"/>
      <c r="BJ294" s="473"/>
      <c r="BK294" s="473"/>
      <c r="BL294" s="473"/>
      <c r="BM294" s="473"/>
      <c r="BN294" s="473"/>
      <c r="BO294" s="473"/>
      <c r="BP294" s="473"/>
      <c r="BQ294" s="473"/>
      <c r="BR294" s="473"/>
      <c r="BS294" s="473"/>
      <c r="BT294" s="473"/>
      <c r="BU294" s="473"/>
      <c r="BV294" s="473"/>
      <c r="BW294" s="473"/>
      <c r="BX294" s="473"/>
      <c r="BY294" s="473"/>
      <c r="BZ294" s="473"/>
      <c r="CA294" s="473"/>
      <c r="CB294" s="473"/>
      <c r="CC294" s="473"/>
      <c r="CD294" s="473"/>
      <c r="CE294" s="473"/>
      <c r="CF294" s="473"/>
      <c r="CG294" s="473"/>
      <c r="CH294" s="473"/>
      <c r="CI294" s="473"/>
    </row>
    <row r="295" spans="1:87" ht="12.75" customHeight="1" x14ac:dyDescent="0.2">
      <c r="A295" s="473"/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  <c r="AL295" s="473"/>
      <c r="AM295" s="473"/>
      <c r="AN295" s="473"/>
      <c r="AO295" s="473"/>
      <c r="AP295" s="473"/>
      <c r="AQ295" s="473"/>
      <c r="AR295" s="473"/>
      <c r="AS295" s="473"/>
      <c r="AT295" s="473"/>
      <c r="AU295" s="473"/>
      <c r="AV295" s="473"/>
      <c r="AW295" s="473"/>
      <c r="AX295" s="473"/>
      <c r="AY295" s="473"/>
      <c r="AZ295" s="473"/>
      <c r="BA295" s="473"/>
      <c r="BB295" s="473"/>
      <c r="BC295" s="473"/>
      <c r="BD295" s="473"/>
      <c r="BE295" s="473"/>
      <c r="BF295" s="473"/>
      <c r="BG295" s="473"/>
      <c r="BH295" s="473"/>
      <c r="BI295" s="473"/>
      <c r="BJ295" s="473"/>
      <c r="BK295" s="473"/>
      <c r="BL295" s="473"/>
      <c r="BM295" s="473"/>
      <c r="BN295" s="473"/>
      <c r="BO295" s="473"/>
      <c r="BP295" s="473"/>
      <c r="BQ295" s="473"/>
      <c r="BR295" s="473"/>
      <c r="BS295" s="473"/>
      <c r="BT295" s="473"/>
      <c r="BU295" s="473"/>
      <c r="BV295" s="473"/>
      <c r="BW295" s="473"/>
      <c r="BX295" s="473"/>
      <c r="BY295" s="473"/>
      <c r="BZ295" s="473"/>
      <c r="CA295" s="473"/>
      <c r="CB295" s="473"/>
      <c r="CC295" s="473"/>
      <c r="CD295" s="473"/>
      <c r="CE295" s="473"/>
      <c r="CF295" s="473"/>
      <c r="CG295" s="473"/>
      <c r="CH295" s="473"/>
      <c r="CI295" s="473"/>
    </row>
    <row r="296" spans="1:87" ht="12.75" customHeight="1" x14ac:dyDescent="0.2">
      <c r="A296" s="473"/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  <c r="AL296" s="473"/>
      <c r="AM296" s="473"/>
      <c r="AN296" s="473"/>
      <c r="AO296" s="473"/>
      <c r="AP296" s="473"/>
      <c r="AQ296" s="473"/>
      <c r="AR296" s="473"/>
      <c r="AS296" s="473"/>
      <c r="AT296" s="473"/>
      <c r="AU296" s="473"/>
      <c r="AV296" s="473"/>
      <c r="AW296" s="473"/>
      <c r="AX296" s="473"/>
      <c r="AY296" s="473"/>
      <c r="AZ296" s="473"/>
      <c r="BA296" s="473"/>
      <c r="BB296" s="473"/>
      <c r="BC296" s="473"/>
      <c r="BD296" s="473"/>
      <c r="BE296" s="473"/>
      <c r="BF296" s="473"/>
      <c r="BG296" s="473"/>
      <c r="BH296" s="473"/>
      <c r="BI296" s="473"/>
      <c r="BJ296" s="473"/>
      <c r="BK296" s="473"/>
      <c r="BL296" s="473"/>
      <c r="BM296" s="473"/>
      <c r="BN296" s="473"/>
      <c r="BO296" s="473"/>
      <c r="BP296" s="473"/>
      <c r="BQ296" s="473"/>
      <c r="BR296" s="473"/>
      <c r="BS296" s="473"/>
      <c r="BT296" s="473"/>
      <c r="BU296" s="473"/>
      <c r="BV296" s="473"/>
      <c r="BW296" s="473"/>
      <c r="BX296" s="473"/>
      <c r="BY296" s="473"/>
      <c r="BZ296" s="473"/>
      <c r="CA296" s="473"/>
      <c r="CB296" s="473"/>
      <c r="CC296" s="473"/>
      <c r="CD296" s="473"/>
      <c r="CE296" s="473"/>
      <c r="CF296" s="473"/>
      <c r="CG296" s="473"/>
      <c r="CH296" s="473"/>
      <c r="CI296" s="473"/>
    </row>
    <row r="297" spans="1:87" ht="12.75" customHeight="1" x14ac:dyDescent="0.2">
      <c r="A297" s="473"/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  <c r="AL297" s="473"/>
      <c r="AM297" s="473"/>
      <c r="AN297" s="473"/>
      <c r="AO297" s="473"/>
      <c r="AP297" s="473"/>
      <c r="AQ297" s="473"/>
      <c r="AR297" s="473"/>
      <c r="AS297" s="473"/>
      <c r="AT297" s="473"/>
      <c r="AU297" s="473"/>
      <c r="AV297" s="473"/>
      <c r="AW297" s="473"/>
      <c r="AX297" s="473"/>
      <c r="AY297" s="473"/>
      <c r="AZ297" s="473"/>
      <c r="BA297" s="473"/>
      <c r="BB297" s="473"/>
      <c r="BC297" s="473"/>
      <c r="BD297" s="473"/>
      <c r="BE297" s="473"/>
      <c r="BF297" s="473"/>
      <c r="BG297" s="473"/>
      <c r="BH297" s="473"/>
      <c r="BI297" s="473"/>
      <c r="BJ297" s="473"/>
      <c r="BK297" s="473"/>
      <c r="BL297" s="473"/>
      <c r="BM297" s="473"/>
      <c r="BN297" s="473"/>
      <c r="BO297" s="473"/>
      <c r="BP297" s="473"/>
      <c r="BQ297" s="473"/>
      <c r="BR297" s="473"/>
      <c r="BS297" s="473"/>
      <c r="BT297" s="473"/>
      <c r="BU297" s="473"/>
      <c r="BV297" s="473"/>
      <c r="BW297" s="473"/>
      <c r="BX297" s="473"/>
      <c r="BY297" s="473"/>
      <c r="BZ297" s="473"/>
      <c r="CA297" s="473"/>
      <c r="CB297" s="473"/>
      <c r="CC297" s="473"/>
      <c r="CD297" s="473"/>
      <c r="CE297" s="473"/>
      <c r="CF297" s="473"/>
      <c r="CG297" s="473"/>
      <c r="CH297" s="473"/>
      <c r="CI297" s="473"/>
    </row>
    <row r="298" spans="1:87" ht="12.75" customHeight="1" x14ac:dyDescent="0.2">
      <c r="A298" s="473"/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  <c r="AL298" s="473"/>
      <c r="AM298" s="473"/>
      <c r="AN298" s="473"/>
      <c r="AO298" s="473"/>
      <c r="AP298" s="473"/>
      <c r="AQ298" s="473"/>
      <c r="AR298" s="473"/>
      <c r="AS298" s="473"/>
      <c r="AT298" s="473"/>
      <c r="AU298" s="473"/>
      <c r="AV298" s="473"/>
      <c r="AW298" s="473"/>
      <c r="AX298" s="473"/>
      <c r="AY298" s="473"/>
      <c r="AZ298" s="473"/>
      <c r="BA298" s="473"/>
      <c r="BB298" s="473"/>
      <c r="BC298" s="473"/>
      <c r="BD298" s="473"/>
      <c r="BE298" s="473"/>
      <c r="BF298" s="473"/>
      <c r="BG298" s="473"/>
      <c r="BH298" s="473"/>
      <c r="BI298" s="473"/>
      <c r="BJ298" s="473"/>
      <c r="BK298" s="473"/>
      <c r="BL298" s="473"/>
      <c r="BM298" s="473"/>
      <c r="BN298" s="473"/>
      <c r="BO298" s="473"/>
      <c r="BP298" s="473"/>
      <c r="BQ298" s="473"/>
      <c r="BR298" s="473"/>
      <c r="BS298" s="473"/>
      <c r="BT298" s="473"/>
      <c r="BU298" s="473"/>
      <c r="BV298" s="473"/>
      <c r="BW298" s="473"/>
      <c r="BX298" s="473"/>
      <c r="BY298" s="473"/>
      <c r="BZ298" s="473"/>
      <c r="CA298" s="473"/>
      <c r="CB298" s="473"/>
      <c r="CC298" s="473"/>
      <c r="CD298" s="473"/>
      <c r="CE298" s="473"/>
      <c r="CF298" s="473"/>
      <c r="CG298" s="473"/>
      <c r="CH298" s="473"/>
      <c r="CI298" s="473"/>
    </row>
    <row r="299" spans="1:87" ht="12.75" customHeight="1" x14ac:dyDescent="0.2">
      <c r="A299" s="473"/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  <c r="AL299" s="473"/>
      <c r="AM299" s="473"/>
      <c r="AN299" s="473"/>
      <c r="AO299" s="473"/>
      <c r="AP299" s="473"/>
      <c r="AQ299" s="473"/>
      <c r="AR299" s="473"/>
      <c r="AS299" s="473"/>
      <c r="AT299" s="473"/>
      <c r="AU299" s="473"/>
      <c r="AV299" s="473"/>
      <c r="AW299" s="473"/>
      <c r="AX299" s="473"/>
      <c r="AY299" s="473"/>
      <c r="AZ299" s="473"/>
      <c r="BA299" s="473"/>
      <c r="BB299" s="473"/>
      <c r="BC299" s="473"/>
      <c r="BD299" s="473"/>
      <c r="BE299" s="473"/>
      <c r="BF299" s="473"/>
      <c r="BG299" s="473"/>
      <c r="BH299" s="473"/>
      <c r="BI299" s="473"/>
      <c r="BJ299" s="473"/>
      <c r="BK299" s="473"/>
      <c r="BL299" s="473"/>
      <c r="BM299" s="473"/>
      <c r="BN299" s="473"/>
      <c r="BO299" s="473"/>
      <c r="BP299" s="473"/>
      <c r="BQ299" s="473"/>
      <c r="BR299" s="473"/>
      <c r="BS299" s="473"/>
      <c r="BT299" s="473"/>
      <c r="BU299" s="473"/>
      <c r="BV299" s="473"/>
      <c r="BW299" s="473"/>
      <c r="BX299" s="473"/>
      <c r="BY299" s="473"/>
      <c r="BZ299" s="473"/>
      <c r="CA299" s="473"/>
      <c r="CB299" s="473"/>
      <c r="CC299" s="473"/>
      <c r="CD299" s="473"/>
      <c r="CE299" s="473"/>
      <c r="CF299" s="473"/>
      <c r="CG299" s="473"/>
      <c r="CH299" s="473"/>
      <c r="CI299" s="473"/>
    </row>
    <row r="300" spans="1:87" ht="12.75" customHeight="1" x14ac:dyDescent="0.2">
      <c r="A300" s="473"/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  <c r="AL300" s="473"/>
      <c r="AM300" s="473"/>
      <c r="AN300" s="473"/>
      <c r="AO300" s="473"/>
      <c r="AP300" s="473"/>
      <c r="AQ300" s="473"/>
      <c r="AR300" s="473"/>
      <c r="AS300" s="473"/>
      <c r="AT300" s="473"/>
      <c r="AU300" s="473"/>
      <c r="AV300" s="473"/>
      <c r="AW300" s="473"/>
      <c r="AX300" s="473"/>
      <c r="AY300" s="473"/>
      <c r="AZ300" s="473"/>
      <c r="BA300" s="473"/>
      <c r="BB300" s="473"/>
      <c r="BC300" s="473"/>
      <c r="BD300" s="473"/>
      <c r="BE300" s="473"/>
      <c r="BF300" s="473"/>
      <c r="BG300" s="473"/>
      <c r="BH300" s="473"/>
      <c r="BI300" s="473"/>
      <c r="BJ300" s="473"/>
      <c r="BK300" s="473"/>
      <c r="BL300" s="473"/>
      <c r="BM300" s="473"/>
      <c r="BN300" s="473"/>
      <c r="BO300" s="473"/>
      <c r="BP300" s="473"/>
      <c r="BQ300" s="473"/>
      <c r="BR300" s="473"/>
      <c r="BS300" s="473"/>
      <c r="BT300" s="473"/>
      <c r="BU300" s="473"/>
      <c r="BV300" s="473"/>
      <c r="BW300" s="473"/>
      <c r="BX300" s="473"/>
      <c r="BY300" s="473"/>
      <c r="BZ300" s="473"/>
      <c r="CA300" s="473"/>
      <c r="CB300" s="473"/>
      <c r="CC300" s="473"/>
      <c r="CD300" s="473"/>
      <c r="CE300" s="473"/>
      <c r="CF300" s="473"/>
      <c r="CG300" s="473"/>
      <c r="CH300" s="473"/>
      <c r="CI300" s="473"/>
    </row>
    <row r="301" spans="1:87" ht="12.75" customHeight="1" x14ac:dyDescent="0.2">
      <c r="A301" s="473"/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  <c r="AL301" s="473"/>
      <c r="AM301" s="473"/>
      <c r="AN301" s="473"/>
      <c r="AO301" s="473"/>
      <c r="AP301" s="473"/>
      <c r="AQ301" s="473"/>
      <c r="AR301" s="473"/>
      <c r="AS301" s="473"/>
      <c r="AT301" s="473"/>
      <c r="AU301" s="473"/>
      <c r="AV301" s="473"/>
      <c r="AW301" s="473"/>
      <c r="AX301" s="473"/>
      <c r="AY301" s="473"/>
      <c r="AZ301" s="473"/>
      <c r="BA301" s="473"/>
      <c r="BB301" s="473"/>
      <c r="BC301" s="473"/>
      <c r="BD301" s="473"/>
      <c r="BE301" s="473"/>
      <c r="BF301" s="473"/>
      <c r="BG301" s="473"/>
      <c r="BH301" s="473"/>
      <c r="BI301" s="473"/>
      <c r="BJ301" s="473"/>
      <c r="BK301" s="473"/>
      <c r="BL301" s="473"/>
      <c r="BM301" s="473"/>
      <c r="BN301" s="473"/>
      <c r="BO301" s="473"/>
      <c r="BP301" s="473"/>
      <c r="BQ301" s="473"/>
      <c r="BR301" s="473"/>
      <c r="BS301" s="473"/>
      <c r="BT301" s="473"/>
      <c r="BU301" s="473"/>
      <c r="BV301" s="473"/>
      <c r="BW301" s="473"/>
      <c r="BX301" s="473"/>
      <c r="BY301" s="473"/>
      <c r="BZ301" s="473"/>
      <c r="CA301" s="473"/>
      <c r="CB301" s="473"/>
      <c r="CC301" s="473"/>
      <c r="CD301" s="473"/>
      <c r="CE301" s="473"/>
      <c r="CF301" s="473"/>
      <c r="CG301" s="473"/>
      <c r="CH301" s="473"/>
      <c r="CI301" s="473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4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list" allowBlank="1" showInputMessage="1" showErrorMessage="1" prompt=" - " sqref="K7" xr:uid="{00000000-0002-0000-0400-000004000000}">
      <formula1>$AB$75:$AB$95</formula1>
    </dataValidation>
    <dataValidation type="list" allowBlank="1" showInputMessage="1" prompt=" - " sqref="N29:N48" xr:uid="{00000000-0002-0000-0400-000005000000}">
      <formula1>$R$55:$R$67</formula1>
    </dataValidation>
    <dataValidation type="list" allowBlank="1" showInputMessage="1" prompt=" - " sqref="F29:F48" xr:uid="{00000000-0002-0000-0400-000006000000}">
      <formula1>$C$56:$C$89</formula1>
    </dataValidation>
    <dataValidation type="decimal" allowBlank="1" showInputMessage="1" prompt=" - " sqref="V29:W48" xr:uid="{00000000-0002-0000-0400-000007000000}">
      <formula1>0</formula1>
      <formula2>180</formula2>
    </dataValidation>
    <dataValidation type="decimal" operator="greaterThan" allowBlank="1" showInputMessage="1" prompt=" - " sqref="D7" xr:uid="{00000000-0002-0000-0400-000008000000}">
      <formula1>0</formula1>
    </dataValidation>
    <dataValidation type="decimal" allowBlank="1" showInputMessage="1" prompt=" - " sqref="T29:U48" xr:uid="{00000000-0002-0000-0400-000009000000}">
      <formula1>1</formula1>
      <formula2>200</formula2>
    </dataValidation>
    <dataValidation type="list" allowBlank="1" showInputMessage="1" prompt=" - " sqref="AC29:AC48" xr:uid="{00000000-0002-0000-0400-00000A000000}">
      <formula1>$AN$55:$AN$70</formula1>
    </dataValidation>
    <dataValidation type="list" allowBlank="1" showInputMessage="1" prompt=" - " sqref="AA29:AA48" xr:uid="{00000000-0002-0000-0400-00000B000000}">
      <formula1>$AA$55:$AA$70</formula1>
    </dataValidation>
    <dataValidation type="decimal" operator="lessThanOrEqual" allowBlank="1" showInputMessage="1" prompt=" - " sqref="J29:M48" xr:uid="{00000000-0002-0000-0400-00000C000000}">
      <formula1>255</formula1>
    </dataValidation>
    <dataValidation type="list" allowBlank="1" showInputMessage="1" prompt=" - " sqref="B29:B48" xr:uid="{00000000-0002-0000-0400-00000D000000}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703125" defaultRowHeight="15" customHeight="1" x14ac:dyDescent="0.2"/>
  <cols>
    <col min="1" max="2" width="2.85546875" style="364" customWidth="1"/>
    <col min="3" max="3" width="6.140625" style="364" customWidth="1"/>
    <col min="4" max="4" width="7.5703125" style="364" customWidth="1"/>
    <col min="5" max="5" width="4.28515625" style="364" customWidth="1"/>
    <col min="6" max="6" width="12.140625" style="364" bestFit="1" customWidth="1"/>
    <col min="7" max="7" width="4.85546875" style="364" customWidth="1"/>
    <col min="8" max="8" width="8.140625" style="364" customWidth="1"/>
    <col min="9" max="9" width="9.140625" style="364" customWidth="1"/>
    <col min="10" max="10" width="7.5703125" style="364" customWidth="1"/>
    <col min="11" max="11" width="5.5703125" style="364" customWidth="1"/>
    <col min="12" max="12" width="6.42578125" style="364" customWidth="1"/>
    <col min="13" max="13" width="6.5703125" style="364" customWidth="1"/>
    <col min="14" max="14" width="6.42578125" style="364" customWidth="1"/>
    <col min="15" max="15" width="5.85546875" style="364" customWidth="1"/>
    <col min="16" max="16" width="11.5703125" style="364" customWidth="1"/>
    <col min="17" max="17" width="7.5703125" style="364" customWidth="1"/>
    <col min="18" max="18" width="9.42578125" style="364" customWidth="1"/>
    <col min="19" max="19" width="6.140625" style="364" customWidth="1"/>
    <col min="20" max="22" width="5.5703125" style="364" customWidth="1"/>
    <col min="23" max="23" width="9.28515625" style="364" customWidth="1"/>
    <col min="24" max="24" width="5" style="364" customWidth="1"/>
    <col min="25" max="25" width="4.7109375" style="364" customWidth="1"/>
    <col min="26" max="26" width="6.140625" style="364" customWidth="1"/>
    <col min="27" max="27" width="5.42578125" style="364" customWidth="1"/>
    <col min="28" max="28" width="7.140625" style="364" hidden="1" customWidth="1"/>
    <col min="29" max="29" width="10.85546875" style="364" hidden="1" customWidth="1"/>
    <col min="30" max="30" width="7.28515625" style="364" customWidth="1"/>
    <col min="31" max="31" width="5.5703125" style="364" hidden="1" customWidth="1"/>
    <col min="32" max="32" width="12.42578125" style="364" customWidth="1"/>
    <col min="33" max="34" width="9.7109375" style="364" bestFit="1" customWidth="1"/>
    <col min="35" max="35" width="2.85546875" style="364" customWidth="1"/>
    <col min="36" max="39" width="11.5703125" style="364" customWidth="1"/>
    <col min="40" max="16384" width="12.5703125" style="364"/>
  </cols>
  <sheetData>
    <row r="1" spans="2:39" ht="12.75" customHeight="1" x14ac:dyDescent="0.2">
      <c r="B1" s="362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</row>
    <row r="2" spans="2:39" ht="12.75" customHeight="1" x14ac:dyDescent="0.2">
      <c r="B2" s="362"/>
      <c r="C2" s="365"/>
      <c r="D2" s="365"/>
      <c r="E2" s="363"/>
      <c r="F2" s="365"/>
      <c r="G2" s="365"/>
      <c r="H2" s="363"/>
      <c r="I2" s="363"/>
      <c r="J2" s="366" t="s">
        <v>189</v>
      </c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856" t="s">
        <v>213</v>
      </c>
      <c r="AH2" s="856"/>
      <c r="AI2" s="363"/>
      <c r="AJ2" s="363"/>
      <c r="AK2" s="363"/>
      <c r="AL2" s="363"/>
      <c r="AM2" s="363"/>
    </row>
    <row r="3" spans="2:39" ht="12.75" customHeight="1" x14ac:dyDescent="0.2">
      <c r="B3" s="362"/>
      <c r="C3" s="365"/>
      <c r="D3" s="365"/>
      <c r="E3" s="363"/>
      <c r="F3" s="365"/>
      <c r="G3" s="365"/>
      <c r="H3" s="365"/>
      <c r="I3" s="363"/>
      <c r="J3" s="365" t="s">
        <v>227</v>
      </c>
      <c r="K3" s="363"/>
      <c r="L3" s="363"/>
      <c r="M3" s="363"/>
      <c r="N3" s="363"/>
      <c r="O3" s="363"/>
      <c r="P3" s="363"/>
      <c r="Q3" s="363"/>
      <c r="V3" s="363"/>
      <c r="W3" s="363"/>
      <c r="X3" s="363"/>
      <c r="Y3" s="363"/>
      <c r="Z3" s="363"/>
      <c r="AA3" s="363"/>
      <c r="AB3" s="363"/>
      <c r="AC3" s="363"/>
      <c r="AD3" s="856" t="s">
        <v>190</v>
      </c>
      <c r="AE3" s="856"/>
      <c r="AF3" s="856"/>
      <c r="AG3" s="856"/>
      <c r="AH3" s="856"/>
      <c r="AI3" s="363"/>
      <c r="AJ3" s="363"/>
      <c r="AK3" s="363"/>
      <c r="AL3" s="363"/>
      <c r="AM3" s="363"/>
    </row>
    <row r="4" spans="2:39" ht="12.75" customHeight="1" thickBot="1" x14ac:dyDescent="0.25">
      <c r="B4" s="362"/>
      <c r="C4" s="365"/>
      <c r="D4" s="365"/>
      <c r="E4" s="363"/>
      <c r="F4" s="365"/>
      <c r="G4" s="365"/>
      <c r="H4" s="365"/>
      <c r="I4" s="365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Y4" s="363"/>
      <c r="Z4" s="363"/>
      <c r="AA4" s="363"/>
      <c r="AB4" s="363"/>
      <c r="AC4" s="363"/>
      <c r="AD4" s="363"/>
      <c r="AE4" s="363"/>
      <c r="AF4" s="363"/>
      <c r="AI4" s="363"/>
      <c r="AJ4" s="363"/>
      <c r="AK4" s="363"/>
      <c r="AL4" s="363"/>
      <c r="AM4" s="363"/>
    </row>
    <row r="5" spans="2:39" ht="15" customHeight="1" x14ac:dyDescent="0.2">
      <c r="B5" s="857" t="s">
        <v>4</v>
      </c>
      <c r="C5" s="858"/>
      <c r="D5" s="858"/>
      <c r="E5" s="859"/>
      <c r="F5" s="367">
        <f>+'Diseño 3"'!D5</f>
        <v>0</v>
      </c>
      <c r="G5" s="368"/>
      <c r="H5" s="368"/>
      <c r="I5" s="368"/>
      <c r="J5" s="368"/>
      <c r="K5" s="368"/>
      <c r="L5" s="368"/>
      <c r="M5" s="368"/>
      <c r="N5" s="368"/>
      <c r="O5" s="369"/>
      <c r="P5" s="860" t="s">
        <v>5</v>
      </c>
      <c r="Q5" s="860"/>
      <c r="R5" s="860"/>
      <c r="S5" s="861">
        <f>+'Diseño 3"'!K5</f>
        <v>0</v>
      </c>
      <c r="T5" s="862"/>
      <c r="U5" s="862"/>
      <c r="V5" s="863"/>
      <c r="W5" s="864" t="s">
        <v>6</v>
      </c>
      <c r="X5" s="865"/>
      <c r="Y5" s="860"/>
      <c r="Z5" s="860"/>
      <c r="AA5" s="860"/>
      <c r="AB5" s="860"/>
      <c r="AC5" s="860"/>
      <c r="AD5" s="860"/>
      <c r="AE5" s="860"/>
      <c r="AF5" s="860"/>
      <c r="AG5" s="860"/>
      <c r="AH5" s="866"/>
      <c r="AI5" s="363"/>
      <c r="AJ5" s="363"/>
      <c r="AK5" s="363"/>
      <c r="AL5" s="363"/>
      <c r="AM5" s="363"/>
    </row>
    <row r="6" spans="2:39" ht="15" customHeight="1" x14ac:dyDescent="0.2">
      <c r="B6" s="843" t="s">
        <v>7</v>
      </c>
      <c r="C6" s="844"/>
      <c r="D6" s="844"/>
      <c r="E6" s="845"/>
      <c r="F6" s="370">
        <f>+'Diseño 3"'!D6</f>
        <v>0</v>
      </c>
      <c r="G6" s="371"/>
      <c r="H6" s="371"/>
      <c r="I6" s="371"/>
      <c r="J6" s="371"/>
      <c r="K6" s="371"/>
      <c r="L6" s="371"/>
      <c r="M6" s="371"/>
      <c r="N6" s="371"/>
      <c r="O6" s="372"/>
      <c r="P6" s="846" t="s">
        <v>221</v>
      </c>
      <c r="Q6" s="846"/>
      <c r="R6" s="846"/>
      <c r="S6" s="847"/>
      <c r="T6" s="848"/>
      <c r="U6" s="848"/>
      <c r="V6" s="849"/>
      <c r="W6" s="849" t="s">
        <v>191</v>
      </c>
      <c r="X6" s="850"/>
      <c r="Y6" s="850"/>
      <c r="Z6" s="850"/>
      <c r="AA6" s="850"/>
      <c r="AB6" s="850"/>
      <c r="AC6" s="850"/>
      <c r="AD6" s="850"/>
      <c r="AE6" s="850"/>
      <c r="AF6" s="850"/>
      <c r="AG6" s="850"/>
      <c r="AH6" s="851"/>
      <c r="AI6" s="363"/>
      <c r="AJ6" s="363"/>
      <c r="AK6" s="363"/>
      <c r="AL6" s="363"/>
      <c r="AM6" s="363"/>
    </row>
    <row r="7" spans="2:39" ht="15" customHeight="1" x14ac:dyDescent="0.2">
      <c r="B7" s="843" t="s">
        <v>9</v>
      </c>
      <c r="C7" s="844"/>
      <c r="D7" s="844"/>
      <c r="E7" s="845"/>
      <c r="F7" s="373">
        <f>+'Diseño 3"'!D7</f>
        <v>0</v>
      </c>
      <c r="G7" s="374"/>
      <c r="H7" s="374"/>
      <c r="I7" s="374"/>
      <c r="J7" s="374"/>
      <c r="K7" s="374"/>
      <c r="L7" s="374"/>
      <c r="M7" s="374"/>
      <c r="N7" s="374"/>
      <c r="O7" s="375"/>
      <c r="P7" s="846" t="s">
        <v>222</v>
      </c>
      <c r="Q7" s="846"/>
      <c r="R7" s="846"/>
      <c r="S7" s="855"/>
      <c r="T7" s="855"/>
      <c r="U7" s="855"/>
      <c r="V7" s="855"/>
      <c r="W7" s="376">
        <v>0.5</v>
      </c>
      <c r="X7" s="377">
        <v>0.6</v>
      </c>
      <c r="Y7" s="377">
        <v>0.8</v>
      </c>
      <c r="Z7" s="377">
        <v>1</v>
      </c>
      <c r="AA7" s="377">
        <v>1.5</v>
      </c>
      <c r="AB7" s="378"/>
      <c r="AC7" s="378"/>
      <c r="AD7" s="377">
        <v>2</v>
      </c>
      <c r="AE7" s="379"/>
      <c r="AF7" s="377" t="s">
        <v>192</v>
      </c>
      <c r="AG7" s="377" t="s">
        <v>52</v>
      </c>
      <c r="AH7" s="380" t="s">
        <v>40</v>
      </c>
      <c r="AI7" s="363"/>
      <c r="AJ7" s="363"/>
      <c r="AK7" s="363"/>
      <c r="AL7" s="363"/>
      <c r="AM7" s="363"/>
    </row>
    <row r="8" spans="2:39" ht="15" customHeight="1" x14ac:dyDescent="0.2">
      <c r="B8" s="843" t="s">
        <v>193</v>
      </c>
      <c r="C8" s="844"/>
      <c r="D8" s="844"/>
      <c r="E8" s="845"/>
      <c r="F8" s="381">
        <f>+'Diseño 3"'!K7</f>
        <v>0</v>
      </c>
      <c r="G8" s="382"/>
      <c r="H8" s="382"/>
      <c r="I8" s="382"/>
      <c r="J8" s="382"/>
      <c r="K8" s="382"/>
      <c r="L8" s="382"/>
      <c r="M8" s="382"/>
      <c r="N8" s="382"/>
      <c r="O8" s="383"/>
      <c r="P8" s="846" t="s">
        <v>223</v>
      </c>
      <c r="Q8" s="846"/>
      <c r="R8" s="846"/>
      <c r="S8" s="868">
        <f>+'Diseño 3"'!K6</f>
        <v>0</v>
      </c>
      <c r="T8" s="869"/>
      <c r="U8" s="869"/>
      <c r="V8" s="870"/>
      <c r="W8" s="384">
        <f>SUMIFS('Diseño 3"'!AN29:AN48,'Diseño 3"'!AJ29:AJ48,0.5)</f>
        <v>0</v>
      </c>
      <c r="X8" s="385">
        <f>SUMIFS('Diseño 3"'!AN29:AN48,'Diseño 3"'!AJ29:AJ48,0.6)</f>
        <v>0</v>
      </c>
      <c r="Y8" s="379">
        <f>SUMIFS('Diseño 3"'!AN29:AN48,'Diseño 3"'!AJ29:AJ48,0.8)</f>
        <v>0</v>
      </c>
      <c r="Z8" s="386">
        <f>SUMIFS('Diseño 3"'!AN29:AN48,'Diseño 3"'!AJ29:AJ48,1)</f>
        <v>0</v>
      </c>
      <c r="AA8" s="386">
        <f>SUMIFS('Diseño 3"'!AN29:AN48,'Diseño 3"'!AJ29:AJ48,1.5)</f>
        <v>0</v>
      </c>
      <c r="AB8" s="386"/>
      <c r="AC8" s="386"/>
      <c r="AD8" s="386">
        <f>SUMIFS('Diseño 3"'!AN29:AN48,'Diseño 3"'!AJ29:AJ48,2)</f>
        <v>0</v>
      </c>
      <c r="AE8" s="386"/>
      <c r="AF8" s="386"/>
      <c r="AG8" s="386"/>
      <c r="AH8" s="387">
        <f>SUM(W8:AG8)</f>
        <v>0</v>
      </c>
      <c r="AI8" s="363"/>
      <c r="AJ8" s="363"/>
      <c r="AK8" s="363"/>
      <c r="AL8" s="363"/>
      <c r="AM8" s="363"/>
    </row>
    <row r="9" spans="2:39" ht="15" customHeight="1" thickBot="1" x14ac:dyDescent="0.25">
      <c r="B9" s="828" t="s">
        <v>224</v>
      </c>
      <c r="C9" s="829"/>
      <c r="D9" s="829"/>
      <c r="E9" s="830"/>
      <c r="F9" s="388"/>
      <c r="G9" s="389"/>
      <c r="H9" s="389"/>
      <c r="I9" s="389"/>
      <c r="J9" s="389"/>
      <c r="K9" s="389"/>
      <c r="L9" s="389"/>
      <c r="M9" s="389"/>
      <c r="N9" s="389"/>
      <c r="O9" s="390"/>
      <c r="P9" s="831" t="s">
        <v>218</v>
      </c>
      <c r="Q9" s="831"/>
      <c r="R9" s="831"/>
      <c r="S9" s="832"/>
      <c r="T9" s="832"/>
      <c r="U9" s="832"/>
      <c r="V9" s="832"/>
      <c r="W9" s="391"/>
      <c r="X9" s="391"/>
      <c r="Y9" s="392"/>
      <c r="Z9" s="393"/>
      <c r="AA9" s="393"/>
      <c r="AB9" s="393"/>
      <c r="AC9" s="393"/>
      <c r="AD9" s="393"/>
      <c r="AE9" s="393"/>
      <c r="AF9" s="393"/>
      <c r="AG9" s="394"/>
      <c r="AH9" s="395"/>
      <c r="AI9" s="363"/>
      <c r="AJ9" s="363"/>
      <c r="AK9" s="363"/>
      <c r="AL9" s="363"/>
      <c r="AM9" s="363"/>
    </row>
    <row r="10" spans="2:39" ht="23.25" customHeight="1" thickBot="1" x14ac:dyDescent="0.25">
      <c r="B10" s="396"/>
      <c r="C10" s="396"/>
      <c r="D10" s="396"/>
      <c r="E10" s="396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96"/>
      <c r="Q10" s="396"/>
      <c r="R10" s="396"/>
      <c r="S10" s="397"/>
      <c r="T10" s="397"/>
      <c r="U10" s="397"/>
      <c r="V10" s="397"/>
      <c r="W10" s="397"/>
      <c r="X10" s="397"/>
      <c r="Y10" s="363"/>
      <c r="Z10" s="398"/>
      <c r="AA10" s="398"/>
      <c r="AB10" s="398"/>
      <c r="AC10" s="398"/>
      <c r="AD10" s="398"/>
      <c r="AE10" s="398"/>
      <c r="AF10" s="398"/>
      <c r="AG10" s="833" t="s">
        <v>214</v>
      </c>
      <c r="AH10" s="834"/>
      <c r="AI10" s="363"/>
      <c r="AJ10" s="363"/>
      <c r="AK10" s="363"/>
      <c r="AL10" s="363"/>
      <c r="AM10" s="363"/>
    </row>
    <row r="11" spans="2:39" ht="33" customHeight="1" thickBot="1" x14ac:dyDescent="0.25">
      <c r="B11" s="399" t="s">
        <v>195</v>
      </c>
      <c r="C11" s="822" t="s">
        <v>61</v>
      </c>
      <c r="D11" s="823"/>
      <c r="E11" s="399" t="s">
        <v>60</v>
      </c>
      <c r="F11" s="822" t="s">
        <v>62</v>
      </c>
      <c r="G11" s="823"/>
      <c r="H11" s="822" t="s">
        <v>63</v>
      </c>
      <c r="I11" s="823"/>
      <c r="J11" s="399" t="s">
        <v>21</v>
      </c>
      <c r="K11" s="822" t="s">
        <v>196</v>
      </c>
      <c r="L11" s="823"/>
      <c r="M11" s="399" t="s">
        <v>66</v>
      </c>
      <c r="N11" s="399" t="s">
        <v>67</v>
      </c>
      <c r="O11" s="822" t="s">
        <v>68</v>
      </c>
      <c r="P11" s="823"/>
      <c r="Q11" s="822" t="s">
        <v>197</v>
      </c>
      <c r="R11" s="823"/>
      <c r="S11" s="399" t="s">
        <v>69</v>
      </c>
      <c r="T11" s="400" t="s">
        <v>70</v>
      </c>
      <c r="U11" s="400" t="s">
        <v>70</v>
      </c>
      <c r="V11" s="400" t="s">
        <v>71</v>
      </c>
      <c r="W11" s="399" t="s">
        <v>72</v>
      </c>
      <c r="X11" s="822" t="s">
        <v>76</v>
      </c>
      <c r="Y11" s="823"/>
      <c r="Z11" s="822" t="s">
        <v>77</v>
      </c>
      <c r="AA11" s="823"/>
      <c r="AB11" s="401" t="s">
        <v>198</v>
      </c>
      <c r="AC11" s="402" t="s">
        <v>79</v>
      </c>
      <c r="AD11" s="822" t="s">
        <v>199</v>
      </c>
      <c r="AE11" s="823"/>
      <c r="AF11" s="399" t="s">
        <v>191</v>
      </c>
      <c r="AG11" s="399" t="s">
        <v>216</v>
      </c>
      <c r="AH11" s="399" t="s">
        <v>215</v>
      </c>
      <c r="AI11" s="363"/>
      <c r="AJ11" s="363"/>
      <c r="AK11" s="403"/>
      <c r="AL11" s="403"/>
      <c r="AM11" s="403"/>
    </row>
    <row r="12" spans="2:39" ht="15" customHeight="1" x14ac:dyDescent="0.2">
      <c r="B12" s="404">
        <v>1</v>
      </c>
      <c r="C12" s="867" t="str">
        <f>IF('[1]Diseño 3"'!B29="","",'[1]Diseño 3"'!B29)</f>
        <v/>
      </c>
      <c r="D12" s="787"/>
      <c r="E12" s="405" t="str">
        <f>IF('[1]Diseño 3"'!C29=0,"",'[1]Diseño 3"'!C29)</f>
        <v/>
      </c>
      <c r="F12" s="867" t="str">
        <f>IF('[1]Diseño 3"'!D29="","",'[1]Diseño 3"'!D29)</f>
        <v/>
      </c>
      <c r="G12" s="787"/>
      <c r="H12" s="824" t="str">
        <f>IF('Diseño 3"'!F29="","",'Diseño 3"'!F29)</f>
        <v/>
      </c>
      <c r="I12" s="825"/>
      <c r="J12" s="406" t="str">
        <f>IF(H12="","",'Diseño 3"'!I29)</f>
        <v/>
      </c>
      <c r="K12" s="407" t="str">
        <f>IF('Diseño 3"'!J29="","",'Diseño 3"'!J29)</f>
        <v/>
      </c>
      <c r="L12" s="407" t="str">
        <f>IF('Diseño 3"'!K29="","",'Diseño 3"'!K29)</f>
        <v/>
      </c>
      <c r="M12" s="407" t="str">
        <f>IF('Diseño 3"'!L29="","",'Diseño 3"'!L29)</f>
        <v/>
      </c>
      <c r="N12" s="407" t="str">
        <f>IF('Diseño 3"'!M29="","",'Diseño 3"'!M29)</f>
        <v/>
      </c>
      <c r="O12" s="824" t="str">
        <f>IF('Diseño 3"'!N29="","",'Diseño 3"'!N29)</f>
        <v/>
      </c>
      <c r="P12" s="825"/>
      <c r="Q12" s="407" t="str">
        <f>IF('Diseño 3"'!Q29="","",'Diseño 3"'!Q29)</f>
        <v/>
      </c>
      <c r="R12" s="407" t="str">
        <f>IF('Diseño 3"'!R29="","",'Diseño 3"'!R29)</f>
        <v/>
      </c>
      <c r="S12" s="407" t="str">
        <f>IF('Diseño 3"'!S29="","",'Diseño 3"'!S29)</f>
        <v/>
      </c>
      <c r="T12" s="407" t="str">
        <f>IF('Diseño 3"'!T29="","",'Diseño 3"'!T29)</f>
        <v/>
      </c>
      <c r="U12" s="407" t="str">
        <f>IF('Diseño 3"'!U29="","",'Diseño 3"'!U29)</f>
        <v/>
      </c>
      <c r="V12" s="407" t="str">
        <f>IF('Diseño 3"'!V29="","",'Diseño 3"'!V29)</f>
        <v/>
      </c>
      <c r="W12" s="407" t="str">
        <f>IF('Diseño 3"'!W29="","",'Diseño 3"'!W29)</f>
        <v/>
      </c>
      <c r="X12" s="824" t="str">
        <f>IF('Diseño 3"'!X29="","",'Diseño 3"'!X29)</f>
        <v/>
      </c>
      <c r="Y12" s="825"/>
      <c r="Z12" s="826" t="str">
        <f>IF('Diseño 3"'!AC29="","",'Diseño 3"'!AC29)</f>
        <v/>
      </c>
      <c r="AA12" s="827"/>
      <c r="AB12" s="408" t="str">
        <f>IF('[1]Diseño 3"'!AE29=TRUE,0.5,"")</f>
        <v/>
      </c>
      <c r="AC12" s="409" t="str">
        <f>IF('[1]Diseño 3"'!AF29="","",'[1]Diseño 3"'!AF29)</f>
        <v/>
      </c>
      <c r="AD12" s="410" t="str">
        <f>'Diseño 3"'!AJ29</f>
        <v/>
      </c>
      <c r="AE12" s="410" t="str">
        <f>'Diseño 3"'!AK29</f>
        <v/>
      </c>
      <c r="AF12" s="411" t="str">
        <f>IF('Diseño 3"'!AN29="","",'Diseño 3"'!AN29)</f>
        <v/>
      </c>
      <c r="AG12" s="412"/>
      <c r="AH12" s="413"/>
      <c r="AI12" s="414"/>
      <c r="AJ12" s="414"/>
      <c r="AK12" s="363"/>
      <c r="AL12" s="363"/>
      <c r="AM12" s="363"/>
    </row>
    <row r="13" spans="2:39" ht="15" customHeight="1" x14ac:dyDescent="0.2">
      <c r="B13" s="415">
        <v>2</v>
      </c>
      <c r="C13" s="854" t="str">
        <f>IF('[1]Diseño 3"'!B30="","",'[1]Diseño 3"'!B30)</f>
        <v/>
      </c>
      <c r="D13" s="777"/>
      <c r="E13" s="416" t="str">
        <f>IF('[1]Diseño 3"'!C30=0,"",'[1]Diseño 3"'!C30)</f>
        <v/>
      </c>
      <c r="F13" s="854" t="str">
        <f>IF('[1]Diseño 3"'!D30="","",'[1]Diseño 3"'!D30)</f>
        <v/>
      </c>
      <c r="G13" s="777"/>
      <c r="H13" s="812" t="str">
        <f>IF('Diseño 3"'!F30="","",'Diseño 3"'!F30)</f>
        <v/>
      </c>
      <c r="I13" s="813"/>
      <c r="J13" s="417" t="str">
        <f>IF(H13="","",'Diseño 3"'!I30)</f>
        <v/>
      </c>
      <c r="K13" s="418" t="str">
        <f>IF('Diseño 3"'!J30="","",'Diseño 3"'!J30)</f>
        <v/>
      </c>
      <c r="L13" s="418" t="str">
        <f>IF('Diseño 3"'!K30="","",'Diseño 3"'!K30)</f>
        <v/>
      </c>
      <c r="M13" s="418" t="str">
        <f>IF('Diseño 3"'!L30="","",'Diseño 3"'!L30)</f>
        <v/>
      </c>
      <c r="N13" s="418" t="str">
        <f>IF('Diseño 3"'!M30="","",'Diseño 3"'!M30)</f>
        <v/>
      </c>
      <c r="O13" s="812" t="str">
        <f>IF('Diseño 3"'!N30="","",'Diseño 3"'!N30)</f>
        <v/>
      </c>
      <c r="P13" s="813"/>
      <c r="Q13" s="418" t="str">
        <f>IF('Diseño 3"'!Q30="","",'Diseño 3"'!Q30)</f>
        <v/>
      </c>
      <c r="R13" s="418" t="str">
        <f>IF('Diseño 3"'!R30="","",'Diseño 3"'!R30)</f>
        <v/>
      </c>
      <c r="S13" s="418" t="str">
        <f>IF('Diseño 3"'!S30="","",'Diseño 3"'!S30)</f>
        <v/>
      </c>
      <c r="T13" s="418" t="str">
        <f>IF('Diseño 3"'!T30="","",'Diseño 3"'!T30)</f>
        <v/>
      </c>
      <c r="U13" s="418" t="str">
        <f>IF('Diseño 3"'!U30="","",'Diseño 3"'!U30)</f>
        <v/>
      </c>
      <c r="V13" s="418" t="str">
        <f>IF('Diseño 3"'!V30="","",'Diseño 3"'!V30)</f>
        <v/>
      </c>
      <c r="W13" s="418" t="str">
        <f>IF('Diseño 3"'!W30="","",'Diseño 3"'!W30)</f>
        <v/>
      </c>
      <c r="X13" s="812" t="str">
        <f>IF('Diseño 3"'!X30="","",'Diseño 3"'!X30)</f>
        <v/>
      </c>
      <c r="Y13" s="813"/>
      <c r="Z13" s="814" t="str">
        <f>IF('Diseño 3"'!AC30="","",'Diseño 3"'!AC30)</f>
        <v/>
      </c>
      <c r="AA13" s="815"/>
      <c r="AB13" s="408" t="str">
        <f>IF('[1]Diseño 3"'!AE30=TRUE,0.5,"")</f>
        <v/>
      </c>
      <c r="AC13" s="409" t="str">
        <f>IF('[1]Diseño 3"'!AF30="","",'[1]Diseño 3"'!AF30)</f>
        <v/>
      </c>
      <c r="AD13" s="419" t="str">
        <f>'Diseño 3"'!AJ30</f>
        <v/>
      </c>
      <c r="AE13" s="420">
        <f>'[1]Diseño 3"'!AK30</f>
        <v>0</v>
      </c>
      <c r="AF13" s="421" t="str">
        <f>IF('Diseño 3"'!AN30="","",'Diseño 3"'!AN30)</f>
        <v/>
      </c>
      <c r="AG13" s="422"/>
      <c r="AH13" s="423"/>
      <c r="AI13" s="414"/>
      <c r="AJ13" s="414"/>
      <c r="AK13" s="363"/>
      <c r="AL13" s="363"/>
      <c r="AM13" s="363"/>
    </row>
    <row r="14" spans="2:39" ht="15" customHeight="1" x14ac:dyDescent="0.2">
      <c r="B14" s="415">
        <v>3</v>
      </c>
      <c r="C14" s="854" t="str">
        <f>IF('[1]Diseño 3"'!B31="","",'[1]Diseño 3"'!B31)</f>
        <v/>
      </c>
      <c r="D14" s="777"/>
      <c r="E14" s="416" t="str">
        <f>IF('[1]Diseño 3"'!C31=0,"",'[1]Diseño 3"'!C31)</f>
        <v/>
      </c>
      <c r="F14" s="854" t="str">
        <f>IF('[1]Diseño 3"'!D31="","",'[1]Diseño 3"'!D31)</f>
        <v/>
      </c>
      <c r="G14" s="777"/>
      <c r="H14" s="812" t="str">
        <f>IF('Diseño 3"'!F31="","",'Diseño 3"'!F31)</f>
        <v/>
      </c>
      <c r="I14" s="813"/>
      <c r="J14" s="417" t="str">
        <f>IF(H14="","",'Diseño 3"'!I31)</f>
        <v/>
      </c>
      <c r="K14" s="418" t="str">
        <f>IF('Diseño 3"'!J31="","",'Diseño 3"'!J31)</f>
        <v/>
      </c>
      <c r="L14" s="418" t="str">
        <f>IF('Diseño 3"'!K31="","",'Diseño 3"'!K31)</f>
        <v/>
      </c>
      <c r="M14" s="418" t="str">
        <f>IF('Diseño 3"'!L31="","",'Diseño 3"'!L31)</f>
        <v/>
      </c>
      <c r="N14" s="418" t="str">
        <f>IF('Diseño 3"'!M31="","",'Diseño 3"'!M31)</f>
        <v/>
      </c>
      <c r="O14" s="812" t="str">
        <f>IF('Diseño 3"'!N31="","",'Diseño 3"'!N31)</f>
        <v/>
      </c>
      <c r="P14" s="813"/>
      <c r="Q14" s="418" t="str">
        <f>IF('Diseño 3"'!Q31="","",'Diseño 3"'!Q31)</f>
        <v/>
      </c>
      <c r="R14" s="418" t="str">
        <f>IF('Diseño 3"'!R31="","",'Diseño 3"'!R31)</f>
        <v/>
      </c>
      <c r="S14" s="418" t="str">
        <f>IF('Diseño 3"'!S31="","",'Diseño 3"'!S31)</f>
        <v/>
      </c>
      <c r="T14" s="418" t="str">
        <f>IF('Diseño 3"'!T31="","",'Diseño 3"'!T31)</f>
        <v/>
      </c>
      <c r="U14" s="418" t="str">
        <f>IF('Diseño 3"'!U31="","",'Diseño 3"'!U31)</f>
        <v/>
      </c>
      <c r="V14" s="418" t="str">
        <f>IF('Diseño 3"'!V31="","",'Diseño 3"'!V31)</f>
        <v/>
      </c>
      <c r="W14" s="418" t="str">
        <f>IF('Diseño 3"'!W31="","",'Diseño 3"'!W31)</f>
        <v/>
      </c>
      <c r="X14" s="812" t="str">
        <f>IF('Diseño 3"'!X31="","",'Diseño 3"'!X31)</f>
        <v/>
      </c>
      <c r="Y14" s="813"/>
      <c r="Z14" s="814" t="str">
        <f>IF('Diseño 3"'!AC31="","",'Diseño 3"'!AC31)</f>
        <v/>
      </c>
      <c r="AA14" s="815"/>
      <c r="AB14" s="408" t="str">
        <f>IF('[1]Diseño 3"'!AE31=TRUE,0.5,"")</f>
        <v/>
      </c>
      <c r="AC14" s="409" t="str">
        <f>IF('[1]Diseño 3"'!AF31="","",'[1]Diseño 3"'!AF31)</f>
        <v/>
      </c>
      <c r="AD14" s="419" t="str">
        <f>'Diseño 3"'!AJ31</f>
        <v/>
      </c>
      <c r="AE14" s="420">
        <f>'[1]Diseño 3"'!AK31</f>
        <v>0</v>
      </c>
      <c r="AF14" s="421" t="str">
        <f>IF('Diseño 3"'!AN31="","",'Diseño 3"'!AN31)</f>
        <v/>
      </c>
      <c r="AG14" s="422"/>
      <c r="AH14" s="423"/>
      <c r="AI14" s="414"/>
      <c r="AJ14" s="414"/>
      <c r="AK14" s="363"/>
      <c r="AL14" s="363"/>
      <c r="AM14" s="363"/>
    </row>
    <row r="15" spans="2:39" ht="15" customHeight="1" x14ac:dyDescent="0.2">
      <c r="B15" s="415">
        <v>4</v>
      </c>
      <c r="C15" s="854" t="str">
        <f>IF('[1]Diseño 3"'!B32="","",'[1]Diseño 3"'!B32)</f>
        <v/>
      </c>
      <c r="D15" s="777"/>
      <c r="E15" s="416" t="str">
        <f>IF('[1]Diseño 3"'!C32=0,"",'[1]Diseño 3"'!C32)</f>
        <v/>
      </c>
      <c r="F15" s="854" t="str">
        <f>IF('[1]Diseño 3"'!D32="","",'[1]Diseño 3"'!D32)</f>
        <v/>
      </c>
      <c r="G15" s="777"/>
      <c r="H15" s="812" t="str">
        <f>IF('Diseño 3"'!F32="","",'Diseño 3"'!F32)</f>
        <v/>
      </c>
      <c r="I15" s="813"/>
      <c r="J15" s="417" t="str">
        <f>IF(H15="","",'Diseño 3"'!I32)</f>
        <v/>
      </c>
      <c r="K15" s="418" t="str">
        <f>IF('Diseño 3"'!J32="","",'Diseño 3"'!J32)</f>
        <v/>
      </c>
      <c r="L15" s="418" t="str">
        <f>IF('Diseño 3"'!K32="","",'Diseño 3"'!K32)</f>
        <v/>
      </c>
      <c r="M15" s="418" t="str">
        <f>IF('Diseño 3"'!L32="","",'Diseño 3"'!L32)</f>
        <v/>
      </c>
      <c r="N15" s="418" t="str">
        <f>IF('Diseño 3"'!M32="","",'Diseño 3"'!M32)</f>
        <v/>
      </c>
      <c r="O15" s="812" t="str">
        <f>IF('Diseño 3"'!N32="","",'Diseño 3"'!N32)</f>
        <v/>
      </c>
      <c r="P15" s="813"/>
      <c r="Q15" s="418" t="str">
        <f>IF('Diseño 3"'!Q32="","",'Diseño 3"'!Q32)</f>
        <v/>
      </c>
      <c r="R15" s="418" t="str">
        <f>IF('Diseño 3"'!R32="","",'Diseño 3"'!R32)</f>
        <v/>
      </c>
      <c r="S15" s="418" t="str">
        <f>IF('Diseño 3"'!S32="","",'Diseño 3"'!S32)</f>
        <v/>
      </c>
      <c r="T15" s="418" t="str">
        <f>IF('Diseño 3"'!T32="","",'Diseño 3"'!T32)</f>
        <v/>
      </c>
      <c r="U15" s="418" t="str">
        <f>IF('Diseño 3"'!U32="","",'Diseño 3"'!U32)</f>
        <v/>
      </c>
      <c r="V15" s="418" t="str">
        <f>IF('Diseño 3"'!V32="","",'Diseño 3"'!V32)</f>
        <v/>
      </c>
      <c r="W15" s="418" t="str">
        <f>IF('Diseño 3"'!W32="","",'Diseño 3"'!W32)</f>
        <v/>
      </c>
      <c r="X15" s="812" t="str">
        <f>IF('Diseño 3"'!X32="","",'Diseño 3"'!X32)</f>
        <v/>
      </c>
      <c r="Y15" s="813"/>
      <c r="Z15" s="814" t="str">
        <f>IF('Diseño 3"'!AC32="","",'Diseño 3"'!AC32)</f>
        <v/>
      </c>
      <c r="AA15" s="815"/>
      <c r="AB15" s="408" t="str">
        <f>IF('[1]Diseño 3"'!AE32=TRUE,0.5,"")</f>
        <v/>
      </c>
      <c r="AC15" s="409" t="str">
        <f>IF('[1]Diseño 3"'!AF32="","",'[1]Diseño 3"'!AF32)</f>
        <v/>
      </c>
      <c r="AD15" s="419" t="str">
        <f>'Diseño 3"'!AJ32</f>
        <v/>
      </c>
      <c r="AE15" s="420">
        <f>'[1]Diseño 3"'!AK32</f>
        <v>0</v>
      </c>
      <c r="AF15" s="421" t="str">
        <f>IF('Diseño 3"'!AN32="","",'Diseño 3"'!AN32)</f>
        <v/>
      </c>
      <c r="AG15" s="422"/>
      <c r="AH15" s="423"/>
      <c r="AI15" s="414"/>
      <c r="AJ15" s="414"/>
      <c r="AK15" s="363"/>
      <c r="AL15" s="363"/>
      <c r="AM15" s="363"/>
    </row>
    <row r="16" spans="2:39" ht="15" customHeight="1" x14ac:dyDescent="0.2">
      <c r="B16" s="415">
        <v>5</v>
      </c>
      <c r="C16" s="854" t="str">
        <f>IF('[1]Diseño 3"'!B33="","",'[1]Diseño 3"'!B33)</f>
        <v/>
      </c>
      <c r="D16" s="777"/>
      <c r="E16" s="416" t="str">
        <f>IF('[1]Diseño 3"'!C33=0,"",'[1]Diseño 3"'!C33)</f>
        <v/>
      </c>
      <c r="F16" s="854" t="str">
        <f>IF('[1]Diseño 3"'!D33="","",'[1]Diseño 3"'!D33)</f>
        <v/>
      </c>
      <c r="G16" s="777"/>
      <c r="H16" s="812" t="str">
        <f>IF('Diseño 3"'!F33="","",'Diseño 3"'!F33)</f>
        <v/>
      </c>
      <c r="I16" s="813"/>
      <c r="J16" s="417" t="str">
        <f>IF(H16="","",'Diseño 3"'!I33)</f>
        <v/>
      </c>
      <c r="K16" s="418" t="str">
        <f>IF('Diseño 3"'!J33="","",'Diseño 3"'!J33)</f>
        <v/>
      </c>
      <c r="L16" s="418" t="str">
        <f>IF('Diseño 3"'!K33="","",'Diseño 3"'!K33)</f>
        <v/>
      </c>
      <c r="M16" s="418" t="str">
        <f>IF('Diseño 3"'!L33="","",'Diseño 3"'!L33)</f>
        <v/>
      </c>
      <c r="N16" s="418" t="str">
        <f>IF('Diseño 3"'!M33="","",'Diseño 3"'!M33)</f>
        <v/>
      </c>
      <c r="O16" s="812" t="str">
        <f>IF('Diseño 3"'!N33="","",'Diseño 3"'!N33)</f>
        <v/>
      </c>
      <c r="P16" s="813"/>
      <c r="Q16" s="418" t="str">
        <f>IF('Diseño 3"'!Q33="","",'Diseño 3"'!Q33)</f>
        <v/>
      </c>
      <c r="R16" s="418" t="str">
        <f>IF('Diseño 3"'!R33="","",'Diseño 3"'!R33)</f>
        <v/>
      </c>
      <c r="S16" s="418" t="str">
        <f>IF('Diseño 3"'!S33="","",'Diseño 3"'!S33)</f>
        <v/>
      </c>
      <c r="T16" s="418" t="str">
        <f>IF('Diseño 3"'!T33="","",'Diseño 3"'!T33)</f>
        <v/>
      </c>
      <c r="U16" s="418" t="str">
        <f>IF('Diseño 3"'!U33="","",'Diseño 3"'!U33)</f>
        <v/>
      </c>
      <c r="V16" s="418" t="str">
        <f>IF('Diseño 3"'!V33="","",'Diseño 3"'!V33)</f>
        <v/>
      </c>
      <c r="W16" s="418" t="str">
        <f>IF('Diseño 3"'!W33="","",'Diseño 3"'!W33)</f>
        <v/>
      </c>
      <c r="X16" s="812" t="str">
        <f>IF('Diseño 3"'!X33="","",'Diseño 3"'!X33)</f>
        <v/>
      </c>
      <c r="Y16" s="813"/>
      <c r="Z16" s="814" t="str">
        <f>IF('Diseño 3"'!AC33="","",'Diseño 3"'!AC33)</f>
        <v/>
      </c>
      <c r="AA16" s="815"/>
      <c r="AB16" s="408" t="str">
        <f>IF('[1]Diseño 3"'!AE33=TRUE,0.5,"")</f>
        <v/>
      </c>
      <c r="AC16" s="409" t="str">
        <f>IF('[1]Diseño 3"'!AF33="","",'[1]Diseño 3"'!AF33)</f>
        <v/>
      </c>
      <c r="AD16" s="419" t="str">
        <f>'Diseño 3"'!AJ33</f>
        <v/>
      </c>
      <c r="AE16" s="420">
        <f>'[1]Diseño 3"'!AK33</f>
        <v>0</v>
      </c>
      <c r="AF16" s="421" t="str">
        <f>IF('Diseño 3"'!AN33="","",'Diseño 3"'!AN33)</f>
        <v/>
      </c>
      <c r="AG16" s="422"/>
      <c r="AH16" s="423"/>
      <c r="AI16" s="414"/>
      <c r="AJ16" s="414"/>
      <c r="AK16" s="363"/>
      <c r="AL16" s="363"/>
      <c r="AM16" s="363"/>
    </row>
    <row r="17" spans="2:39" ht="15" customHeight="1" x14ac:dyDescent="0.2">
      <c r="B17" s="415">
        <v>6</v>
      </c>
      <c r="C17" s="854" t="str">
        <f>IF('[1]Diseño 3"'!B34="","",'[1]Diseño 3"'!B34)</f>
        <v/>
      </c>
      <c r="D17" s="777"/>
      <c r="E17" s="416" t="str">
        <f>IF('[1]Diseño 3"'!C34=0,"",'[1]Diseño 3"'!C34)</f>
        <v/>
      </c>
      <c r="F17" s="854" t="str">
        <f>IF('[1]Diseño 3"'!D34="","",'[1]Diseño 3"'!D34)</f>
        <v/>
      </c>
      <c r="G17" s="777"/>
      <c r="H17" s="812" t="str">
        <f>IF('Diseño 3"'!F34="","",'Diseño 3"'!F34)</f>
        <v/>
      </c>
      <c r="I17" s="813"/>
      <c r="J17" s="417" t="str">
        <f>IF(H17="","",'Diseño 3"'!I34)</f>
        <v/>
      </c>
      <c r="K17" s="418" t="str">
        <f>IF('Diseño 3"'!J34="","",'Diseño 3"'!J34)</f>
        <v/>
      </c>
      <c r="L17" s="418" t="str">
        <f>IF('Diseño 3"'!K34="","",'Diseño 3"'!K34)</f>
        <v/>
      </c>
      <c r="M17" s="418" t="str">
        <f>IF('Diseño 3"'!L34="","",'Diseño 3"'!L34)</f>
        <v/>
      </c>
      <c r="N17" s="418" t="str">
        <f>IF('Diseño 3"'!M34="","",'Diseño 3"'!M34)</f>
        <v/>
      </c>
      <c r="O17" s="812" t="str">
        <f>IF('Diseño 3"'!N34="","",'Diseño 3"'!N34)</f>
        <v/>
      </c>
      <c r="P17" s="813"/>
      <c r="Q17" s="418" t="str">
        <f>IF('Diseño 3"'!Q34="","",'Diseño 3"'!Q34)</f>
        <v/>
      </c>
      <c r="R17" s="418" t="str">
        <f>IF('Diseño 3"'!R34="","",'Diseño 3"'!R34)</f>
        <v/>
      </c>
      <c r="S17" s="418" t="str">
        <f>IF('Diseño 3"'!S34="","",'Diseño 3"'!S34)</f>
        <v/>
      </c>
      <c r="T17" s="418" t="str">
        <f>IF('Diseño 3"'!T34="","",'Diseño 3"'!T34)</f>
        <v/>
      </c>
      <c r="U17" s="418" t="str">
        <f>IF('Diseño 3"'!U34="","",'Diseño 3"'!U34)</f>
        <v/>
      </c>
      <c r="V17" s="418" t="str">
        <f>IF('Diseño 3"'!V34="","",'Diseño 3"'!V34)</f>
        <v/>
      </c>
      <c r="W17" s="418" t="str">
        <f>IF('Diseño 3"'!W34="","",'Diseño 3"'!W34)</f>
        <v/>
      </c>
      <c r="X17" s="812" t="str">
        <f>IF('Diseño 3"'!X34="","",'Diseño 3"'!X34)</f>
        <v/>
      </c>
      <c r="Y17" s="813"/>
      <c r="Z17" s="814" t="str">
        <f>IF('Diseño 3"'!AC34="","",'Diseño 3"'!AC34)</f>
        <v/>
      </c>
      <c r="AA17" s="815"/>
      <c r="AB17" s="408" t="str">
        <f>IF('[1]Diseño 3"'!AE34=TRUE,0.5,"")</f>
        <v/>
      </c>
      <c r="AC17" s="409" t="str">
        <f>IF('[1]Diseño 3"'!AF34="","",'[1]Diseño 3"'!AF34)</f>
        <v/>
      </c>
      <c r="AD17" s="419" t="str">
        <f>'Diseño 3"'!AJ34</f>
        <v/>
      </c>
      <c r="AE17" s="420">
        <f>'[1]Diseño 3"'!AK34</f>
        <v>0</v>
      </c>
      <c r="AF17" s="421" t="str">
        <f>IF('Diseño 3"'!AN34="","",'Diseño 3"'!AN34)</f>
        <v/>
      </c>
      <c r="AG17" s="422"/>
      <c r="AH17" s="423"/>
      <c r="AI17" s="414"/>
      <c r="AJ17" s="414"/>
      <c r="AK17" s="363"/>
      <c r="AL17" s="363"/>
      <c r="AM17" s="363"/>
    </row>
    <row r="18" spans="2:39" ht="15" customHeight="1" x14ac:dyDescent="0.2">
      <c r="B18" s="415">
        <v>7</v>
      </c>
      <c r="C18" s="854" t="str">
        <f>IF('[1]Diseño 3"'!B35="","",'[1]Diseño 3"'!B35)</f>
        <v/>
      </c>
      <c r="D18" s="777"/>
      <c r="E18" s="416" t="str">
        <f>IF('[1]Diseño 3"'!C35=0,"",'[1]Diseño 3"'!C35)</f>
        <v/>
      </c>
      <c r="F18" s="854" t="str">
        <f>IF('[1]Diseño 3"'!D35="","",'[1]Diseño 3"'!D35)</f>
        <v/>
      </c>
      <c r="G18" s="777"/>
      <c r="H18" s="812" t="str">
        <f>IF('Diseño 3"'!F35="","",'Diseño 3"'!F35)</f>
        <v/>
      </c>
      <c r="I18" s="813"/>
      <c r="J18" s="417" t="str">
        <f>IF(H18="","",'Diseño 3"'!I35)</f>
        <v/>
      </c>
      <c r="K18" s="418" t="str">
        <f>IF('Diseño 3"'!J35="","",'Diseño 3"'!J35)</f>
        <v/>
      </c>
      <c r="L18" s="418" t="str">
        <f>IF('Diseño 3"'!K35="","",'Diseño 3"'!K35)</f>
        <v/>
      </c>
      <c r="M18" s="418" t="str">
        <f>IF('Diseño 3"'!L35="","",'Diseño 3"'!L35)</f>
        <v/>
      </c>
      <c r="N18" s="418" t="str">
        <f>IF('Diseño 3"'!M35="","",'Diseño 3"'!M35)</f>
        <v/>
      </c>
      <c r="O18" s="812" t="str">
        <f>IF('Diseño 3"'!N35="","",'Diseño 3"'!N35)</f>
        <v/>
      </c>
      <c r="P18" s="813"/>
      <c r="Q18" s="418" t="str">
        <f>IF('Diseño 3"'!Q35="","",'Diseño 3"'!Q35)</f>
        <v/>
      </c>
      <c r="R18" s="418" t="str">
        <f>IF('Diseño 3"'!R35="","",'Diseño 3"'!R35)</f>
        <v/>
      </c>
      <c r="S18" s="418" t="str">
        <f>IF('Diseño 3"'!S35="","",'Diseño 3"'!S35)</f>
        <v/>
      </c>
      <c r="T18" s="418" t="str">
        <f>IF('Diseño 3"'!T35="","",'Diseño 3"'!T35)</f>
        <v/>
      </c>
      <c r="U18" s="418" t="str">
        <f>IF('Diseño 3"'!U35="","",'Diseño 3"'!U35)</f>
        <v/>
      </c>
      <c r="V18" s="418" t="str">
        <f>IF('Diseño 3"'!V35="","",'Diseño 3"'!V35)</f>
        <v/>
      </c>
      <c r="W18" s="418" t="str">
        <f>IF('Diseño 3"'!W35="","",'Diseño 3"'!W35)</f>
        <v/>
      </c>
      <c r="X18" s="812" t="str">
        <f>IF('Diseño 3"'!X35="","",'Diseño 3"'!X35)</f>
        <v/>
      </c>
      <c r="Y18" s="813"/>
      <c r="Z18" s="814" t="str">
        <f>IF('Diseño 3"'!AC35="","",'Diseño 3"'!AC35)</f>
        <v/>
      </c>
      <c r="AA18" s="815"/>
      <c r="AB18" s="408" t="str">
        <f>IF('[1]Diseño 3"'!AE35=TRUE,0.5,"")</f>
        <v/>
      </c>
      <c r="AC18" s="409" t="str">
        <f>IF('[1]Diseño 3"'!AF35="","",'[1]Diseño 3"'!AF35)</f>
        <v/>
      </c>
      <c r="AD18" s="419" t="str">
        <f>'Diseño 3"'!AJ35</f>
        <v/>
      </c>
      <c r="AE18" s="420">
        <f>'[1]Diseño 3"'!AK35</f>
        <v>0</v>
      </c>
      <c r="AF18" s="421" t="str">
        <f>IF('Diseño 3"'!AN35="","",'Diseño 3"'!AN35)</f>
        <v/>
      </c>
      <c r="AG18" s="422"/>
      <c r="AH18" s="423"/>
      <c r="AI18" s="414"/>
      <c r="AJ18" s="414"/>
      <c r="AK18" s="363"/>
      <c r="AL18" s="363"/>
      <c r="AM18" s="363"/>
    </row>
    <row r="19" spans="2:39" ht="15" customHeight="1" x14ac:dyDescent="0.2">
      <c r="B19" s="415">
        <v>8</v>
      </c>
      <c r="C19" s="854" t="str">
        <f>IF('[1]Diseño 3"'!B36="","",'[1]Diseño 3"'!B36)</f>
        <v/>
      </c>
      <c r="D19" s="777"/>
      <c r="E19" s="416" t="str">
        <f>IF('[1]Diseño 3"'!C36=0,"",'[1]Diseño 3"'!C36)</f>
        <v/>
      </c>
      <c r="F19" s="854" t="str">
        <f>IF('[1]Diseño 3"'!D36="","",'[1]Diseño 3"'!D36)</f>
        <v/>
      </c>
      <c r="G19" s="777"/>
      <c r="H19" s="812" t="str">
        <f>IF('Diseño 3"'!F36="","",'Diseño 3"'!F36)</f>
        <v/>
      </c>
      <c r="I19" s="813"/>
      <c r="J19" s="417" t="str">
        <f>IF(H19="","",'Diseño 3"'!I36)</f>
        <v/>
      </c>
      <c r="K19" s="418" t="str">
        <f>IF('Diseño 3"'!J36="","",'Diseño 3"'!J36)</f>
        <v/>
      </c>
      <c r="L19" s="418" t="str">
        <f>IF('Diseño 3"'!K36="","",'Diseño 3"'!K36)</f>
        <v/>
      </c>
      <c r="M19" s="418" t="str">
        <f>IF('Diseño 3"'!L36="","",'Diseño 3"'!L36)</f>
        <v/>
      </c>
      <c r="N19" s="418" t="str">
        <f>IF('Diseño 3"'!M36="","",'Diseño 3"'!M36)</f>
        <v/>
      </c>
      <c r="O19" s="812" t="str">
        <f>IF('Diseño 3"'!N36="","",'Diseño 3"'!N36)</f>
        <v/>
      </c>
      <c r="P19" s="813"/>
      <c r="Q19" s="418" t="str">
        <f>IF('Diseño 3"'!Q36="","",'Diseño 3"'!Q36)</f>
        <v/>
      </c>
      <c r="R19" s="418" t="str">
        <f>IF('Diseño 3"'!R36="","",'Diseño 3"'!R36)</f>
        <v/>
      </c>
      <c r="S19" s="418" t="str">
        <f>IF('Diseño 3"'!S36="","",'Diseño 3"'!S36)</f>
        <v/>
      </c>
      <c r="T19" s="418" t="str">
        <f>IF('Diseño 3"'!T36="","",'Diseño 3"'!T36)</f>
        <v/>
      </c>
      <c r="U19" s="418" t="str">
        <f>IF('Diseño 3"'!U36="","",'Diseño 3"'!U36)</f>
        <v/>
      </c>
      <c r="V19" s="418" t="str">
        <f>IF('Diseño 3"'!V36="","",'Diseño 3"'!V36)</f>
        <v/>
      </c>
      <c r="W19" s="418" t="str">
        <f>IF('Diseño 3"'!W36="","",'Diseño 3"'!W36)</f>
        <v/>
      </c>
      <c r="X19" s="812" t="str">
        <f>IF('Diseño 3"'!X36="","",'Diseño 3"'!X36)</f>
        <v/>
      </c>
      <c r="Y19" s="813"/>
      <c r="Z19" s="814" t="str">
        <f>IF('Diseño 3"'!AC36="","",'Diseño 3"'!AC36)</f>
        <v/>
      </c>
      <c r="AA19" s="815"/>
      <c r="AB19" s="408" t="str">
        <f>IF('[1]Diseño 3"'!AE36=TRUE,0.5,"")</f>
        <v/>
      </c>
      <c r="AC19" s="409" t="str">
        <f>IF('[1]Diseño 3"'!AF36="","",'[1]Diseño 3"'!AF36)</f>
        <v/>
      </c>
      <c r="AD19" s="419" t="str">
        <f>'Diseño 3"'!AJ36</f>
        <v/>
      </c>
      <c r="AE19" s="420">
        <f>'[1]Diseño 3"'!AK36</f>
        <v>0</v>
      </c>
      <c r="AF19" s="421" t="str">
        <f>IF('Diseño 3"'!AN36="","",'Diseño 3"'!AN36)</f>
        <v/>
      </c>
      <c r="AG19" s="422"/>
      <c r="AH19" s="423"/>
      <c r="AI19" s="414"/>
      <c r="AJ19" s="414"/>
      <c r="AK19" s="363"/>
      <c r="AL19" s="363"/>
      <c r="AM19" s="363"/>
    </row>
    <row r="20" spans="2:39" ht="15" customHeight="1" x14ac:dyDescent="0.2">
      <c r="B20" s="415">
        <v>9</v>
      </c>
      <c r="C20" s="854" t="str">
        <f>IF('[1]Diseño 3"'!B37="","",'[1]Diseño 3"'!B37)</f>
        <v/>
      </c>
      <c r="D20" s="777"/>
      <c r="E20" s="416" t="str">
        <f>IF('[1]Diseño 3"'!C37=0,"",'[1]Diseño 3"'!C37)</f>
        <v/>
      </c>
      <c r="F20" s="854" t="str">
        <f>IF('[1]Diseño 3"'!D37="","",'[1]Diseño 3"'!D37)</f>
        <v/>
      </c>
      <c r="G20" s="777"/>
      <c r="H20" s="812" t="str">
        <f>IF('Diseño 3"'!F37="","",'Diseño 3"'!F37)</f>
        <v/>
      </c>
      <c r="I20" s="813"/>
      <c r="J20" s="417" t="str">
        <f>IF(H20="","",'Diseño 3"'!I37)</f>
        <v/>
      </c>
      <c r="K20" s="418" t="str">
        <f>IF('Diseño 3"'!J37="","",'Diseño 3"'!J37)</f>
        <v/>
      </c>
      <c r="L20" s="418" t="str">
        <f>IF('Diseño 3"'!K37="","",'Diseño 3"'!K37)</f>
        <v/>
      </c>
      <c r="M20" s="418" t="str">
        <f>IF('Diseño 3"'!L37="","",'Diseño 3"'!L37)</f>
        <v/>
      </c>
      <c r="N20" s="418" t="str">
        <f>IF('Diseño 3"'!M37="","",'Diseño 3"'!M37)</f>
        <v/>
      </c>
      <c r="O20" s="812" t="str">
        <f>IF('Diseño 3"'!N37="","",'Diseño 3"'!N37)</f>
        <v/>
      </c>
      <c r="P20" s="813"/>
      <c r="Q20" s="418" t="str">
        <f>IF('Diseño 3"'!Q37="","",'Diseño 3"'!Q37)</f>
        <v/>
      </c>
      <c r="R20" s="418" t="str">
        <f>IF('Diseño 3"'!R37="","",'Diseño 3"'!R37)</f>
        <v/>
      </c>
      <c r="S20" s="418" t="str">
        <f>IF('Diseño 3"'!S37="","",'Diseño 3"'!S37)</f>
        <v/>
      </c>
      <c r="T20" s="418" t="str">
        <f>IF('Diseño 3"'!T37="","",'Diseño 3"'!T37)</f>
        <v/>
      </c>
      <c r="U20" s="418" t="str">
        <f>IF('Diseño 3"'!U37="","",'Diseño 3"'!U37)</f>
        <v/>
      </c>
      <c r="V20" s="418" t="str">
        <f>IF('Diseño 3"'!V37="","",'Diseño 3"'!V37)</f>
        <v/>
      </c>
      <c r="W20" s="418" t="str">
        <f>IF('Diseño 3"'!W37="","",'Diseño 3"'!W37)</f>
        <v/>
      </c>
      <c r="X20" s="812" t="str">
        <f>IF('Diseño 3"'!X37="","",'Diseño 3"'!X37)</f>
        <v/>
      </c>
      <c r="Y20" s="813"/>
      <c r="Z20" s="814" t="str">
        <f>IF('Diseño 3"'!AC37="","",'Diseño 3"'!AC37)</f>
        <v/>
      </c>
      <c r="AA20" s="815"/>
      <c r="AB20" s="408" t="str">
        <f>IF('[1]Diseño 3"'!AE37=TRUE,0.5,"")</f>
        <v/>
      </c>
      <c r="AC20" s="409" t="str">
        <f>IF('[1]Diseño 3"'!AF37="","",'[1]Diseño 3"'!AF37)</f>
        <v/>
      </c>
      <c r="AD20" s="419" t="str">
        <f>'Diseño 3"'!AJ37</f>
        <v/>
      </c>
      <c r="AE20" s="420">
        <f>'[1]Diseño 3"'!AK37</f>
        <v>0</v>
      </c>
      <c r="AF20" s="421" t="str">
        <f>IF('Diseño 3"'!AN37="","",'Diseño 3"'!AN37)</f>
        <v/>
      </c>
      <c r="AG20" s="422"/>
      <c r="AH20" s="423"/>
      <c r="AI20" s="414"/>
      <c r="AJ20" s="414"/>
      <c r="AK20" s="363"/>
      <c r="AL20" s="363"/>
      <c r="AM20" s="363"/>
    </row>
    <row r="21" spans="2:39" ht="15" customHeight="1" x14ac:dyDescent="0.2">
      <c r="B21" s="415">
        <v>10</v>
      </c>
      <c r="C21" s="854" t="str">
        <f>IF('[1]Diseño 3"'!B38="","",'[1]Diseño 3"'!B38)</f>
        <v/>
      </c>
      <c r="D21" s="777"/>
      <c r="E21" s="416" t="str">
        <f>IF('[1]Diseño 3"'!C38=0,"",'[1]Diseño 3"'!C38)</f>
        <v/>
      </c>
      <c r="F21" s="854" t="str">
        <f>IF('[1]Diseño 3"'!D38="","",'[1]Diseño 3"'!D38)</f>
        <v/>
      </c>
      <c r="G21" s="777"/>
      <c r="H21" s="812" t="str">
        <f>IF('Diseño 3"'!F38="","",'Diseño 3"'!F38)</f>
        <v/>
      </c>
      <c r="I21" s="813"/>
      <c r="J21" s="417" t="str">
        <f>IF(H21="","",'Diseño 3"'!I38)</f>
        <v/>
      </c>
      <c r="K21" s="418" t="str">
        <f>IF('Diseño 3"'!J38="","",'Diseño 3"'!J38)</f>
        <v/>
      </c>
      <c r="L21" s="418" t="str">
        <f>IF('Diseño 3"'!K38="","",'Diseño 3"'!K38)</f>
        <v/>
      </c>
      <c r="M21" s="418" t="str">
        <f>IF('Diseño 3"'!L38="","",'Diseño 3"'!L38)</f>
        <v/>
      </c>
      <c r="N21" s="418" t="str">
        <f>IF('Diseño 3"'!M38="","",'Diseño 3"'!M38)</f>
        <v/>
      </c>
      <c r="O21" s="812" t="str">
        <f>IF('Diseño 3"'!N38="","",'Diseño 3"'!N38)</f>
        <v/>
      </c>
      <c r="P21" s="813"/>
      <c r="Q21" s="418" t="str">
        <f>IF('Diseño 3"'!Q38="","",'Diseño 3"'!Q38)</f>
        <v/>
      </c>
      <c r="R21" s="418" t="str">
        <f>IF('Diseño 3"'!R38="","",'Diseño 3"'!R38)</f>
        <v/>
      </c>
      <c r="S21" s="418" t="str">
        <f>IF('Diseño 3"'!S38="","",'Diseño 3"'!S38)</f>
        <v/>
      </c>
      <c r="T21" s="418" t="str">
        <f>IF('Diseño 3"'!T38="","",'Diseño 3"'!T38)</f>
        <v/>
      </c>
      <c r="U21" s="418" t="str">
        <f>IF('Diseño 3"'!U38="","",'Diseño 3"'!U38)</f>
        <v/>
      </c>
      <c r="V21" s="418" t="str">
        <f>IF('Diseño 3"'!V38="","",'Diseño 3"'!V38)</f>
        <v/>
      </c>
      <c r="W21" s="418" t="str">
        <f>IF('Diseño 3"'!W38="","",'Diseño 3"'!W38)</f>
        <v/>
      </c>
      <c r="X21" s="812" t="str">
        <f>IF('Diseño 3"'!X38="","",'Diseño 3"'!X38)</f>
        <v/>
      </c>
      <c r="Y21" s="813"/>
      <c r="Z21" s="814" t="str">
        <f>IF('Diseño 3"'!AC38="","",'Diseño 3"'!AC38)</f>
        <v/>
      </c>
      <c r="AA21" s="815"/>
      <c r="AB21" s="408" t="str">
        <f>IF('[1]Diseño 3"'!AE38=TRUE,0.5,"")</f>
        <v/>
      </c>
      <c r="AC21" s="409" t="str">
        <f>IF('[1]Diseño 3"'!AF38="","",'[1]Diseño 3"'!AF38)</f>
        <v/>
      </c>
      <c r="AD21" s="419" t="str">
        <f>'Diseño 3"'!AJ38</f>
        <v/>
      </c>
      <c r="AE21" s="420">
        <f>'[1]Diseño 3"'!AK38</f>
        <v>0</v>
      </c>
      <c r="AF21" s="421" t="str">
        <f>IF('Diseño 3"'!AN38="","",'Diseño 3"'!AN38)</f>
        <v/>
      </c>
      <c r="AG21" s="422"/>
      <c r="AH21" s="423"/>
      <c r="AI21" s="414"/>
      <c r="AJ21" s="414"/>
      <c r="AK21" s="363"/>
      <c r="AL21" s="363"/>
      <c r="AM21" s="363"/>
    </row>
    <row r="22" spans="2:39" ht="15" customHeight="1" x14ac:dyDescent="0.2">
      <c r="B22" s="415">
        <v>11</v>
      </c>
      <c r="C22" s="854" t="str">
        <f>IF('[1]Diseño 3"'!B39="","",'[1]Diseño 3"'!B39)</f>
        <v/>
      </c>
      <c r="D22" s="777"/>
      <c r="E22" s="416" t="str">
        <f>IF('[1]Diseño 3"'!C39=0,"",'[1]Diseño 3"'!C39)</f>
        <v/>
      </c>
      <c r="F22" s="854" t="str">
        <f>IF('[1]Diseño 3"'!D39="","",'[1]Diseño 3"'!D39)</f>
        <v/>
      </c>
      <c r="G22" s="777"/>
      <c r="H22" s="812" t="str">
        <f>IF('Diseño 3"'!F39="","",'Diseño 3"'!F39)</f>
        <v/>
      </c>
      <c r="I22" s="813"/>
      <c r="J22" s="417" t="str">
        <f>IF(H22="","",'Diseño 3"'!I39)</f>
        <v/>
      </c>
      <c r="K22" s="418" t="str">
        <f>IF('Diseño 3"'!J39="","",'Diseño 3"'!J39)</f>
        <v/>
      </c>
      <c r="L22" s="418" t="str">
        <f>IF('Diseño 3"'!K39="","",'Diseño 3"'!K39)</f>
        <v/>
      </c>
      <c r="M22" s="418" t="str">
        <f>IF('Diseño 3"'!L39="","",'Diseño 3"'!L39)</f>
        <v/>
      </c>
      <c r="N22" s="418" t="str">
        <f>IF('Diseño 3"'!M39="","",'Diseño 3"'!M39)</f>
        <v/>
      </c>
      <c r="O22" s="812" t="str">
        <f>IF('Diseño 3"'!N39="","",'Diseño 3"'!N39)</f>
        <v/>
      </c>
      <c r="P22" s="813"/>
      <c r="Q22" s="418" t="str">
        <f>IF('Diseño 3"'!Q39="","",'Diseño 3"'!Q39)</f>
        <v/>
      </c>
      <c r="R22" s="418" t="str">
        <f>IF('Diseño 3"'!R39="","",'Diseño 3"'!R39)</f>
        <v/>
      </c>
      <c r="S22" s="418" t="str">
        <f>IF('Diseño 3"'!S39="","",'Diseño 3"'!S39)</f>
        <v/>
      </c>
      <c r="T22" s="418" t="str">
        <f>IF('Diseño 3"'!T39="","",'Diseño 3"'!T39)</f>
        <v/>
      </c>
      <c r="U22" s="418" t="str">
        <f>IF('Diseño 3"'!U39="","",'Diseño 3"'!U39)</f>
        <v/>
      </c>
      <c r="V22" s="418" t="str">
        <f>IF('Diseño 3"'!V39="","",'Diseño 3"'!V39)</f>
        <v/>
      </c>
      <c r="W22" s="418" t="str">
        <f>IF('Diseño 3"'!W39="","",'Diseño 3"'!W39)</f>
        <v/>
      </c>
      <c r="X22" s="812" t="str">
        <f>IF('Diseño 3"'!X39="","",'Diseño 3"'!X39)</f>
        <v/>
      </c>
      <c r="Y22" s="813"/>
      <c r="Z22" s="814" t="str">
        <f>IF('Diseño 3"'!AC39="","",'Diseño 3"'!AC39)</f>
        <v/>
      </c>
      <c r="AA22" s="815"/>
      <c r="AB22" s="408" t="str">
        <f>IF('[1]Diseño 3"'!AE39=TRUE,0.5,"")</f>
        <v/>
      </c>
      <c r="AC22" s="409" t="str">
        <f>IF('[1]Diseño 3"'!AF39="","",'[1]Diseño 3"'!AF39)</f>
        <v/>
      </c>
      <c r="AD22" s="419" t="str">
        <f>'Diseño 3"'!AJ39</f>
        <v/>
      </c>
      <c r="AE22" s="420">
        <f>'[1]Diseño 3"'!AK39</f>
        <v>0</v>
      </c>
      <c r="AF22" s="421" t="str">
        <f>IF('Diseño 3"'!AN39="","",'Diseño 3"'!AN39)</f>
        <v/>
      </c>
      <c r="AG22" s="422"/>
      <c r="AH22" s="423"/>
      <c r="AI22" s="414"/>
      <c r="AJ22" s="414"/>
      <c r="AK22" s="363"/>
      <c r="AL22" s="363"/>
      <c r="AM22" s="363"/>
    </row>
    <row r="23" spans="2:39" ht="15" customHeight="1" x14ac:dyDescent="0.2">
      <c r="B23" s="415">
        <v>12</v>
      </c>
      <c r="C23" s="854" t="str">
        <f>IF('[1]Diseño 3"'!B40="","",'[1]Diseño 3"'!B40)</f>
        <v/>
      </c>
      <c r="D23" s="777"/>
      <c r="E23" s="416" t="str">
        <f>IF('[1]Diseño 3"'!C40=0,"",'[1]Diseño 3"'!C40)</f>
        <v/>
      </c>
      <c r="F23" s="854" t="str">
        <f>IF('[1]Diseño 3"'!D40="","",'[1]Diseño 3"'!D40)</f>
        <v/>
      </c>
      <c r="G23" s="777"/>
      <c r="H23" s="812" t="str">
        <f>IF('Diseño 3"'!F40="","",'Diseño 3"'!F40)</f>
        <v/>
      </c>
      <c r="I23" s="813"/>
      <c r="J23" s="417" t="str">
        <f>IF(H23="","",'Diseño 3"'!I40)</f>
        <v/>
      </c>
      <c r="K23" s="418" t="str">
        <f>IF('Diseño 3"'!J40="","",'Diseño 3"'!J40)</f>
        <v/>
      </c>
      <c r="L23" s="418" t="str">
        <f>IF('Diseño 3"'!K40="","",'Diseño 3"'!K40)</f>
        <v/>
      </c>
      <c r="M23" s="418" t="str">
        <f>IF('Diseño 3"'!L40="","",'Diseño 3"'!L40)</f>
        <v/>
      </c>
      <c r="N23" s="418" t="str">
        <f>IF('Diseño 3"'!M40="","",'Diseño 3"'!M40)</f>
        <v/>
      </c>
      <c r="O23" s="812" t="str">
        <f>IF('Diseño 3"'!N40="","",'Diseño 3"'!N40)</f>
        <v/>
      </c>
      <c r="P23" s="813"/>
      <c r="Q23" s="418" t="str">
        <f>IF('Diseño 3"'!Q40="","",'Diseño 3"'!Q40)</f>
        <v/>
      </c>
      <c r="R23" s="418" t="str">
        <f>IF('Diseño 3"'!R40="","",'Diseño 3"'!R40)</f>
        <v/>
      </c>
      <c r="S23" s="418" t="str">
        <f>IF('Diseño 3"'!S40="","",'Diseño 3"'!S40)</f>
        <v/>
      </c>
      <c r="T23" s="418" t="str">
        <f>IF('Diseño 3"'!T40="","",'Diseño 3"'!T40)</f>
        <v/>
      </c>
      <c r="U23" s="418" t="str">
        <f>IF('Diseño 3"'!U40="","",'Diseño 3"'!U40)</f>
        <v/>
      </c>
      <c r="V23" s="418" t="str">
        <f>IF('Diseño 3"'!V40="","",'Diseño 3"'!V40)</f>
        <v/>
      </c>
      <c r="W23" s="418" t="str">
        <f>IF('Diseño 3"'!W40="","",'Diseño 3"'!W40)</f>
        <v/>
      </c>
      <c r="X23" s="812" t="str">
        <f>IF('Diseño 3"'!X40="","",'Diseño 3"'!X40)</f>
        <v/>
      </c>
      <c r="Y23" s="813"/>
      <c r="Z23" s="814" t="str">
        <f>IF('Diseño 3"'!AC40="","",'Diseño 3"'!AC40)</f>
        <v/>
      </c>
      <c r="AA23" s="815"/>
      <c r="AB23" s="408" t="str">
        <f>IF('[1]Diseño 3"'!AE40=TRUE,0.5,"")</f>
        <v/>
      </c>
      <c r="AC23" s="409" t="str">
        <f>IF('[1]Diseño 3"'!AF40="","",'[1]Diseño 3"'!AF40)</f>
        <v/>
      </c>
      <c r="AD23" s="419" t="str">
        <f>'Diseño 3"'!AJ40</f>
        <v/>
      </c>
      <c r="AE23" s="420">
        <f>'[1]Diseño 3"'!AK40</f>
        <v>0</v>
      </c>
      <c r="AF23" s="421" t="str">
        <f>IF('Diseño 3"'!AN40="","",'Diseño 3"'!AN40)</f>
        <v/>
      </c>
      <c r="AG23" s="422"/>
      <c r="AH23" s="423"/>
      <c r="AI23" s="414"/>
      <c r="AJ23" s="414"/>
      <c r="AK23" s="363"/>
      <c r="AL23" s="363"/>
      <c r="AM23" s="363"/>
    </row>
    <row r="24" spans="2:39" ht="15" customHeight="1" x14ac:dyDescent="0.2">
      <c r="B24" s="415">
        <v>13</v>
      </c>
      <c r="C24" s="854" t="str">
        <f>IF('[1]Diseño 3"'!B41="","",'[1]Diseño 3"'!B41)</f>
        <v/>
      </c>
      <c r="D24" s="777"/>
      <c r="E24" s="416" t="str">
        <f>IF('[1]Diseño 3"'!C41=0,"",'[1]Diseño 3"'!C41)</f>
        <v/>
      </c>
      <c r="F24" s="854" t="str">
        <f>IF('[1]Diseño 3"'!D41="","",'[1]Diseño 3"'!D41)</f>
        <v/>
      </c>
      <c r="G24" s="777"/>
      <c r="H24" s="812" t="str">
        <f>IF('Diseño 3"'!F41="","",'Diseño 3"'!F41)</f>
        <v/>
      </c>
      <c r="I24" s="813"/>
      <c r="J24" s="417" t="str">
        <f>IF(H24="","",'Diseño 3"'!I41)</f>
        <v/>
      </c>
      <c r="K24" s="418" t="str">
        <f>IF('Diseño 3"'!J41="","",'Diseño 3"'!J41)</f>
        <v/>
      </c>
      <c r="L24" s="418" t="str">
        <f>IF('Diseño 3"'!K41="","",'Diseño 3"'!K41)</f>
        <v/>
      </c>
      <c r="M24" s="418" t="str">
        <f>IF('Diseño 3"'!L41="","",'Diseño 3"'!L41)</f>
        <v/>
      </c>
      <c r="N24" s="418" t="str">
        <f>IF('Diseño 3"'!M41="","",'Diseño 3"'!M41)</f>
        <v/>
      </c>
      <c r="O24" s="812" t="str">
        <f>IF('Diseño 3"'!N41="","",'Diseño 3"'!N41)</f>
        <v/>
      </c>
      <c r="P24" s="813"/>
      <c r="Q24" s="418" t="str">
        <f>IF('Diseño 3"'!Q41="","",'Diseño 3"'!Q41)</f>
        <v/>
      </c>
      <c r="R24" s="418" t="str">
        <f>IF('Diseño 3"'!R41="","",'Diseño 3"'!R41)</f>
        <v/>
      </c>
      <c r="S24" s="418" t="str">
        <f>IF('Diseño 3"'!S41="","",'Diseño 3"'!S41)</f>
        <v/>
      </c>
      <c r="T24" s="418" t="str">
        <f>IF('Diseño 3"'!T41="","",'Diseño 3"'!T41)</f>
        <v/>
      </c>
      <c r="U24" s="418" t="str">
        <f>IF('Diseño 3"'!U41="","",'Diseño 3"'!U41)</f>
        <v/>
      </c>
      <c r="V24" s="418" t="str">
        <f>IF('Diseño 3"'!V41="","",'Diseño 3"'!V41)</f>
        <v/>
      </c>
      <c r="W24" s="418" t="str">
        <f>IF('Diseño 3"'!W41="","",'Diseño 3"'!W41)</f>
        <v/>
      </c>
      <c r="X24" s="812" t="str">
        <f>IF('Diseño 3"'!X41="","",'Diseño 3"'!X41)</f>
        <v/>
      </c>
      <c r="Y24" s="813"/>
      <c r="Z24" s="814" t="str">
        <f>IF('Diseño 3"'!AC41="","",'Diseño 3"'!AC41)</f>
        <v/>
      </c>
      <c r="AA24" s="815"/>
      <c r="AB24" s="408" t="str">
        <f>IF('[1]Diseño 3"'!AE41=TRUE,0.5,"")</f>
        <v/>
      </c>
      <c r="AC24" s="409" t="str">
        <f>IF('[1]Diseño 3"'!AF41="","",'[1]Diseño 3"'!AF41)</f>
        <v/>
      </c>
      <c r="AD24" s="419" t="str">
        <f>'Diseño 3"'!AJ41</f>
        <v/>
      </c>
      <c r="AE24" s="420">
        <f>'[1]Diseño 3"'!AK41</f>
        <v>0</v>
      </c>
      <c r="AF24" s="421" t="str">
        <f>IF('Diseño 3"'!AN41="","",'Diseño 3"'!AN41)</f>
        <v/>
      </c>
      <c r="AG24" s="422"/>
      <c r="AH24" s="423"/>
      <c r="AI24" s="414"/>
      <c r="AJ24" s="414"/>
      <c r="AK24" s="363"/>
      <c r="AL24" s="363"/>
      <c r="AM24" s="363"/>
    </row>
    <row r="25" spans="2:39" ht="15" customHeight="1" x14ac:dyDescent="0.2">
      <c r="B25" s="415">
        <v>14</v>
      </c>
      <c r="C25" s="854" t="str">
        <f>IF('[1]Diseño 3"'!B42="","",'[1]Diseño 3"'!B42)</f>
        <v/>
      </c>
      <c r="D25" s="777"/>
      <c r="E25" s="416" t="str">
        <f>IF('[1]Diseño 3"'!C42=0,"",'[1]Diseño 3"'!C42)</f>
        <v/>
      </c>
      <c r="F25" s="854" t="str">
        <f>IF('[1]Diseño 3"'!D42="","",'[1]Diseño 3"'!D42)</f>
        <v/>
      </c>
      <c r="G25" s="777"/>
      <c r="H25" s="812" t="str">
        <f>IF('Diseño 3"'!F42="","",'Diseño 3"'!F42)</f>
        <v/>
      </c>
      <c r="I25" s="813"/>
      <c r="J25" s="417" t="str">
        <f>IF(H25="","",'Diseño 3"'!I42)</f>
        <v/>
      </c>
      <c r="K25" s="418" t="str">
        <f>IF('Diseño 3"'!J42="","",'Diseño 3"'!J42)</f>
        <v/>
      </c>
      <c r="L25" s="418" t="str">
        <f>IF('Diseño 3"'!K42="","",'Diseño 3"'!K42)</f>
        <v/>
      </c>
      <c r="M25" s="418" t="str">
        <f>IF('Diseño 3"'!L42="","",'Diseño 3"'!L42)</f>
        <v/>
      </c>
      <c r="N25" s="418" t="str">
        <f>IF('Diseño 3"'!M42="","",'Diseño 3"'!M42)</f>
        <v/>
      </c>
      <c r="O25" s="812" t="str">
        <f>IF('Diseño 3"'!N42="","",'Diseño 3"'!N42)</f>
        <v/>
      </c>
      <c r="P25" s="813"/>
      <c r="Q25" s="418" t="str">
        <f>IF('Diseño 3"'!Q42="","",'Diseño 3"'!Q42)</f>
        <v/>
      </c>
      <c r="R25" s="418" t="str">
        <f>IF('Diseño 3"'!R42="","",'Diseño 3"'!R42)</f>
        <v/>
      </c>
      <c r="S25" s="418" t="str">
        <f>IF('Diseño 3"'!S42="","",'Diseño 3"'!S42)</f>
        <v/>
      </c>
      <c r="T25" s="418" t="str">
        <f>IF('Diseño 3"'!T42="","",'Diseño 3"'!T42)</f>
        <v/>
      </c>
      <c r="U25" s="418" t="str">
        <f>IF('Diseño 3"'!U42="","",'Diseño 3"'!U42)</f>
        <v/>
      </c>
      <c r="V25" s="418" t="str">
        <f>IF('Diseño 3"'!V42="","",'Diseño 3"'!V42)</f>
        <v/>
      </c>
      <c r="W25" s="418" t="str">
        <f>IF('Diseño 3"'!W42="","",'Diseño 3"'!W42)</f>
        <v/>
      </c>
      <c r="X25" s="812" t="str">
        <f>IF('Diseño 3"'!X42="","",'Diseño 3"'!X42)</f>
        <v/>
      </c>
      <c r="Y25" s="813"/>
      <c r="Z25" s="814" t="str">
        <f>IF('Diseño 3"'!AC42="","",'Diseño 3"'!AC42)</f>
        <v/>
      </c>
      <c r="AA25" s="815"/>
      <c r="AB25" s="408" t="str">
        <f>IF('[1]Diseño 3"'!AE42=TRUE,0.5,"")</f>
        <v/>
      </c>
      <c r="AC25" s="409" t="str">
        <f>IF('[1]Diseño 3"'!AF42="","",'[1]Diseño 3"'!AF42)</f>
        <v/>
      </c>
      <c r="AD25" s="419" t="str">
        <f>'Diseño 3"'!AJ42</f>
        <v/>
      </c>
      <c r="AE25" s="420">
        <f>'[1]Diseño 3"'!AK42</f>
        <v>0</v>
      </c>
      <c r="AF25" s="421" t="str">
        <f>IF('Diseño 3"'!AN42="","",'Diseño 3"'!AN42)</f>
        <v/>
      </c>
      <c r="AG25" s="422"/>
      <c r="AH25" s="423"/>
      <c r="AI25" s="414"/>
      <c r="AJ25" s="414"/>
      <c r="AK25" s="363"/>
      <c r="AL25" s="363"/>
      <c r="AM25" s="363"/>
    </row>
    <row r="26" spans="2:39" ht="15" customHeight="1" x14ac:dyDescent="0.2">
      <c r="B26" s="415">
        <v>15</v>
      </c>
      <c r="C26" s="424"/>
      <c r="D26" s="425"/>
      <c r="E26" s="426"/>
      <c r="F26" s="424"/>
      <c r="G26" s="425"/>
      <c r="H26" s="812" t="str">
        <f>IF('Diseño 3"'!F43="","",'Diseño 3"'!F43)</f>
        <v/>
      </c>
      <c r="I26" s="813"/>
      <c r="J26" s="417" t="str">
        <f>IF(H26="","",'Diseño 3"'!I43)</f>
        <v/>
      </c>
      <c r="K26" s="418" t="str">
        <f>IF('Diseño 3"'!J43="","",'Diseño 3"'!J43)</f>
        <v/>
      </c>
      <c r="L26" s="418" t="str">
        <f>IF('Diseño 3"'!K43="","",'Diseño 3"'!K43)</f>
        <v/>
      </c>
      <c r="M26" s="418" t="str">
        <f>IF('Diseño 3"'!L43="","",'Diseño 3"'!L43)</f>
        <v/>
      </c>
      <c r="N26" s="418" t="str">
        <f>IF('Diseño 3"'!M43="","",'Diseño 3"'!M43)</f>
        <v/>
      </c>
      <c r="O26" s="812" t="str">
        <f>IF('Diseño 3"'!N43="","",'Diseño 3"'!N43)</f>
        <v/>
      </c>
      <c r="P26" s="813"/>
      <c r="Q26" s="418" t="str">
        <f>IF('Diseño 3"'!Q43="","",'Diseño 3"'!Q43)</f>
        <v/>
      </c>
      <c r="R26" s="418" t="str">
        <f>IF('Diseño 3"'!R43="","",'Diseño 3"'!R43)</f>
        <v/>
      </c>
      <c r="S26" s="418" t="str">
        <f>IF('Diseño 3"'!S43="","",'Diseño 3"'!S43)</f>
        <v/>
      </c>
      <c r="T26" s="418" t="str">
        <f>IF('Diseño 3"'!T43="","",'Diseño 3"'!T43)</f>
        <v/>
      </c>
      <c r="U26" s="418" t="str">
        <f>IF('Diseño 3"'!U43="","",'Diseño 3"'!U43)</f>
        <v/>
      </c>
      <c r="V26" s="418" t="str">
        <f>IF('Diseño 3"'!V43="","",'Diseño 3"'!V43)</f>
        <v/>
      </c>
      <c r="W26" s="418" t="str">
        <f>IF('Diseño 3"'!W43="","",'Diseño 3"'!W43)</f>
        <v/>
      </c>
      <c r="X26" s="812" t="str">
        <f>IF('Diseño 3"'!X43="","",'Diseño 3"'!X43)</f>
        <v/>
      </c>
      <c r="Y26" s="813"/>
      <c r="Z26" s="814" t="str">
        <f>IF('Diseño 3"'!AC43="","",'Diseño 3"'!AC43)</f>
        <v/>
      </c>
      <c r="AA26" s="815"/>
      <c r="AB26" s="427"/>
      <c r="AC26" s="428"/>
      <c r="AD26" s="419" t="str">
        <f>'Diseño 3"'!AJ43</f>
        <v/>
      </c>
      <c r="AE26" s="429"/>
      <c r="AF26" s="421" t="str">
        <f>IF('Diseño 3"'!AN43="","",'Diseño 3"'!AN43)</f>
        <v/>
      </c>
      <c r="AG26" s="430"/>
      <c r="AH26" s="431"/>
      <c r="AI26" s="414"/>
      <c r="AJ26" s="414"/>
      <c r="AK26" s="363"/>
      <c r="AL26" s="363"/>
      <c r="AM26" s="363"/>
    </row>
    <row r="27" spans="2:39" ht="15" customHeight="1" x14ac:dyDescent="0.2">
      <c r="B27" s="415">
        <v>16</v>
      </c>
      <c r="C27" s="424"/>
      <c r="D27" s="425"/>
      <c r="E27" s="426"/>
      <c r="F27" s="424"/>
      <c r="G27" s="425"/>
      <c r="H27" s="812" t="str">
        <f>IF('Diseño 3"'!F44="","",'Diseño 3"'!F44)</f>
        <v/>
      </c>
      <c r="I27" s="813"/>
      <c r="J27" s="417" t="str">
        <f>IF(H27="","",'Diseño 3"'!I44)</f>
        <v/>
      </c>
      <c r="K27" s="418" t="str">
        <f>IF('Diseño 3"'!J44="","",'Diseño 3"'!J44)</f>
        <v/>
      </c>
      <c r="L27" s="418" t="str">
        <f>IF('Diseño 3"'!K44="","",'Diseño 3"'!K44)</f>
        <v/>
      </c>
      <c r="M27" s="418" t="str">
        <f>IF('Diseño 3"'!L44="","",'Diseño 3"'!L44)</f>
        <v/>
      </c>
      <c r="N27" s="418" t="str">
        <f>IF('Diseño 3"'!M44="","",'Diseño 3"'!M44)</f>
        <v/>
      </c>
      <c r="O27" s="812" t="str">
        <f>IF('Diseño 3"'!N44="","",'Diseño 3"'!N44)</f>
        <v/>
      </c>
      <c r="P27" s="813"/>
      <c r="Q27" s="418" t="str">
        <f>IF('Diseño 3"'!Q44="","",'Diseño 3"'!Q44)</f>
        <v/>
      </c>
      <c r="R27" s="418" t="str">
        <f>IF('Diseño 3"'!R44="","",'Diseño 3"'!R44)</f>
        <v/>
      </c>
      <c r="S27" s="418" t="str">
        <f>IF('Diseño 3"'!S44="","",'Diseño 3"'!S44)</f>
        <v/>
      </c>
      <c r="T27" s="418" t="str">
        <f>IF('Diseño 3"'!T44="","",'Diseño 3"'!T44)</f>
        <v/>
      </c>
      <c r="U27" s="418" t="str">
        <f>IF('Diseño 3"'!U44="","",'Diseño 3"'!U44)</f>
        <v/>
      </c>
      <c r="V27" s="418" t="str">
        <f>IF('Diseño 3"'!V44="","",'Diseño 3"'!V44)</f>
        <v/>
      </c>
      <c r="W27" s="418" t="str">
        <f>IF('Diseño 3"'!W44="","",'Diseño 3"'!W44)</f>
        <v/>
      </c>
      <c r="X27" s="812" t="str">
        <f>IF('Diseño 3"'!X44="","",'Diseño 3"'!X44)</f>
        <v/>
      </c>
      <c r="Y27" s="813"/>
      <c r="Z27" s="814" t="str">
        <f>IF('Diseño 3"'!AC44="","",'Diseño 3"'!AC44)</f>
        <v/>
      </c>
      <c r="AA27" s="815"/>
      <c r="AB27" s="427"/>
      <c r="AC27" s="428"/>
      <c r="AD27" s="419" t="str">
        <f>'Diseño 3"'!AJ44</f>
        <v/>
      </c>
      <c r="AE27" s="429"/>
      <c r="AF27" s="421" t="str">
        <f>IF('Diseño 3"'!AN44="","",'Diseño 3"'!AN44)</f>
        <v/>
      </c>
      <c r="AG27" s="430"/>
      <c r="AH27" s="431"/>
      <c r="AI27" s="414"/>
      <c r="AJ27" s="414"/>
      <c r="AK27" s="363"/>
      <c r="AL27" s="363"/>
      <c r="AM27" s="363"/>
    </row>
    <row r="28" spans="2:39" ht="15" customHeight="1" x14ac:dyDescent="0.2">
      <c r="B28" s="415">
        <v>17</v>
      </c>
      <c r="C28" s="424"/>
      <c r="D28" s="425"/>
      <c r="E28" s="426"/>
      <c r="F28" s="424"/>
      <c r="G28" s="425"/>
      <c r="H28" s="812" t="str">
        <f>IF('Diseño 3"'!F45="","",'Diseño 3"'!F45)</f>
        <v/>
      </c>
      <c r="I28" s="813"/>
      <c r="J28" s="417" t="str">
        <f>IF(H28="","",'Diseño 3"'!I45)</f>
        <v/>
      </c>
      <c r="K28" s="418" t="str">
        <f>IF('Diseño 3"'!J45="","",'Diseño 3"'!J45)</f>
        <v/>
      </c>
      <c r="L28" s="418" t="str">
        <f>IF('Diseño 3"'!K45="","",'Diseño 3"'!K45)</f>
        <v/>
      </c>
      <c r="M28" s="418" t="str">
        <f>IF('Diseño 3"'!L45="","",'Diseño 3"'!L45)</f>
        <v/>
      </c>
      <c r="N28" s="418" t="str">
        <f>IF('Diseño 3"'!M45="","",'Diseño 3"'!M45)</f>
        <v/>
      </c>
      <c r="O28" s="812" t="str">
        <f>IF('Diseño 3"'!N45="","",'Diseño 3"'!N45)</f>
        <v/>
      </c>
      <c r="P28" s="813"/>
      <c r="Q28" s="418" t="str">
        <f>IF('Diseño 3"'!Q45="","",'Diseño 3"'!Q45)</f>
        <v/>
      </c>
      <c r="R28" s="418" t="str">
        <f>IF('Diseño 3"'!R45="","",'Diseño 3"'!R45)</f>
        <v/>
      </c>
      <c r="S28" s="418" t="str">
        <f>IF('Diseño 3"'!S45="","",'Diseño 3"'!S45)</f>
        <v/>
      </c>
      <c r="T28" s="418" t="str">
        <f>IF('Diseño 3"'!T45="","",'Diseño 3"'!T45)</f>
        <v/>
      </c>
      <c r="U28" s="418" t="str">
        <f>IF('Diseño 3"'!U45="","",'Diseño 3"'!U45)</f>
        <v/>
      </c>
      <c r="V28" s="418" t="str">
        <f>IF('Diseño 3"'!V45="","",'Diseño 3"'!V45)</f>
        <v/>
      </c>
      <c r="W28" s="418" t="str">
        <f>IF('Diseño 3"'!W45="","",'Diseño 3"'!W45)</f>
        <v/>
      </c>
      <c r="X28" s="812" t="str">
        <f>IF('Diseño 3"'!X45="","",'Diseño 3"'!X45)</f>
        <v/>
      </c>
      <c r="Y28" s="813"/>
      <c r="Z28" s="814" t="str">
        <f>IF('Diseño 3"'!AC45="","",'Diseño 3"'!AC45)</f>
        <v/>
      </c>
      <c r="AA28" s="815"/>
      <c r="AB28" s="427"/>
      <c r="AC28" s="428"/>
      <c r="AD28" s="419" t="str">
        <f>'Diseño 3"'!AJ45</f>
        <v/>
      </c>
      <c r="AE28" s="429"/>
      <c r="AF28" s="421" t="str">
        <f>IF('Diseño 3"'!AN45="","",'Diseño 3"'!AN45)</f>
        <v/>
      </c>
      <c r="AG28" s="430"/>
      <c r="AH28" s="431"/>
      <c r="AI28" s="414"/>
      <c r="AJ28" s="414"/>
      <c r="AK28" s="363"/>
      <c r="AL28" s="363"/>
      <c r="AM28" s="363"/>
    </row>
    <row r="29" spans="2:39" ht="15" customHeight="1" x14ac:dyDescent="0.2">
      <c r="B29" s="415">
        <v>18</v>
      </c>
      <c r="C29" s="424"/>
      <c r="D29" s="425"/>
      <c r="E29" s="426"/>
      <c r="F29" s="424"/>
      <c r="G29" s="425"/>
      <c r="H29" s="812" t="str">
        <f>IF('Diseño 3"'!F46="","",'Diseño 3"'!F46)</f>
        <v/>
      </c>
      <c r="I29" s="813"/>
      <c r="J29" s="417" t="str">
        <f>IF(H29="","",'Diseño 3"'!I46)</f>
        <v/>
      </c>
      <c r="K29" s="418" t="str">
        <f>IF('Diseño 3"'!J46="","",'Diseño 3"'!J46)</f>
        <v/>
      </c>
      <c r="L29" s="418" t="str">
        <f>IF('Diseño 3"'!K46="","",'Diseño 3"'!K46)</f>
        <v/>
      </c>
      <c r="M29" s="418" t="str">
        <f>IF('Diseño 3"'!L46="","",'Diseño 3"'!L46)</f>
        <v/>
      </c>
      <c r="N29" s="418" t="str">
        <f>IF('Diseño 3"'!M46="","",'Diseño 3"'!M46)</f>
        <v/>
      </c>
      <c r="O29" s="812" t="str">
        <f>IF('Diseño 3"'!N46="","",'Diseño 3"'!N46)</f>
        <v/>
      </c>
      <c r="P29" s="813"/>
      <c r="Q29" s="418" t="str">
        <f>IF('Diseño 3"'!Q46="","",'Diseño 3"'!Q46)</f>
        <v/>
      </c>
      <c r="R29" s="418" t="str">
        <f>IF('Diseño 3"'!R46="","",'Diseño 3"'!R46)</f>
        <v/>
      </c>
      <c r="S29" s="418" t="str">
        <f>IF('Diseño 3"'!S46="","",'Diseño 3"'!S46)</f>
        <v/>
      </c>
      <c r="T29" s="418" t="str">
        <f>IF('Diseño 3"'!T46="","",'Diseño 3"'!T46)</f>
        <v/>
      </c>
      <c r="U29" s="418" t="str">
        <f>IF('Diseño 3"'!U46="","",'Diseño 3"'!U46)</f>
        <v/>
      </c>
      <c r="V29" s="418" t="str">
        <f>IF('Diseño 3"'!V46="","",'Diseño 3"'!V46)</f>
        <v/>
      </c>
      <c r="W29" s="418" t="str">
        <f>IF('Diseño 3"'!W46="","",'Diseño 3"'!W46)</f>
        <v/>
      </c>
      <c r="X29" s="812" t="str">
        <f>IF('Diseño 3"'!X46="","",'Diseño 3"'!X46)</f>
        <v/>
      </c>
      <c r="Y29" s="813"/>
      <c r="Z29" s="814" t="str">
        <f>IF('Diseño 3"'!AC46="","",'Diseño 3"'!AC46)</f>
        <v/>
      </c>
      <c r="AA29" s="815"/>
      <c r="AB29" s="427"/>
      <c r="AC29" s="428"/>
      <c r="AD29" s="419" t="str">
        <f>'Diseño 3"'!AJ46</f>
        <v/>
      </c>
      <c r="AE29" s="429"/>
      <c r="AF29" s="421" t="str">
        <f>IF('Diseño 3"'!AN46="","",'Diseño 3"'!AN46)</f>
        <v/>
      </c>
      <c r="AG29" s="430"/>
      <c r="AH29" s="431"/>
      <c r="AI29" s="414"/>
      <c r="AJ29" s="414"/>
      <c r="AK29" s="363"/>
      <c r="AL29" s="363"/>
      <c r="AM29" s="363"/>
    </row>
    <row r="30" spans="2:39" ht="15" customHeight="1" x14ac:dyDescent="0.2">
      <c r="B30" s="415">
        <v>19</v>
      </c>
      <c r="C30" s="424"/>
      <c r="D30" s="425"/>
      <c r="E30" s="426"/>
      <c r="F30" s="424"/>
      <c r="G30" s="425"/>
      <c r="H30" s="812" t="str">
        <f>IF('Diseño 3"'!F47="","",'Diseño 3"'!F47)</f>
        <v/>
      </c>
      <c r="I30" s="813"/>
      <c r="J30" s="417" t="str">
        <f>IF(H30="","",'Diseño 3"'!I47)</f>
        <v/>
      </c>
      <c r="K30" s="418" t="str">
        <f>IF('Diseño 3"'!J47="","",'Diseño 3"'!J47)</f>
        <v/>
      </c>
      <c r="L30" s="418" t="str">
        <f>IF('Diseño 3"'!K47="","",'Diseño 3"'!K47)</f>
        <v/>
      </c>
      <c r="M30" s="418" t="str">
        <f>IF('Diseño 3"'!L47="","",'Diseño 3"'!L47)</f>
        <v/>
      </c>
      <c r="N30" s="418" t="str">
        <f>IF('Diseño 3"'!M47="","",'Diseño 3"'!M47)</f>
        <v/>
      </c>
      <c r="O30" s="812" t="str">
        <f>IF('Diseño 3"'!N47="","",'Diseño 3"'!N47)</f>
        <v/>
      </c>
      <c r="P30" s="813"/>
      <c r="Q30" s="418" t="str">
        <f>IF('Diseño 3"'!Q47="","",'Diseño 3"'!Q47)</f>
        <v/>
      </c>
      <c r="R30" s="418" t="str">
        <f>IF('Diseño 3"'!R47="","",'Diseño 3"'!R47)</f>
        <v/>
      </c>
      <c r="S30" s="418" t="str">
        <f>IF('Diseño 3"'!S47="","",'Diseño 3"'!S47)</f>
        <v/>
      </c>
      <c r="T30" s="418" t="str">
        <f>IF('Diseño 3"'!T47="","",'Diseño 3"'!T47)</f>
        <v/>
      </c>
      <c r="U30" s="418" t="str">
        <f>IF('Diseño 3"'!U47="","",'Diseño 3"'!U47)</f>
        <v/>
      </c>
      <c r="V30" s="418" t="str">
        <f>IF('Diseño 3"'!V47="","",'Diseño 3"'!V47)</f>
        <v/>
      </c>
      <c r="W30" s="418" t="str">
        <f>IF('Diseño 3"'!W47="","",'Diseño 3"'!W47)</f>
        <v/>
      </c>
      <c r="X30" s="812" t="str">
        <f>IF('Diseño 3"'!X47="","",'Diseño 3"'!X47)</f>
        <v/>
      </c>
      <c r="Y30" s="813"/>
      <c r="Z30" s="814" t="str">
        <f>IF('Diseño 3"'!AC47="","",'Diseño 3"'!AC47)</f>
        <v/>
      </c>
      <c r="AA30" s="815"/>
      <c r="AB30" s="427"/>
      <c r="AC30" s="428"/>
      <c r="AD30" s="419" t="str">
        <f>'Diseño 3"'!AJ47</f>
        <v/>
      </c>
      <c r="AE30" s="429"/>
      <c r="AF30" s="421" t="str">
        <f>IF('Diseño 3"'!AN47="","",'Diseño 3"'!AN47)</f>
        <v/>
      </c>
      <c r="AG30" s="430"/>
      <c r="AH30" s="431"/>
      <c r="AI30" s="414"/>
      <c r="AJ30" s="414"/>
      <c r="AK30" s="363"/>
      <c r="AL30" s="363"/>
      <c r="AM30" s="363"/>
    </row>
    <row r="31" spans="2:39" ht="15" customHeight="1" thickBot="1" x14ac:dyDescent="0.25">
      <c r="B31" s="432">
        <v>20</v>
      </c>
      <c r="C31" s="871" t="str">
        <f>IF('[1]Diseño 3"'!B43="","",'[1]Diseño 3"'!B43)</f>
        <v/>
      </c>
      <c r="D31" s="872"/>
      <c r="E31" s="433" t="str">
        <f>IF('[1]Diseño 3"'!C43=0,"",'[1]Diseño 3"'!C43)</f>
        <v/>
      </c>
      <c r="F31" s="871" t="str">
        <f>IF('[1]Diseño 3"'!D43="","",'[1]Diseño 3"'!D43)</f>
        <v/>
      </c>
      <c r="G31" s="872"/>
      <c r="H31" s="818" t="str">
        <f>IF('Diseño 3"'!F48="","",'Diseño 3"'!F48)</f>
        <v/>
      </c>
      <c r="I31" s="819"/>
      <c r="J31" s="434" t="str">
        <f>IF(H31="","",'Diseño 3"'!I48)</f>
        <v/>
      </c>
      <c r="K31" s="435" t="str">
        <f>IF('Diseño 3"'!J48="","",'Diseño 3"'!J48)</f>
        <v/>
      </c>
      <c r="L31" s="435" t="str">
        <f>IF('Diseño 3"'!K48="","",'Diseño 3"'!K48)</f>
        <v/>
      </c>
      <c r="M31" s="435" t="str">
        <f>IF('Diseño 3"'!L48="","",'Diseño 3"'!L48)</f>
        <v/>
      </c>
      <c r="N31" s="435" t="str">
        <f>IF('Diseño 3"'!M48="","",'Diseño 3"'!M48)</f>
        <v/>
      </c>
      <c r="O31" s="818" t="str">
        <f>IF('Diseño 3"'!N48="","",'Diseño 3"'!N48)</f>
        <v/>
      </c>
      <c r="P31" s="819"/>
      <c r="Q31" s="435" t="str">
        <f>IF('Diseño 3"'!Q48="","",'Diseño 3"'!Q48)</f>
        <v/>
      </c>
      <c r="R31" s="435" t="str">
        <f>IF('Diseño 3"'!R48="","",'Diseño 3"'!R48)</f>
        <v/>
      </c>
      <c r="S31" s="435" t="str">
        <f>IF('Diseño 3"'!S48="","",'Diseño 3"'!S48)</f>
        <v/>
      </c>
      <c r="T31" s="435" t="str">
        <f>IF('Diseño 3"'!T48="","",'Diseño 3"'!T48)</f>
        <v/>
      </c>
      <c r="U31" s="435" t="str">
        <f>IF('Diseño 3"'!U48="","",'Diseño 3"'!U48)</f>
        <v/>
      </c>
      <c r="V31" s="435" t="str">
        <f>IF('Diseño 3"'!V48="","",'Diseño 3"'!V48)</f>
        <v/>
      </c>
      <c r="W31" s="435" t="str">
        <f>IF('Diseño 3"'!W48="","",'Diseño 3"'!W48)</f>
        <v/>
      </c>
      <c r="X31" s="818" t="str">
        <f>IF('Diseño 3"'!X48="","",'Diseño 3"'!X48)</f>
        <v/>
      </c>
      <c r="Y31" s="819"/>
      <c r="Z31" s="820" t="str">
        <f>IF('Diseño 3"'!AC48="","",'Diseño 3"'!AC48)</f>
        <v/>
      </c>
      <c r="AA31" s="821"/>
      <c r="AB31" s="436" t="str">
        <f>IF('[1]Diseño 3"'!AE43=TRUE,0.5,"")</f>
        <v/>
      </c>
      <c r="AC31" s="437" t="str">
        <f>IF('[1]Diseño 3"'!AF43="","",'[1]Diseño 3"'!AF43)</f>
        <v/>
      </c>
      <c r="AD31" s="438" t="str">
        <f>'Diseño 3"'!AJ48</f>
        <v/>
      </c>
      <c r="AE31" s="439">
        <f>'[1]Diseño 3"'!AK43</f>
        <v>0</v>
      </c>
      <c r="AF31" s="440" t="str">
        <f>IF('Diseño 3"'!AN48="","",'Diseño 3"'!AN48)</f>
        <v/>
      </c>
      <c r="AG31" s="441"/>
      <c r="AH31" s="442"/>
      <c r="AI31" s="414"/>
      <c r="AJ31" s="414"/>
      <c r="AK31" s="363"/>
      <c r="AL31" s="363"/>
      <c r="AM31" s="363"/>
    </row>
    <row r="32" spans="2:39" ht="30.75" customHeight="1" thickBot="1" x14ac:dyDescent="0.25">
      <c r="B32" s="362"/>
      <c r="C32" s="363"/>
      <c r="D32" s="363"/>
      <c r="E32" s="363"/>
      <c r="F32" s="363"/>
      <c r="G32" s="363"/>
      <c r="H32" s="363"/>
      <c r="I32" s="363"/>
      <c r="J32" s="44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3"/>
      <c r="X32" s="363"/>
      <c r="Y32" s="363"/>
      <c r="Z32" s="363"/>
      <c r="AA32" s="363"/>
      <c r="AB32" s="363"/>
      <c r="AC32" s="363"/>
      <c r="AD32" s="363"/>
      <c r="AE32" s="363"/>
      <c r="AF32" s="363"/>
      <c r="AG32" s="414"/>
      <c r="AH32" s="363"/>
      <c r="AI32" s="414"/>
      <c r="AJ32" s="414"/>
      <c r="AK32" s="363"/>
      <c r="AL32" s="363"/>
      <c r="AM32" s="363"/>
    </row>
    <row r="33" spans="2:39" ht="15" customHeight="1" thickBot="1" x14ac:dyDescent="0.25">
      <c r="B33" s="444" t="s">
        <v>25</v>
      </c>
      <c r="C33" s="445"/>
      <c r="D33" s="445"/>
      <c r="E33" s="445"/>
      <c r="F33" s="445"/>
      <c r="G33" s="445"/>
      <c r="H33" s="445"/>
      <c r="I33" s="445"/>
      <c r="J33" s="445"/>
      <c r="K33" s="446"/>
      <c r="L33" s="446"/>
      <c r="M33" s="446"/>
      <c r="N33" s="446"/>
      <c r="O33" s="835"/>
      <c r="P33" s="836"/>
      <c r="Q33" s="445"/>
      <c r="R33" s="445"/>
      <c r="S33" s="445"/>
      <c r="T33" s="447"/>
      <c r="U33" s="363"/>
      <c r="V33" s="837" t="s">
        <v>220</v>
      </c>
      <c r="W33" s="838"/>
      <c r="X33" s="838"/>
      <c r="Y33" s="838"/>
      <c r="Z33" s="838"/>
      <c r="AA33" s="838"/>
      <c r="AB33" s="838"/>
      <c r="AC33" s="838"/>
      <c r="AD33" s="838"/>
      <c r="AE33" s="838"/>
      <c r="AF33" s="838"/>
      <c r="AG33" s="838"/>
      <c r="AH33" s="839"/>
      <c r="AI33" s="414"/>
      <c r="AJ33" s="414"/>
      <c r="AK33" s="363"/>
      <c r="AL33" s="363"/>
      <c r="AM33" s="363"/>
    </row>
    <row r="34" spans="2:39" ht="15" customHeight="1" x14ac:dyDescent="0.2">
      <c r="B34" s="803" t="str">
        <f>+'Diseño 3"'!AB13</f>
        <v>ESCRIBE AQUÍ</v>
      </c>
      <c r="C34" s="804"/>
      <c r="D34" s="804"/>
      <c r="E34" s="804"/>
      <c r="F34" s="804"/>
      <c r="G34" s="804"/>
      <c r="H34" s="804"/>
      <c r="I34" s="804"/>
      <c r="J34" s="804"/>
      <c r="K34" s="804"/>
      <c r="L34" s="804"/>
      <c r="M34" s="804"/>
      <c r="N34" s="804"/>
      <c r="O34" s="804"/>
      <c r="P34" s="804"/>
      <c r="Q34" s="804"/>
      <c r="R34" s="804"/>
      <c r="S34" s="804"/>
      <c r="T34" s="805"/>
      <c r="U34" s="363"/>
      <c r="V34" s="840" t="s">
        <v>217</v>
      </c>
      <c r="W34" s="841"/>
      <c r="X34" s="841"/>
      <c r="Y34" s="841"/>
      <c r="Z34" s="841"/>
      <c r="AA34" s="842"/>
      <c r="AB34" s="448"/>
      <c r="AC34" s="449"/>
      <c r="AD34" s="852" t="s">
        <v>219</v>
      </c>
      <c r="AE34" s="841"/>
      <c r="AF34" s="841"/>
      <c r="AG34" s="841"/>
      <c r="AH34" s="853"/>
      <c r="AI34" s="414"/>
      <c r="AJ34" s="414"/>
      <c r="AK34" s="363"/>
      <c r="AL34" s="363"/>
      <c r="AM34" s="363"/>
    </row>
    <row r="35" spans="2:39" ht="15" customHeight="1" x14ac:dyDescent="0.2">
      <c r="B35" s="806"/>
      <c r="C35" s="807"/>
      <c r="D35" s="807"/>
      <c r="E35" s="807"/>
      <c r="F35" s="807"/>
      <c r="G35" s="807"/>
      <c r="H35" s="807"/>
      <c r="I35" s="807"/>
      <c r="J35" s="807"/>
      <c r="K35" s="807"/>
      <c r="L35" s="807"/>
      <c r="M35" s="807"/>
      <c r="N35" s="807"/>
      <c r="O35" s="807"/>
      <c r="P35" s="807"/>
      <c r="Q35" s="807"/>
      <c r="R35" s="807"/>
      <c r="S35" s="807"/>
      <c r="T35" s="808"/>
      <c r="U35" s="363"/>
      <c r="V35" s="450"/>
      <c r="W35" s="363"/>
      <c r="X35" s="363"/>
      <c r="Y35" s="363"/>
      <c r="Z35" s="816"/>
      <c r="AA35" s="817"/>
      <c r="AB35" s="451"/>
      <c r="AC35" s="443"/>
      <c r="AD35" s="452"/>
      <c r="AE35" s="451"/>
      <c r="AF35" s="453"/>
      <c r="AG35" s="414"/>
      <c r="AH35" s="454"/>
      <c r="AI35" s="414"/>
      <c r="AJ35" s="414"/>
      <c r="AK35" s="363"/>
      <c r="AL35" s="363"/>
      <c r="AM35" s="363"/>
    </row>
    <row r="36" spans="2:39" ht="15" customHeight="1" x14ac:dyDescent="0.2">
      <c r="B36" s="806"/>
      <c r="C36" s="807"/>
      <c r="D36" s="807"/>
      <c r="E36" s="807"/>
      <c r="F36" s="807"/>
      <c r="G36" s="807"/>
      <c r="H36" s="807"/>
      <c r="I36" s="807"/>
      <c r="J36" s="807"/>
      <c r="K36" s="807"/>
      <c r="L36" s="807"/>
      <c r="M36" s="807"/>
      <c r="N36" s="807"/>
      <c r="O36" s="807"/>
      <c r="P36" s="807"/>
      <c r="Q36" s="807"/>
      <c r="R36" s="807"/>
      <c r="S36" s="807"/>
      <c r="T36" s="808"/>
      <c r="U36" s="363"/>
      <c r="V36" s="450"/>
      <c r="W36" s="363"/>
      <c r="X36" s="363"/>
      <c r="Y36" s="363"/>
      <c r="Z36" s="816"/>
      <c r="AA36" s="817"/>
      <c r="AB36" s="451"/>
      <c r="AC36" s="443"/>
      <c r="AD36" s="452"/>
      <c r="AE36" s="451"/>
      <c r="AF36" s="453"/>
      <c r="AG36" s="414"/>
      <c r="AH36" s="454"/>
      <c r="AI36" s="414"/>
      <c r="AJ36" s="414"/>
      <c r="AK36" s="363"/>
      <c r="AL36" s="363"/>
      <c r="AM36" s="363"/>
    </row>
    <row r="37" spans="2:39" ht="24.75" customHeight="1" x14ac:dyDescent="0.2">
      <c r="B37" s="806"/>
      <c r="C37" s="807"/>
      <c r="D37" s="807"/>
      <c r="E37" s="807"/>
      <c r="F37" s="807"/>
      <c r="G37" s="807"/>
      <c r="H37" s="807"/>
      <c r="I37" s="807"/>
      <c r="J37" s="807"/>
      <c r="K37" s="807"/>
      <c r="L37" s="807"/>
      <c r="M37" s="807"/>
      <c r="N37" s="807"/>
      <c r="O37" s="807"/>
      <c r="P37" s="807"/>
      <c r="Q37" s="807"/>
      <c r="R37" s="807"/>
      <c r="S37" s="807"/>
      <c r="T37" s="808"/>
      <c r="U37" s="363"/>
      <c r="V37" s="450"/>
      <c r="W37" s="363"/>
      <c r="X37" s="363"/>
      <c r="Y37" s="363"/>
      <c r="Z37" s="455"/>
      <c r="AA37" s="456"/>
      <c r="AB37" s="451"/>
      <c r="AC37" s="443"/>
      <c r="AD37" s="452"/>
      <c r="AE37" s="451"/>
      <c r="AF37" s="453"/>
      <c r="AG37" s="414"/>
      <c r="AH37" s="454"/>
      <c r="AI37" s="363"/>
      <c r="AJ37" s="363"/>
      <c r="AK37" s="363"/>
      <c r="AL37" s="457"/>
      <c r="AM37" s="363"/>
    </row>
    <row r="38" spans="2:39" ht="24" customHeight="1" x14ac:dyDescent="0.2">
      <c r="B38" s="806"/>
      <c r="C38" s="807"/>
      <c r="D38" s="807"/>
      <c r="E38" s="807"/>
      <c r="F38" s="807"/>
      <c r="G38" s="807"/>
      <c r="H38" s="807"/>
      <c r="I38" s="807"/>
      <c r="J38" s="807"/>
      <c r="K38" s="807"/>
      <c r="L38" s="807"/>
      <c r="M38" s="807"/>
      <c r="N38" s="807"/>
      <c r="O38" s="807"/>
      <c r="P38" s="807"/>
      <c r="Q38" s="807"/>
      <c r="R38" s="807"/>
      <c r="S38" s="807"/>
      <c r="T38" s="808"/>
      <c r="U38" s="363"/>
      <c r="V38" s="450"/>
      <c r="W38" s="363"/>
      <c r="X38" s="363"/>
      <c r="Y38" s="363"/>
      <c r="Z38" s="363"/>
      <c r="AA38" s="458"/>
      <c r="AB38" s="363"/>
      <c r="AC38" s="363"/>
      <c r="AD38" s="459"/>
      <c r="AE38" s="363"/>
      <c r="AF38" s="363"/>
      <c r="AG38" s="363"/>
      <c r="AH38" s="454"/>
      <c r="AI38" s="363"/>
      <c r="AJ38" s="363"/>
      <c r="AK38" s="363"/>
      <c r="AL38" s="363"/>
      <c r="AM38" s="363"/>
    </row>
    <row r="39" spans="2:39" ht="12.75" customHeight="1" x14ac:dyDescent="0.2">
      <c r="B39" s="806"/>
      <c r="C39" s="807"/>
      <c r="D39" s="807"/>
      <c r="E39" s="807"/>
      <c r="F39" s="807"/>
      <c r="G39" s="807"/>
      <c r="H39" s="807"/>
      <c r="I39" s="807"/>
      <c r="J39" s="807"/>
      <c r="K39" s="807"/>
      <c r="L39" s="807"/>
      <c r="M39" s="807"/>
      <c r="N39" s="807"/>
      <c r="O39" s="807"/>
      <c r="P39" s="807"/>
      <c r="Q39" s="807"/>
      <c r="R39" s="807"/>
      <c r="S39" s="807"/>
      <c r="T39" s="808"/>
      <c r="U39" s="363"/>
      <c r="V39" s="450"/>
      <c r="W39" s="363"/>
      <c r="X39" s="363"/>
      <c r="Y39" s="363"/>
      <c r="Z39" s="363"/>
      <c r="AA39" s="458"/>
      <c r="AB39" s="363"/>
      <c r="AD39" s="460"/>
      <c r="AH39" s="461"/>
      <c r="AI39" s="363"/>
      <c r="AJ39" s="363"/>
      <c r="AK39" s="363"/>
      <c r="AL39" s="363"/>
      <c r="AM39" s="363"/>
    </row>
    <row r="40" spans="2:39" ht="12.75" customHeight="1" x14ac:dyDescent="0.2">
      <c r="B40" s="806"/>
      <c r="C40" s="807"/>
      <c r="D40" s="807"/>
      <c r="E40" s="807"/>
      <c r="F40" s="807"/>
      <c r="G40" s="807"/>
      <c r="H40" s="807"/>
      <c r="I40" s="807"/>
      <c r="J40" s="807"/>
      <c r="K40" s="807"/>
      <c r="L40" s="807"/>
      <c r="M40" s="807"/>
      <c r="N40" s="807"/>
      <c r="O40" s="807"/>
      <c r="P40" s="807"/>
      <c r="Q40" s="807"/>
      <c r="R40" s="807"/>
      <c r="S40" s="807"/>
      <c r="T40" s="808"/>
      <c r="U40" s="363"/>
      <c r="V40" s="450"/>
      <c r="W40" s="363"/>
      <c r="X40" s="363"/>
      <c r="Y40" s="363"/>
      <c r="Z40" s="363"/>
      <c r="AA40" s="458"/>
      <c r="AB40" s="363"/>
      <c r="AC40" s="363"/>
      <c r="AD40" s="459"/>
      <c r="AE40" s="363"/>
      <c r="AF40" s="363"/>
      <c r="AG40" s="363"/>
      <c r="AH40" s="454"/>
      <c r="AI40" s="363"/>
      <c r="AJ40" s="363"/>
      <c r="AK40" s="363"/>
      <c r="AL40" s="363"/>
      <c r="AM40" s="363"/>
    </row>
    <row r="41" spans="2:39" ht="12.75" customHeight="1" thickBot="1" x14ac:dyDescent="0.25">
      <c r="B41" s="809"/>
      <c r="C41" s="810"/>
      <c r="D41" s="810"/>
      <c r="E41" s="810"/>
      <c r="F41" s="810"/>
      <c r="G41" s="810"/>
      <c r="H41" s="810"/>
      <c r="I41" s="810"/>
      <c r="J41" s="810"/>
      <c r="K41" s="810"/>
      <c r="L41" s="810"/>
      <c r="M41" s="810"/>
      <c r="N41" s="810"/>
      <c r="O41" s="810"/>
      <c r="P41" s="810"/>
      <c r="Q41" s="810"/>
      <c r="R41" s="810"/>
      <c r="S41" s="810"/>
      <c r="T41" s="811"/>
      <c r="U41" s="363"/>
      <c r="V41" s="462"/>
      <c r="W41" s="392"/>
      <c r="X41" s="392"/>
      <c r="Y41" s="392"/>
      <c r="Z41" s="392"/>
      <c r="AA41" s="463"/>
      <c r="AB41" s="392"/>
      <c r="AC41" s="392"/>
      <c r="AD41" s="464"/>
      <c r="AE41" s="392"/>
      <c r="AF41" s="392"/>
      <c r="AG41" s="392"/>
      <c r="AH41" s="465"/>
      <c r="AI41" s="363"/>
      <c r="AJ41" s="363"/>
      <c r="AK41" s="363"/>
      <c r="AL41" s="363"/>
      <c r="AM41" s="363"/>
    </row>
    <row r="42" spans="2:39" ht="12.75" customHeight="1" x14ac:dyDescent="0.2">
      <c r="B42" s="362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3"/>
      <c r="AL42" s="363"/>
      <c r="AM42" s="363"/>
    </row>
    <row r="43" spans="2:39" ht="12.75" customHeight="1" x14ac:dyDescent="0.2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  <c r="AA43" s="363"/>
      <c r="AB43" s="363"/>
      <c r="AC43" s="363"/>
      <c r="AD43" s="363"/>
      <c r="AE43" s="363"/>
      <c r="AF43" s="363"/>
      <c r="AG43" s="363"/>
      <c r="AH43" s="363"/>
      <c r="AI43" s="363"/>
      <c r="AJ43" s="363"/>
      <c r="AK43" s="363"/>
      <c r="AL43" s="363"/>
      <c r="AM43" s="363"/>
    </row>
    <row r="44" spans="2:39" ht="12.75" customHeight="1" x14ac:dyDescent="0.2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63"/>
      <c r="AB44" s="363"/>
      <c r="AC44" s="363"/>
      <c r="AD44" s="363"/>
      <c r="AE44" s="363"/>
      <c r="AF44" s="363"/>
      <c r="AG44" s="363"/>
      <c r="AH44" s="363"/>
      <c r="AI44" s="363"/>
      <c r="AJ44" s="363"/>
      <c r="AK44" s="363"/>
      <c r="AL44" s="363"/>
      <c r="AM44" s="363"/>
    </row>
    <row r="45" spans="2:39" ht="12.75" customHeight="1" x14ac:dyDescent="0.2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63"/>
      <c r="AB45" s="363"/>
      <c r="AC45" s="363"/>
      <c r="AD45" s="363"/>
      <c r="AE45" s="363"/>
      <c r="AF45" s="363"/>
      <c r="AG45" s="363"/>
      <c r="AH45" s="363"/>
      <c r="AI45" s="363"/>
      <c r="AJ45" s="363"/>
      <c r="AK45" s="363"/>
      <c r="AL45" s="363"/>
      <c r="AM45" s="363"/>
    </row>
    <row r="46" spans="2:39" ht="12.75" customHeight="1" x14ac:dyDescent="0.2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363"/>
      <c r="AB46" s="363"/>
      <c r="AC46" s="363"/>
      <c r="AD46" s="363"/>
      <c r="AE46" s="363"/>
      <c r="AF46" s="363"/>
      <c r="AG46" s="363"/>
      <c r="AH46" s="363"/>
      <c r="AI46" s="363"/>
      <c r="AJ46" s="363"/>
      <c r="AK46" s="363"/>
      <c r="AL46" s="363"/>
      <c r="AM46" s="363"/>
    </row>
    <row r="47" spans="2:39" ht="12.75" customHeight="1" x14ac:dyDescent="0.2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3"/>
      <c r="AL47" s="363"/>
      <c r="AM47" s="363"/>
    </row>
    <row r="48" spans="2:39" ht="12.75" customHeight="1" x14ac:dyDescent="0.2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3"/>
      <c r="AL48" s="363"/>
      <c r="AM48" s="363"/>
    </row>
    <row r="49" spans="2:39" ht="12.75" customHeight="1" x14ac:dyDescent="0.2">
      <c r="B49" s="362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  <c r="AA49" s="363"/>
      <c r="AB49" s="363"/>
      <c r="AC49" s="363"/>
      <c r="AD49" s="363"/>
      <c r="AE49" s="363"/>
      <c r="AF49" s="363"/>
      <c r="AG49" s="363"/>
      <c r="AH49" s="363"/>
      <c r="AI49" s="363"/>
      <c r="AJ49" s="363"/>
      <c r="AK49" s="363"/>
      <c r="AL49" s="363"/>
      <c r="AM49" s="363"/>
    </row>
    <row r="50" spans="2:39" ht="9" customHeight="1" x14ac:dyDescent="0.2">
      <c r="B50" s="362"/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  <c r="AA50" s="363"/>
      <c r="AB50" s="363"/>
      <c r="AC50" s="363"/>
      <c r="AD50" s="363"/>
      <c r="AE50" s="363"/>
      <c r="AF50" s="363"/>
      <c r="AG50" s="363"/>
      <c r="AH50" s="363"/>
      <c r="AI50" s="363"/>
      <c r="AJ50" s="363"/>
      <c r="AK50" s="363"/>
      <c r="AL50" s="363"/>
      <c r="AM50" s="363"/>
    </row>
    <row r="51" spans="2:39" ht="6" customHeight="1" x14ac:dyDescent="0.2">
      <c r="B51" s="362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  <c r="AF51" s="363"/>
      <c r="AG51" s="363"/>
      <c r="AH51" s="363"/>
      <c r="AI51" s="363"/>
      <c r="AJ51" s="363"/>
      <c r="AK51" s="363"/>
      <c r="AL51" s="363"/>
      <c r="AM51" s="363"/>
    </row>
    <row r="52" spans="2:39" ht="12.75" customHeight="1" x14ac:dyDescent="0.2">
      <c r="B52" s="362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  <c r="AA52" s="363"/>
      <c r="AB52" s="363"/>
      <c r="AC52" s="363"/>
      <c r="AD52" s="363"/>
      <c r="AE52" s="363"/>
      <c r="AF52" s="363"/>
      <c r="AG52" s="363"/>
      <c r="AH52" s="363"/>
      <c r="AI52" s="363"/>
      <c r="AJ52" s="363"/>
      <c r="AK52" s="363"/>
      <c r="AL52" s="363"/>
      <c r="AM52" s="363"/>
    </row>
    <row r="53" spans="2:39" ht="12.75" customHeight="1" x14ac:dyDescent="0.2">
      <c r="B53" s="362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  <c r="AA53" s="363"/>
      <c r="AB53" s="363"/>
      <c r="AC53" s="363"/>
      <c r="AD53" s="363"/>
      <c r="AE53" s="363"/>
      <c r="AF53" s="363"/>
      <c r="AG53" s="363"/>
      <c r="AH53" s="363"/>
      <c r="AI53" s="363"/>
      <c r="AJ53" s="363"/>
      <c r="AK53" s="363"/>
      <c r="AL53" s="363"/>
      <c r="AM53" s="363"/>
    </row>
    <row r="54" spans="2:39" ht="12.75" customHeight="1" x14ac:dyDescent="0.2">
      <c r="B54" s="362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  <c r="Z54" s="363"/>
      <c r="AA54" s="363"/>
      <c r="AB54" s="363"/>
      <c r="AC54" s="363"/>
      <c r="AD54" s="363"/>
      <c r="AE54" s="363"/>
      <c r="AF54" s="363"/>
      <c r="AG54" s="363"/>
      <c r="AH54" s="363"/>
      <c r="AI54" s="363"/>
      <c r="AJ54" s="363"/>
      <c r="AK54" s="363"/>
      <c r="AL54" s="363"/>
      <c r="AM54" s="363"/>
    </row>
    <row r="55" spans="2:39" ht="12.75" customHeight="1" x14ac:dyDescent="0.2">
      <c r="B55" s="362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  <c r="Z55" s="363"/>
      <c r="AA55" s="363"/>
      <c r="AB55" s="363"/>
      <c r="AC55" s="363"/>
      <c r="AD55" s="363"/>
      <c r="AE55" s="363"/>
      <c r="AF55" s="363"/>
      <c r="AG55" s="363"/>
      <c r="AH55" s="363"/>
      <c r="AI55" s="363"/>
      <c r="AJ55" s="363"/>
      <c r="AK55" s="363"/>
      <c r="AL55" s="363"/>
      <c r="AM55" s="363"/>
    </row>
    <row r="56" spans="2:39" ht="12.75" customHeight="1" x14ac:dyDescent="0.2">
      <c r="B56" s="362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3"/>
      <c r="AM56" s="363"/>
    </row>
    <row r="57" spans="2:39" ht="12.75" customHeight="1" x14ac:dyDescent="0.2">
      <c r="B57" s="362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63"/>
      <c r="AB57" s="363"/>
      <c r="AC57" s="363"/>
      <c r="AD57" s="363"/>
      <c r="AE57" s="363"/>
      <c r="AF57" s="363"/>
      <c r="AG57" s="363"/>
      <c r="AH57" s="363"/>
      <c r="AI57" s="363"/>
      <c r="AJ57" s="363"/>
      <c r="AK57" s="363"/>
      <c r="AL57" s="363"/>
      <c r="AM57" s="363"/>
    </row>
    <row r="58" spans="2:39" ht="12.75" customHeight="1" x14ac:dyDescent="0.2">
      <c r="B58" s="362"/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3"/>
    </row>
    <row r="59" spans="2:39" ht="12.75" customHeight="1" x14ac:dyDescent="0.2">
      <c r="B59" s="362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</row>
    <row r="60" spans="2:39" ht="12.75" customHeight="1" x14ac:dyDescent="0.2">
      <c r="B60" s="362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63"/>
      <c r="AK60" s="363"/>
      <c r="AL60" s="363"/>
      <c r="AM60" s="363"/>
    </row>
    <row r="61" spans="2:39" ht="12.75" customHeight="1" x14ac:dyDescent="0.2">
      <c r="B61" s="362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3"/>
      <c r="AM61" s="363"/>
    </row>
    <row r="62" spans="2:39" ht="12.75" customHeight="1" x14ac:dyDescent="0.2">
      <c r="B62" s="362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  <c r="AA62" s="363"/>
      <c r="AB62" s="363"/>
      <c r="AC62" s="363"/>
      <c r="AD62" s="363"/>
      <c r="AE62" s="363"/>
      <c r="AF62" s="363"/>
      <c r="AG62" s="363"/>
      <c r="AH62" s="363"/>
      <c r="AI62" s="363"/>
      <c r="AJ62" s="363"/>
      <c r="AK62" s="363"/>
      <c r="AL62" s="363"/>
      <c r="AM62" s="363"/>
    </row>
    <row r="63" spans="2:39" ht="12.75" customHeight="1" x14ac:dyDescent="0.2">
      <c r="B63" s="362"/>
      <c r="C63" s="363"/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63"/>
      <c r="AK63" s="363"/>
      <c r="AL63" s="363"/>
      <c r="AM63" s="363"/>
    </row>
    <row r="64" spans="2:39" ht="12.75" customHeight="1" x14ac:dyDescent="0.2">
      <c r="B64" s="362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363"/>
      <c r="AB64" s="363"/>
      <c r="AC64" s="363"/>
      <c r="AD64" s="363"/>
      <c r="AE64" s="363"/>
      <c r="AF64" s="363"/>
      <c r="AG64" s="363"/>
      <c r="AH64" s="363"/>
      <c r="AI64" s="363"/>
      <c r="AJ64" s="363"/>
      <c r="AK64" s="363"/>
      <c r="AL64" s="363"/>
      <c r="AM64" s="363"/>
    </row>
    <row r="65" spans="2:39" ht="12.75" customHeight="1" x14ac:dyDescent="0.2">
      <c r="B65" s="362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  <c r="Z65" s="363"/>
      <c r="AA65" s="363"/>
      <c r="AB65" s="363"/>
      <c r="AC65" s="363"/>
      <c r="AD65" s="363"/>
      <c r="AE65" s="363"/>
      <c r="AF65" s="363"/>
      <c r="AG65" s="363"/>
      <c r="AH65" s="363"/>
      <c r="AI65" s="363"/>
      <c r="AJ65" s="363"/>
      <c r="AK65" s="363"/>
      <c r="AL65" s="363"/>
      <c r="AM65" s="363"/>
    </row>
    <row r="66" spans="2:39" ht="12.75" customHeight="1" x14ac:dyDescent="0.2">
      <c r="B66" s="362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  <c r="AH66" s="363"/>
      <c r="AI66" s="363"/>
      <c r="AJ66" s="363"/>
      <c r="AK66" s="363"/>
      <c r="AL66" s="363"/>
      <c r="AM66" s="363"/>
    </row>
    <row r="67" spans="2:39" ht="12.75" customHeight="1" x14ac:dyDescent="0.2">
      <c r="B67" s="362"/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3"/>
      <c r="AM67" s="363"/>
    </row>
    <row r="68" spans="2:39" ht="12.75" customHeight="1" x14ac:dyDescent="0.2">
      <c r="B68" s="362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363"/>
      <c r="AB68" s="363"/>
      <c r="AC68" s="363"/>
      <c r="AD68" s="363"/>
      <c r="AE68" s="363"/>
      <c r="AF68" s="363"/>
      <c r="AG68" s="363"/>
      <c r="AH68" s="363"/>
      <c r="AI68" s="363"/>
      <c r="AJ68" s="363"/>
      <c r="AK68" s="363"/>
      <c r="AL68" s="363"/>
      <c r="AM68" s="363"/>
    </row>
    <row r="69" spans="2:39" ht="12.75" customHeight="1" x14ac:dyDescent="0.2">
      <c r="B69" s="362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  <c r="Z69" s="363"/>
      <c r="AA69" s="363"/>
      <c r="AB69" s="363"/>
      <c r="AC69" s="363"/>
      <c r="AD69" s="363"/>
      <c r="AE69" s="363"/>
      <c r="AF69" s="363"/>
      <c r="AG69" s="363"/>
      <c r="AH69" s="363"/>
      <c r="AI69" s="363"/>
      <c r="AJ69" s="363"/>
      <c r="AK69" s="363"/>
      <c r="AL69" s="363"/>
      <c r="AM69" s="363"/>
    </row>
    <row r="70" spans="2:39" ht="12.75" customHeight="1" x14ac:dyDescent="0.2">
      <c r="B70" s="362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</row>
    <row r="71" spans="2:39" ht="12.75" customHeight="1" x14ac:dyDescent="0.2">
      <c r="B71" s="362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  <c r="Z71" s="363"/>
      <c r="AA71" s="363"/>
      <c r="AB71" s="363"/>
      <c r="AC71" s="363"/>
      <c r="AD71" s="363"/>
      <c r="AE71" s="363"/>
      <c r="AF71" s="363"/>
      <c r="AG71" s="363"/>
      <c r="AH71" s="363"/>
      <c r="AI71" s="363"/>
      <c r="AJ71" s="363"/>
      <c r="AK71" s="363"/>
      <c r="AL71" s="363"/>
      <c r="AM71" s="363"/>
    </row>
    <row r="72" spans="2:39" ht="12.75" customHeight="1" x14ac:dyDescent="0.2">
      <c r="B72" s="362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/>
      <c r="AL72" s="363"/>
      <c r="AM72" s="363"/>
    </row>
    <row r="73" spans="2:39" ht="12.75" customHeight="1" x14ac:dyDescent="0.2">
      <c r="B73" s="362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  <c r="AA73" s="363"/>
      <c r="AB73" s="363"/>
      <c r="AC73" s="363"/>
      <c r="AD73" s="363"/>
      <c r="AE73" s="363"/>
      <c r="AF73" s="363"/>
      <c r="AG73" s="363"/>
      <c r="AH73" s="363"/>
      <c r="AI73" s="363"/>
      <c r="AJ73" s="363"/>
      <c r="AK73" s="363"/>
      <c r="AL73" s="363"/>
      <c r="AM73" s="363"/>
    </row>
    <row r="74" spans="2:39" ht="12.75" customHeight="1" x14ac:dyDescent="0.2">
      <c r="B74" s="362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363"/>
    </row>
    <row r="75" spans="2:39" ht="12.75" customHeight="1" x14ac:dyDescent="0.2">
      <c r="B75" s="362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363"/>
      <c r="AB75" s="363"/>
      <c r="AC75" s="363"/>
      <c r="AD75" s="363"/>
      <c r="AE75" s="363"/>
      <c r="AF75" s="363"/>
      <c r="AG75" s="363"/>
      <c r="AH75" s="363"/>
      <c r="AI75" s="363"/>
      <c r="AJ75" s="363"/>
      <c r="AK75" s="363"/>
      <c r="AL75" s="363"/>
      <c r="AM75" s="363"/>
    </row>
    <row r="76" spans="2:39" ht="12.75" customHeight="1" x14ac:dyDescent="0.2">
      <c r="B76" s="362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  <c r="AA76" s="363"/>
      <c r="AB76" s="363"/>
      <c r="AC76" s="363"/>
      <c r="AD76" s="363"/>
      <c r="AE76" s="363"/>
      <c r="AF76" s="363"/>
      <c r="AG76" s="363"/>
      <c r="AH76" s="363"/>
      <c r="AI76" s="363"/>
      <c r="AJ76" s="363"/>
      <c r="AK76" s="363"/>
      <c r="AL76" s="363"/>
      <c r="AM76" s="363"/>
    </row>
    <row r="77" spans="2:39" ht="12.75" customHeight="1" x14ac:dyDescent="0.2">
      <c r="B77" s="362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  <c r="AA77" s="363"/>
      <c r="AB77" s="363"/>
      <c r="AC77" s="363"/>
      <c r="AD77" s="363"/>
      <c r="AE77" s="363"/>
      <c r="AF77" s="363"/>
      <c r="AG77" s="363"/>
      <c r="AH77" s="363"/>
      <c r="AI77" s="363"/>
      <c r="AJ77" s="363"/>
      <c r="AK77" s="363"/>
      <c r="AL77" s="363"/>
      <c r="AM77" s="363"/>
    </row>
    <row r="78" spans="2:39" ht="12.75" customHeight="1" x14ac:dyDescent="0.2">
      <c r="B78" s="362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3"/>
      <c r="AM78" s="363"/>
    </row>
    <row r="79" spans="2:39" ht="12.75" customHeight="1" x14ac:dyDescent="0.2">
      <c r="B79" s="362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  <c r="Y79" s="363"/>
      <c r="Z79" s="363"/>
      <c r="AA79" s="363"/>
      <c r="AB79" s="363"/>
      <c r="AC79" s="363"/>
      <c r="AD79" s="363"/>
      <c r="AE79" s="363"/>
      <c r="AF79" s="363"/>
      <c r="AG79" s="363"/>
      <c r="AH79" s="363"/>
      <c r="AI79" s="363"/>
      <c r="AJ79" s="363"/>
      <c r="AK79" s="363"/>
      <c r="AL79" s="363"/>
      <c r="AM79" s="363"/>
    </row>
    <row r="80" spans="2:39" ht="12.75" customHeight="1" x14ac:dyDescent="0.2">
      <c r="B80" s="362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363"/>
      <c r="AG80" s="363"/>
      <c r="AH80" s="363"/>
      <c r="AI80" s="363"/>
      <c r="AJ80" s="363"/>
      <c r="AK80" s="363"/>
      <c r="AL80" s="363"/>
      <c r="AM80" s="363"/>
    </row>
    <row r="81" spans="2:39" ht="12.75" customHeight="1" x14ac:dyDescent="0.2">
      <c r="B81" s="362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</row>
    <row r="82" spans="2:39" ht="12.75" customHeight="1" x14ac:dyDescent="0.2">
      <c r="B82" s="362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  <c r="AG82" s="363"/>
      <c r="AH82" s="363"/>
      <c r="AI82" s="363"/>
      <c r="AJ82" s="363"/>
      <c r="AK82" s="363"/>
      <c r="AL82" s="363"/>
      <c r="AM82" s="363"/>
    </row>
    <row r="83" spans="2:39" ht="12.75" customHeight="1" x14ac:dyDescent="0.2">
      <c r="B83" s="362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/>
      <c r="AI83" s="363"/>
      <c r="AJ83" s="363"/>
      <c r="AK83" s="363"/>
      <c r="AL83" s="363"/>
      <c r="AM83" s="363"/>
    </row>
    <row r="84" spans="2:39" ht="12.75" customHeight="1" x14ac:dyDescent="0.2">
      <c r="B84" s="362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  <c r="AC84" s="363"/>
      <c r="AD84" s="363"/>
      <c r="AE84" s="363"/>
      <c r="AF84" s="363"/>
      <c r="AG84" s="363"/>
      <c r="AH84" s="363"/>
      <c r="AI84" s="363"/>
      <c r="AJ84" s="363"/>
      <c r="AK84" s="363"/>
      <c r="AL84" s="363"/>
      <c r="AM84" s="363"/>
    </row>
    <row r="85" spans="2:39" ht="12.75" customHeight="1" x14ac:dyDescent="0.2">
      <c r="B85" s="362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/>
      <c r="AF85" s="363"/>
      <c r="AG85" s="363"/>
      <c r="AH85" s="363"/>
      <c r="AI85" s="363"/>
      <c r="AJ85" s="363"/>
      <c r="AK85" s="363"/>
      <c r="AL85" s="363"/>
      <c r="AM85" s="363"/>
    </row>
    <row r="86" spans="2:39" ht="12.75" customHeight="1" x14ac:dyDescent="0.2">
      <c r="B86" s="362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</row>
    <row r="87" spans="2:39" ht="12.75" customHeight="1" x14ac:dyDescent="0.2">
      <c r="B87" s="362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</row>
    <row r="88" spans="2:39" ht="12.75" customHeight="1" x14ac:dyDescent="0.2">
      <c r="B88" s="362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</row>
    <row r="89" spans="2:39" ht="12.75" customHeight="1" x14ac:dyDescent="0.2">
      <c r="B89" s="362"/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</row>
    <row r="90" spans="2:39" ht="12.75" customHeight="1" x14ac:dyDescent="0.2">
      <c r="B90" s="362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</row>
    <row r="91" spans="2:39" ht="12.75" customHeight="1" x14ac:dyDescent="0.2">
      <c r="B91" s="362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</row>
    <row r="92" spans="2:39" ht="12.75" customHeight="1" x14ac:dyDescent="0.2">
      <c r="B92" s="362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</row>
    <row r="93" spans="2:39" ht="12.75" customHeight="1" x14ac:dyDescent="0.2">
      <c r="B93" s="362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</row>
    <row r="94" spans="2:39" ht="12.75" customHeight="1" x14ac:dyDescent="0.2">
      <c r="B94" s="362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</row>
    <row r="95" spans="2:39" ht="12.75" customHeight="1" x14ac:dyDescent="0.2">
      <c r="B95" s="362"/>
      <c r="C95" s="363"/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</row>
    <row r="96" spans="2:39" ht="12.75" customHeight="1" x14ac:dyDescent="0.2">
      <c r="B96" s="362"/>
      <c r="C96" s="363"/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</row>
    <row r="97" spans="2:39" ht="12.75" customHeight="1" x14ac:dyDescent="0.2">
      <c r="B97" s="362"/>
      <c r="C97" s="363"/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</row>
    <row r="98" spans="2:39" ht="12.75" customHeight="1" x14ac:dyDescent="0.2">
      <c r="B98" s="362"/>
      <c r="C98" s="363"/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</row>
    <row r="99" spans="2:39" ht="12.75" customHeight="1" x14ac:dyDescent="0.2">
      <c r="B99" s="362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</row>
    <row r="100" spans="2:39" ht="12.75" customHeight="1" x14ac:dyDescent="0.2">
      <c r="B100" s="362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</row>
    <row r="101" spans="2:39" ht="12.75" customHeight="1" x14ac:dyDescent="0.2">
      <c r="B101" s="362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</row>
    <row r="102" spans="2:39" ht="12.75" customHeight="1" x14ac:dyDescent="0.2">
      <c r="B102" s="362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63"/>
      <c r="AB102" s="363"/>
      <c r="AC102" s="363"/>
      <c r="AD102" s="363"/>
      <c r="AE102" s="363"/>
      <c r="AF102" s="363"/>
      <c r="AG102" s="363"/>
      <c r="AH102" s="363"/>
      <c r="AI102" s="363"/>
      <c r="AJ102" s="363"/>
      <c r="AK102" s="363"/>
      <c r="AL102" s="363"/>
      <c r="AM102" s="363"/>
    </row>
    <row r="103" spans="2:39" ht="12.75" customHeight="1" x14ac:dyDescent="0.2">
      <c r="B103" s="362"/>
      <c r="C103" s="363"/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</row>
    <row r="104" spans="2:39" ht="12.75" customHeight="1" x14ac:dyDescent="0.2">
      <c r="B104" s="362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  <c r="AA104" s="363"/>
      <c r="AB104" s="363"/>
      <c r="AC104" s="363"/>
      <c r="AD104" s="363"/>
      <c r="AE104" s="363"/>
      <c r="AF104" s="363"/>
      <c r="AG104" s="363"/>
      <c r="AH104" s="363"/>
      <c r="AI104" s="363"/>
      <c r="AJ104" s="363"/>
      <c r="AK104" s="363"/>
      <c r="AL104" s="363"/>
      <c r="AM104" s="363"/>
    </row>
    <row r="105" spans="2:39" ht="12.75" customHeight="1" x14ac:dyDescent="0.2">
      <c r="B105" s="362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3"/>
      <c r="AM105" s="363"/>
    </row>
    <row r="106" spans="2:39" ht="12.75" customHeight="1" x14ac:dyDescent="0.2">
      <c r="B106" s="362"/>
      <c r="C106" s="363"/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</row>
    <row r="107" spans="2:39" ht="12.75" customHeight="1" x14ac:dyDescent="0.2">
      <c r="B107" s="362"/>
      <c r="C107" s="363"/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  <c r="AA107" s="363"/>
      <c r="AB107" s="363"/>
      <c r="AC107" s="363"/>
      <c r="AD107" s="363"/>
      <c r="AE107" s="363"/>
      <c r="AF107" s="363"/>
      <c r="AG107" s="363"/>
      <c r="AH107" s="363"/>
      <c r="AI107" s="363"/>
      <c r="AJ107" s="363"/>
      <c r="AK107" s="363"/>
      <c r="AL107" s="363"/>
      <c r="AM107" s="363"/>
    </row>
    <row r="108" spans="2:39" ht="12.75" customHeight="1" x14ac:dyDescent="0.2">
      <c r="B108" s="362"/>
      <c r="C108" s="363"/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/>
      <c r="AD108" s="363"/>
      <c r="AE108" s="363"/>
      <c r="AF108" s="363"/>
      <c r="AG108" s="363"/>
      <c r="AH108" s="363"/>
      <c r="AI108" s="363"/>
      <c r="AJ108" s="363"/>
      <c r="AK108" s="363"/>
      <c r="AL108" s="363"/>
      <c r="AM108" s="363"/>
    </row>
    <row r="109" spans="2:39" ht="12.75" customHeight="1" x14ac:dyDescent="0.2">
      <c r="B109" s="362"/>
      <c r="C109" s="363"/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/>
      <c r="AF109" s="363"/>
      <c r="AG109" s="363"/>
      <c r="AH109" s="363"/>
      <c r="AI109" s="363"/>
      <c r="AJ109" s="363"/>
      <c r="AK109" s="363"/>
      <c r="AL109" s="363"/>
      <c r="AM109" s="363"/>
    </row>
    <row r="110" spans="2:39" ht="12.75" customHeight="1" x14ac:dyDescent="0.2">
      <c r="B110" s="362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  <c r="AA110" s="363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</row>
    <row r="111" spans="2:39" ht="12.75" customHeight="1" x14ac:dyDescent="0.2">
      <c r="B111" s="362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</row>
    <row r="112" spans="2:39" ht="12.75" customHeight="1" x14ac:dyDescent="0.2">
      <c r="B112" s="362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63"/>
      <c r="AB112" s="363"/>
      <c r="AC112" s="363"/>
      <c r="AD112" s="363"/>
      <c r="AE112" s="363"/>
      <c r="AF112" s="363"/>
      <c r="AG112" s="363"/>
      <c r="AH112" s="363"/>
      <c r="AI112" s="363"/>
      <c r="AJ112" s="363"/>
      <c r="AK112" s="363"/>
      <c r="AL112" s="363"/>
      <c r="AM112" s="363"/>
    </row>
    <row r="113" spans="2:39" ht="12.75" customHeight="1" x14ac:dyDescent="0.2">
      <c r="B113" s="362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/>
      <c r="AF113" s="363"/>
      <c r="AG113" s="363"/>
      <c r="AH113" s="363"/>
      <c r="AI113" s="363"/>
      <c r="AJ113" s="363"/>
      <c r="AK113" s="363"/>
      <c r="AL113" s="363"/>
      <c r="AM113" s="363"/>
    </row>
    <row r="114" spans="2:39" ht="12.75" customHeight="1" x14ac:dyDescent="0.2">
      <c r="B114" s="362"/>
      <c r="C114" s="363"/>
      <c r="D114" s="363"/>
      <c r="E114" s="363"/>
      <c r="F114" s="363"/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/>
      <c r="AF114" s="363"/>
      <c r="AG114" s="363"/>
      <c r="AH114" s="363"/>
      <c r="AI114" s="363"/>
      <c r="AJ114" s="363"/>
      <c r="AK114" s="363"/>
      <c r="AL114" s="363"/>
      <c r="AM114" s="363"/>
    </row>
    <row r="115" spans="2:39" ht="12.75" customHeight="1" x14ac:dyDescent="0.2">
      <c r="B115" s="362"/>
      <c r="C115" s="363"/>
      <c r="D115" s="363"/>
      <c r="E115" s="363"/>
      <c r="F115" s="363"/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3"/>
      <c r="Y115" s="363"/>
      <c r="Z115" s="363"/>
      <c r="AA115" s="363"/>
      <c r="AB115" s="363"/>
      <c r="AC115" s="363"/>
      <c r="AD115" s="363"/>
      <c r="AE115" s="363"/>
      <c r="AF115" s="363"/>
      <c r="AG115" s="363"/>
      <c r="AH115" s="363"/>
      <c r="AI115" s="363"/>
      <c r="AJ115" s="363"/>
      <c r="AK115" s="363"/>
      <c r="AL115" s="363"/>
      <c r="AM115" s="363"/>
    </row>
    <row r="116" spans="2:39" ht="12.75" customHeight="1" x14ac:dyDescent="0.2">
      <c r="B116" s="362"/>
      <c r="C116" s="363"/>
      <c r="D116" s="363"/>
      <c r="E116" s="363"/>
      <c r="F116" s="363"/>
      <c r="G116" s="363"/>
      <c r="H116" s="363"/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  <c r="AA116" s="363"/>
      <c r="AB116" s="363"/>
      <c r="AC116" s="363"/>
      <c r="AD116" s="363"/>
      <c r="AE116" s="363"/>
      <c r="AF116" s="363"/>
      <c r="AG116" s="363"/>
      <c r="AH116" s="363"/>
      <c r="AI116" s="363"/>
      <c r="AJ116" s="363"/>
      <c r="AK116" s="363"/>
      <c r="AL116" s="363"/>
      <c r="AM116" s="363"/>
    </row>
    <row r="117" spans="2:39" ht="12.75" customHeight="1" x14ac:dyDescent="0.2">
      <c r="B117" s="362"/>
      <c r="C117" s="363"/>
      <c r="D117" s="363"/>
      <c r="E117" s="363"/>
      <c r="F117" s="363"/>
      <c r="G117" s="363"/>
      <c r="H117" s="363"/>
      <c r="I117" s="363"/>
      <c r="J117" s="363"/>
      <c r="K117" s="363"/>
      <c r="L117" s="363"/>
      <c r="M117" s="363"/>
      <c r="N117" s="363"/>
      <c r="O117" s="363"/>
      <c r="P117" s="363"/>
      <c r="Q117" s="363"/>
      <c r="R117" s="363"/>
      <c r="S117" s="363"/>
      <c r="T117" s="363"/>
      <c r="U117" s="363"/>
      <c r="V117" s="363"/>
      <c r="W117" s="363"/>
      <c r="X117" s="363"/>
      <c r="Y117" s="363"/>
      <c r="Z117" s="363"/>
      <c r="AA117" s="363"/>
      <c r="AB117" s="363"/>
      <c r="AC117" s="363"/>
      <c r="AD117" s="363"/>
      <c r="AE117" s="363"/>
      <c r="AF117" s="363"/>
      <c r="AG117" s="363"/>
      <c r="AH117" s="363"/>
      <c r="AI117" s="363"/>
      <c r="AJ117" s="363"/>
      <c r="AK117" s="363"/>
      <c r="AL117" s="363"/>
      <c r="AM117" s="363"/>
    </row>
    <row r="118" spans="2:39" ht="12.75" customHeight="1" x14ac:dyDescent="0.2">
      <c r="B118" s="362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  <c r="Y118" s="363"/>
      <c r="Z118" s="363"/>
      <c r="AA118" s="363"/>
      <c r="AB118" s="363"/>
      <c r="AC118" s="363"/>
      <c r="AD118" s="363"/>
      <c r="AE118" s="363"/>
      <c r="AF118" s="363"/>
      <c r="AG118" s="363"/>
      <c r="AH118" s="363"/>
      <c r="AI118" s="363"/>
      <c r="AJ118" s="363"/>
      <c r="AK118" s="363"/>
      <c r="AL118" s="363"/>
      <c r="AM118" s="363"/>
    </row>
    <row r="119" spans="2:39" ht="12.75" customHeight="1" x14ac:dyDescent="0.2">
      <c r="B119" s="362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363"/>
      <c r="AB119" s="363"/>
      <c r="AC119" s="363"/>
      <c r="AD119" s="363"/>
      <c r="AE119" s="363"/>
      <c r="AF119" s="363"/>
      <c r="AG119" s="363"/>
      <c r="AH119" s="363"/>
      <c r="AI119" s="363"/>
      <c r="AJ119" s="363"/>
      <c r="AK119" s="363"/>
      <c r="AL119" s="363"/>
      <c r="AM119" s="363"/>
    </row>
    <row r="120" spans="2:39" ht="12.75" customHeight="1" x14ac:dyDescent="0.2">
      <c r="B120" s="362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/>
      <c r="AF120" s="363"/>
      <c r="AG120" s="363"/>
      <c r="AH120" s="363"/>
      <c r="AI120" s="363"/>
      <c r="AJ120" s="363"/>
      <c r="AK120" s="363"/>
      <c r="AL120" s="363"/>
      <c r="AM120" s="363"/>
    </row>
    <row r="121" spans="2:39" ht="12.75" customHeight="1" x14ac:dyDescent="0.2">
      <c r="B121" s="362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63"/>
      <c r="AB121" s="363"/>
      <c r="AC121" s="363"/>
      <c r="AD121" s="363"/>
      <c r="AE121" s="363"/>
      <c r="AF121" s="363"/>
      <c r="AG121" s="363"/>
      <c r="AH121" s="363"/>
      <c r="AI121" s="363"/>
      <c r="AJ121" s="363"/>
      <c r="AK121" s="363"/>
      <c r="AL121" s="363"/>
      <c r="AM121" s="363"/>
    </row>
    <row r="122" spans="2:39" ht="12.75" customHeight="1" x14ac:dyDescent="0.2">
      <c r="B122" s="362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3"/>
      <c r="AM122" s="363"/>
    </row>
    <row r="123" spans="2:39" ht="12.75" customHeight="1" x14ac:dyDescent="0.2">
      <c r="B123" s="362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363"/>
      <c r="AB123" s="363"/>
      <c r="AC123" s="363"/>
      <c r="AD123" s="363"/>
      <c r="AE123" s="363"/>
      <c r="AF123" s="363"/>
      <c r="AG123" s="363"/>
      <c r="AH123" s="363"/>
      <c r="AI123" s="363"/>
      <c r="AJ123" s="363"/>
      <c r="AK123" s="363"/>
      <c r="AL123" s="363"/>
      <c r="AM123" s="363"/>
    </row>
    <row r="124" spans="2:39" ht="12.75" customHeight="1" x14ac:dyDescent="0.2">
      <c r="B124" s="362"/>
      <c r="C124" s="363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/>
      <c r="AL124" s="363"/>
      <c r="AM124" s="363"/>
    </row>
    <row r="125" spans="2:39" ht="12.75" customHeight="1" x14ac:dyDescent="0.2">
      <c r="B125" s="362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  <c r="AA125" s="363"/>
      <c r="AB125" s="363"/>
      <c r="AC125" s="363"/>
      <c r="AD125" s="363"/>
      <c r="AE125" s="363"/>
      <c r="AF125" s="363"/>
      <c r="AG125" s="363"/>
      <c r="AH125" s="363"/>
      <c r="AI125" s="363"/>
      <c r="AJ125" s="363"/>
      <c r="AK125" s="363"/>
      <c r="AL125" s="363"/>
      <c r="AM125" s="363"/>
    </row>
    <row r="126" spans="2:39" ht="12.75" customHeight="1" x14ac:dyDescent="0.2">
      <c r="B126" s="362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3"/>
      <c r="Y126" s="363"/>
      <c r="Z126" s="363"/>
      <c r="AA126" s="363"/>
      <c r="AB126" s="363"/>
      <c r="AC126" s="363"/>
      <c r="AD126" s="363"/>
      <c r="AE126" s="363"/>
      <c r="AF126" s="363"/>
      <c r="AG126" s="363"/>
      <c r="AH126" s="363"/>
      <c r="AI126" s="363"/>
      <c r="AJ126" s="363"/>
      <c r="AK126" s="363"/>
      <c r="AL126" s="363"/>
      <c r="AM126" s="363"/>
    </row>
    <row r="127" spans="2:39" ht="12.75" customHeight="1" x14ac:dyDescent="0.2">
      <c r="B127" s="362"/>
      <c r="C127" s="363"/>
      <c r="D127" s="363"/>
      <c r="E127" s="363"/>
      <c r="F127" s="363"/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  <c r="AA127" s="363"/>
      <c r="AB127" s="363"/>
      <c r="AC127" s="363"/>
      <c r="AD127" s="363"/>
      <c r="AE127" s="363"/>
      <c r="AF127" s="363"/>
      <c r="AG127" s="363"/>
      <c r="AH127" s="363"/>
      <c r="AI127" s="363"/>
      <c r="AJ127" s="363"/>
      <c r="AK127" s="363"/>
      <c r="AL127" s="363"/>
      <c r="AM127" s="363"/>
    </row>
    <row r="128" spans="2:39" ht="12.75" customHeight="1" x14ac:dyDescent="0.2">
      <c r="B128" s="362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  <c r="AA128" s="363"/>
      <c r="AB128" s="363"/>
      <c r="AC128" s="363"/>
      <c r="AD128" s="363"/>
      <c r="AE128" s="363"/>
      <c r="AF128" s="363"/>
      <c r="AG128" s="363"/>
      <c r="AH128" s="363"/>
      <c r="AI128" s="363"/>
      <c r="AJ128" s="363"/>
      <c r="AK128" s="363"/>
      <c r="AL128" s="363"/>
      <c r="AM128" s="363"/>
    </row>
    <row r="129" spans="2:39" ht="12.75" customHeight="1" x14ac:dyDescent="0.2">
      <c r="B129" s="362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3"/>
      <c r="P129" s="363"/>
      <c r="Q129" s="363"/>
      <c r="R129" s="363"/>
      <c r="S129" s="363"/>
      <c r="T129" s="363"/>
      <c r="U129" s="363"/>
      <c r="V129" s="363"/>
      <c r="W129" s="363"/>
      <c r="X129" s="363"/>
      <c r="Y129" s="363"/>
      <c r="Z129" s="363"/>
      <c r="AA129" s="363"/>
      <c r="AB129" s="363"/>
      <c r="AC129" s="363"/>
      <c r="AD129" s="363"/>
      <c r="AE129" s="363"/>
      <c r="AF129" s="363"/>
      <c r="AG129" s="363"/>
      <c r="AH129" s="363"/>
      <c r="AI129" s="363"/>
      <c r="AJ129" s="363"/>
      <c r="AK129" s="363"/>
      <c r="AL129" s="363"/>
      <c r="AM129" s="363"/>
    </row>
    <row r="130" spans="2:39" ht="12.75" customHeight="1" x14ac:dyDescent="0.2">
      <c r="B130" s="362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63"/>
      <c r="AB130" s="363"/>
      <c r="AC130" s="363"/>
      <c r="AD130" s="363"/>
      <c r="AE130" s="363"/>
      <c r="AF130" s="363"/>
      <c r="AG130" s="363"/>
      <c r="AH130" s="363"/>
      <c r="AI130" s="363"/>
      <c r="AJ130" s="363"/>
      <c r="AK130" s="363"/>
      <c r="AL130" s="363"/>
      <c r="AM130" s="363"/>
    </row>
    <row r="131" spans="2:39" ht="12.75" customHeight="1" x14ac:dyDescent="0.2">
      <c r="B131" s="362"/>
      <c r="C131" s="363"/>
      <c r="D131" s="363"/>
      <c r="E131" s="363"/>
      <c r="F131" s="363"/>
      <c r="G131" s="363"/>
      <c r="H131" s="363"/>
      <c r="I131" s="363"/>
      <c r="J131" s="363"/>
      <c r="K131" s="363"/>
      <c r="L131" s="363"/>
      <c r="M131" s="363"/>
      <c r="N131" s="363"/>
      <c r="O131" s="363"/>
      <c r="P131" s="363"/>
      <c r="Q131" s="363"/>
      <c r="R131" s="363"/>
      <c r="S131" s="363"/>
      <c r="T131" s="363"/>
      <c r="U131" s="363"/>
      <c r="V131" s="363"/>
      <c r="W131" s="363"/>
      <c r="X131" s="363"/>
      <c r="Y131" s="363"/>
      <c r="Z131" s="363"/>
      <c r="AA131" s="363"/>
      <c r="AB131" s="363"/>
      <c r="AC131" s="363"/>
      <c r="AD131" s="363"/>
      <c r="AE131" s="363"/>
      <c r="AF131" s="363"/>
      <c r="AG131" s="363"/>
      <c r="AH131" s="363"/>
      <c r="AI131" s="363"/>
      <c r="AJ131" s="363"/>
      <c r="AK131" s="363"/>
      <c r="AL131" s="363"/>
      <c r="AM131" s="363"/>
    </row>
    <row r="132" spans="2:39" ht="12.75" customHeight="1" x14ac:dyDescent="0.2">
      <c r="B132" s="362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63"/>
      <c r="P132" s="363"/>
      <c r="Q132" s="363"/>
      <c r="R132" s="363"/>
      <c r="S132" s="363"/>
      <c r="T132" s="363"/>
      <c r="U132" s="363"/>
      <c r="V132" s="363"/>
      <c r="W132" s="363"/>
      <c r="X132" s="363"/>
      <c r="Y132" s="363"/>
      <c r="Z132" s="363"/>
      <c r="AA132" s="363"/>
      <c r="AB132" s="363"/>
      <c r="AC132" s="363"/>
      <c r="AD132" s="363"/>
      <c r="AE132" s="363"/>
      <c r="AF132" s="363"/>
      <c r="AG132" s="363"/>
      <c r="AH132" s="363"/>
      <c r="AI132" s="363"/>
      <c r="AJ132" s="363"/>
      <c r="AK132" s="363"/>
      <c r="AL132" s="363"/>
      <c r="AM132" s="363"/>
    </row>
    <row r="133" spans="2:39" ht="12.75" customHeight="1" x14ac:dyDescent="0.2">
      <c r="B133" s="362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  <c r="AA133" s="363"/>
      <c r="AB133" s="363"/>
      <c r="AC133" s="363"/>
      <c r="AD133" s="363"/>
      <c r="AE133" s="363"/>
      <c r="AF133" s="363"/>
      <c r="AG133" s="363"/>
      <c r="AH133" s="363"/>
      <c r="AI133" s="363"/>
      <c r="AJ133" s="363"/>
      <c r="AK133" s="363"/>
      <c r="AL133" s="363"/>
      <c r="AM133" s="363"/>
    </row>
    <row r="134" spans="2:39" ht="12.75" customHeight="1" x14ac:dyDescent="0.2">
      <c r="B134" s="362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63"/>
      <c r="AB134" s="363"/>
      <c r="AC134" s="363"/>
      <c r="AD134" s="363"/>
      <c r="AE134" s="363"/>
      <c r="AF134" s="363"/>
      <c r="AG134" s="363"/>
      <c r="AH134" s="363"/>
      <c r="AI134" s="363"/>
      <c r="AJ134" s="363"/>
      <c r="AK134" s="363"/>
      <c r="AL134" s="363"/>
      <c r="AM134" s="363"/>
    </row>
    <row r="135" spans="2:39" ht="12.75" customHeight="1" x14ac:dyDescent="0.2">
      <c r="B135" s="362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63"/>
      <c r="AB135" s="363"/>
      <c r="AC135" s="363"/>
      <c r="AD135" s="363"/>
      <c r="AE135" s="363"/>
      <c r="AF135" s="363"/>
      <c r="AG135" s="363"/>
      <c r="AH135" s="363"/>
      <c r="AI135" s="363"/>
      <c r="AJ135" s="363"/>
      <c r="AK135" s="363"/>
      <c r="AL135" s="363"/>
      <c r="AM135" s="363"/>
    </row>
    <row r="136" spans="2:39" ht="12.75" customHeight="1" x14ac:dyDescent="0.2">
      <c r="B136" s="362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  <c r="AA136" s="363"/>
      <c r="AB136" s="363"/>
      <c r="AC136" s="363"/>
      <c r="AD136" s="363"/>
      <c r="AE136" s="363"/>
      <c r="AF136" s="363"/>
      <c r="AG136" s="363"/>
      <c r="AH136" s="363"/>
      <c r="AI136" s="363"/>
      <c r="AJ136" s="363"/>
      <c r="AK136" s="363"/>
      <c r="AL136" s="363"/>
      <c r="AM136" s="363"/>
    </row>
    <row r="137" spans="2:39" ht="12.75" customHeight="1" x14ac:dyDescent="0.2">
      <c r="B137" s="362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3"/>
      <c r="P137" s="363"/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  <c r="AA137" s="363"/>
      <c r="AB137" s="363"/>
      <c r="AC137" s="363"/>
      <c r="AD137" s="363"/>
      <c r="AE137" s="363"/>
      <c r="AF137" s="363"/>
      <c r="AG137" s="363"/>
      <c r="AH137" s="363"/>
      <c r="AI137" s="363"/>
      <c r="AJ137" s="363"/>
      <c r="AK137" s="363"/>
      <c r="AL137" s="363"/>
      <c r="AM137" s="363"/>
    </row>
    <row r="138" spans="2:39" ht="12.75" customHeight="1" x14ac:dyDescent="0.2">
      <c r="B138" s="362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  <c r="AA138" s="363"/>
      <c r="AB138" s="363"/>
      <c r="AC138" s="363"/>
      <c r="AD138" s="363"/>
      <c r="AE138" s="363"/>
      <c r="AF138" s="363"/>
      <c r="AG138" s="363"/>
      <c r="AH138" s="363"/>
      <c r="AI138" s="363"/>
      <c r="AJ138" s="363"/>
      <c r="AK138" s="363"/>
      <c r="AL138" s="363"/>
      <c r="AM138" s="363"/>
    </row>
    <row r="139" spans="2:39" ht="12.75" customHeight="1" x14ac:dyDescent="0.2">
      <c r="B139" s="362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363"/>
      <c r="V139" s="363"/>
      <c r="W139" s="363"/>
      <c r="X139" s="363"/>
      <c r="Y139" s="363"/>
      <c r="Z139" s="363"/>
      <c r="AA139" s="363"/>
      <c r="AB139" s="363"/>
      <c r="AC139" s="363"/>
      <c r="AD139" s="363"/>
      <c r="AE139" s="363"/>
      <c r="AF139" s="363"/>
      <c r="AG139" s="363"/>
      <c r="AH139" s="363"/>
      <c r="AI139" s="363"/>
      <c r="AJ139" s="363"/>
      <c r="AK139" s="363"/>
      <c r="AL139" s="363"/>
      <c r="AM139" s="363"/>
    </row>
    <row r="140" spans="2:39" ht="12.75" customHeight="1" x14ac:dyDescent="0.2">
      <c r="B140" s="362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63"/>
      <c r="AB140" s="363"/>
      <c r="AC140" s="363"/>
      <c r="AD140" s="363"/>
      <c r="AE140" s="363"/>
      <c r="AF140" s="363"/>
      <c r="AG140" s="363"/>
      <c r="AH140" s="363"/>
      <c r="AI140" s="363"/>
      <c r="AJ140" s="363"/>
      <c r="AK140" s="363"/>
      <c r="AL140" s="363"/>
      <c r="AM140" s="363"/>
    </row>
    <row r="141" spans="2:39" ht="12.75" customHeight="1" x14ac:dyDescent="0.2">
      <c r="B141" s="362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63"/>
      <c r="AB141" s="363"/>
      <c r="AC141" s="363"/>
      <c r="AD141" s="363"/>
      <c r="AE141" s="363"/>
      <c r="AF141" s="363"/>
      <c r="AG141" s="363"/>
      <c r="AH141" s="363"/>
      <c r="AI141" s="363"/>
      <c r="AJ141" s="363"/>
      <c r="AK141" s="363"/>
      <c r="AL141" s="363"/>
      <c r="AM141" s="363"/>
    </row>
    <row r="142" spans="2:39" ht="12.75" customHeight="1" x14ac:dyDescent="0.2">
      <c r="B142" s="362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  <c r="AA142" s="363"/>
      <c r="AB142" s="363"/>
      <c r="AC142" s="363"/>
      <c r="AD142" s="363"/>
      <c r="AE142" s="363"/>
      <c r="AF142" s="363"/>
      <c r="AG142" s="363"/>
      <c r="AH142" s="363"/>
      <c r="AI142" s="363"/>
      <c r="AJ142" s="363"/>
      <c r="AK142" s="363"/>
      <c r="AL142" s="363"/>
      <c r="AM142" s="363"/>
    </row>
    <row r="143" spans="2:39" ht="12.75" customHeight="1" x14ac:dyDescent="0.2">
      <c r="B143" s="362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  <c r="AA143" s="363"/>
      <c r="AB143" s="363"/>
      <c r="AC143" s="363"/>
      <c r="AD143" s="363"/>
      <c r="AE143" s="363"/>
      <c r="AF143" s="363"/>
      <c r="AG143" s="363"/>
      <c r="AH143" s="363"/>
      <c r="AI143" s="363"/>
      <c r="AJ143" s="363"/>
      <c r="AK143" s="363"/>
      <c r="AL143" s="363"/>
      <c r="AM143" s="363"/>
    </row>
    <row r="144" spans="2:39" ht="12.75" customHeight="1" x14ac:dyDescent="0.2">
      <c r="B144" s="362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/>
      <c r="AF144" s="363"/>
      <c r="AG144" s="363"/>
      <c r="AH144" s="363"/>
      <c r="AI144" s="363"/>
      <c r="AJ144" s="363"/>
      <c r="AK144" s="363"/>
      <c r="AL144" s="363"/>
      <c r="AM144" s="363"/>
    </row>
    <row r="145" spans="2:39" ht="12.75" customHeight="1" x14ac:dyDescent="0.2">
      <c r="B145" s="362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  <c r="AA145" s="363"/>
      <c r="AB145" s="363"/>
      <c r="AC145" s="363"/>
      <c r="AD145" s="363"/>
      <c r="AE145" s="363"/>
      <c r="AF145" s="363"/>
      <c r="AG145" s="363"/>
      <c r="AH145" s="363"/>
      <c r="AI145" s="363"/>
      <c r="AJ145" s="363"/>
      <c r="AK145" s="363"/>
      <c r="AL145" s="363"/>
      <c r="AM145" s="363"/>
    </row>
    <row r="146" spans="2:39" ht="12.75" customHeight="1" x14ac:dyDescent="0.2">
      <c r="B146" s="362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63"/>
      <c r="AB146" s="363"/>
      <c r="AC146" s="363"/>
      <c r="AD146" s="363"/>
      <c r="AE146" s="363"/>
      <c r="AF146" s="363"/>
      <c r="AG146" s="363"/>
      <c r="AH146" s="363"/>
      <c r="AI146" s="363"/>
      <c r="AJ146" s="363"/>
      <c r="AK146" s="363"/>
      <c r="AL146" s="363"/>
      <c r="AM146" s="363"/>
    </row>
    <row r="147" spans="2:39" ht="12.75" customHeight="1" x14ac:dyDescent="0.2">
      <c r="B147" s="362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63"/>
      <c r="AB147" s="363"/>
      <c r="AC147" s="363"/>
      <c r="AD147" s="363"/>
      <c r="AE147" s="363"/>
      <c r="AF147" s="363"/>
      <c r="AG147" s="363"/>
      <c r="AH147" s="363"/>
      <c r="AI147" s="363"/>
      <c r="AJ147" s="363"/>
      <c r="AK147" s="363"/>
      <c r="AL147" s="363"/>
      <c r="AM147" s="363"/>
    </row>
    <row r="148" spans="2:39" ht="12.75" customHeight="1" x14ac:dyDescent="0.2">
      <c r="B148" s="362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  <c r="AA148" s="363"/>
      <c r="AB148" s="363"/>
      <c r="AC148" s="363"/>
      <c r="AD148" s="363"/>
      <c r="AE148" s="363"/>
      <c r="AF148" s="363"/>
      <c r="AG148" s="363"/>
      <c r="AH148" s="363"/>
      <c r="AI148" s="363"/>
      <c r="AJ148" s="363"/>
      <c r="AK148" s="363"/>
      <c r="AL148" s="363"/>
      <c r="AM148" s="363"/>
    </row>
    <row r="149" spans="2:39" ht="12.75" customHeight="1" x14ac:dyDescent="0.2">
      <c r="B149" s="362"/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  <c r="AA149" s="363"/>
      <c r="AB149" s="363"/>
      <c r="AC149" s="363"/>
      <c r="AD149" s="363"/>
      <c r="AE149" s="363"/>
      <c r="AF149" s="363"/>
      <c r="AG149" s="363"/>
      <c r="AH149" s="363"/>
      <c r="AI149" s="363"/>
      <c r="AJ149" s="363"/>
      <c r="AK149" s="363"/>
      <c r="AL149" s="363"/>
      <c r="AM149" s="363"/>
    </row>
    <row r="150" spans="2:39" ht="12.75" customHeight="1" x14ac:dyDescent="0.2">
      <c r="B150" s="362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3"/>
      <c r="P150" s="363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  <c r="AA150" s="363"/>
      <c r="AB150" s="363"/>
      <c r="AC150" s="363"/>
      <c r="AD150" s="363"/>
      <c r="AE150" s="363"/>
      <c r="AF150" s="363"/>
      <c r="AG150" s="363"/>
      <c r="AH150" s="363"/>
      <c r="AI150" s="363"/>
      <c r="AJ150" s="363"/>
      <c r="AK150" s="363"/>
      <c r="AL150" s="363"/>
      <c r="AM150" s="363"/>
    </row>
    <row r="151" spans="2:39" ht="12.75" customHeight="1" x14ac:dyDescent="0.2">
      <c r="B151" s="362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3"/>
      <c r="P151" s="363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  <c r="AA151" s="363"/>
      <c r="AB151" s="363"/>
      <c r="AC151" s="363"/>
      <c r="AD151" s="363"/>
      <c r="AE151" s="363"/>
      <c r="AF151" s="363"/>
      <c r="AG151" s="363"/>
      <c r="AH151" s="363"/>
      <c r="AI151" s="363"/>
      <c r="AJ151" s="363"/>
      <c r="AK151" s="363"/>
      <c r="AL151" s="363"/>
      <c r="AM151" s="363"/>
    </row>
    <row r="152" spans="2:39" ht="12.75" customHeight="1" x14ac:dyDescent="0.2">
      <c r="B152" s="362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63"/>
      <c r="AB152" s="363"/>
      <c r="AC152" s="363"/>
      <c r="AD152" s="363"/>
      <c r="AE152" s="363"/>
      <c r="AF152" s="363"/>
      <c r="AG152" s="363"/>
      <c r="AH152" s="363"/>
      <c r="AI152" s="363"/>
      <c r="AJ152" s="363"/>
      <c r="AK152" s="363"/>
      <c r="AL152" s="363"/>
      <c r="AM152" s="363"/>
    </row>
    <row r="153" spans="2:39" ht="12.75" customHeight="1" x14ac:dyDescent="0.2">
      <c r="B153" s="362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63"/>
      <c r="AB153" s="363"/>
      <c r="AC153" s="363"/>
      <c r="AD153" s="363"/>
      <c r="AE153" s="363"/>
      <c r="AF153" s="363"/>
      <c r="AG153" s="363"/>
      <c r="AH153" s="363"/>
      <c r="AI153" s="363"/>
      <c r="AJ153" s="363"/>
      <c r="AK153" s="363"/>
      <c r="AL153" s="363"/>
      <c r="AM153" s="363"/>
    </row>
    <row r="154" spans="2:39" ht="12.75" customHeight="1" x14ac:dyDescent="0.2">
      <c r="B154" s="362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  <c r="AA154" s="363"/>
      <c r="AB154" s="363"/>
      <c r="AC154" s="363"/>
      <c r="AD154" s="363"/>
      <c r="AE154" s="363"/>
      <c r="AF154" s="363"/>
      <c r="AG154" s="363"/>
      <c r="AH154" s="363"/>
      <c r="AI154" s="363"/>
      <c r="AJ154" s="363"/>
      <c r="AK154" s="363"/>
      <c r="AL154" s="363"/>
      <c r="AM154" s="363"/>
    </row>
    <row r="155" spans="2:39" ht="12.75" customHeight="1" x14ac:dyDescent="0.2">
      <c r="B155" s="362"/>
      <c r="C155" s="363"/>
      <c r="D155" s="363"/>
      <c r="E155" s="363"/>
      <c r="F155" s="363"/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  <c r="AA155" s="363"/>
      <c r="AB155" s="363"/>
      <c r="AC155" s="363"/>
      <c r="AD155" s="363"/>
      <c r="AE155" s="363"/>
      <c r="AF155" s="363"/>
      <c r="AG155" s="363"/>
      <c r="AH155" s="363"/>
      <c r="AI155" s="363"/>
      <c r="AJ155" s="363"/>
      <c r="AK155" s="363"/>
      <c r="AL155" s="363"/>
      <c r="AM155" s="363"/>
    </row>
    <row r="156" spans="2:39" ht="12.75" customHeight="1" x14ac:dyDescent="0.2">
      <c r="B156" s="362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  <c r="AA156" s="363"/>
      <c r="AB156" s="363"/>
      <c r="AC156" s="363"/>
      <c r="AD156" s="363"/>
      <c r="AE156" s="363"/>
      <c r="AF156" s="363"/>
      <c r="AG156" s="363"/>
      <c r="AH156" s="363"/>
      <c r="AI156" s="363"/>
      <c r="AJ156" s="363"/>
      <c r="AK156" s="363"/>
      <c r="AL156" s="363"/>
      <c r="AM156" s="363"/>
    </row>
    <row r="157" spans="2:39" ht="12.75" customHeight="1" x14ac:dyDescent="0.2">
      <c r="B157" s="362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  <c r="AA157" s="363"/>
      <c r="AB157" s="363"/>
      <c r="AC157" s="363"/>
      <c r="AD157" s="363"/>
      <c r="AE157" s="363"/>
      <c r="AF157" s="363"/>
      <c r="AG157" s="363"/>
      <c r="AH157" s="363"/>
      <c r="AI157" s="363"/>
      <c r="AJ157" s="363"/>
      <c r="AK157" s="363"/>
      <c r="AL157" s="363"/>
      <c r="AM157" s="363"/>
    </row>
    <row r="158" spans="2:39" ht="12.75" customHeight="1" x14ac:dyDescent="0.2">
      <c r="B158" s="362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63"/>
      <c r="AB158" s="363"/>
      <c r="AC158" s="363"/>
      <c r="AD158" s="363"/>
      <c r="AE158" s="363"/>
      <c r="AF158" s="363"/>
      <c r="AG158" s="363"/>
      <c r="AH158" s="363"/>
      <c r="AI158" s="363"/>
      <c r="AJ158" s="363"/>
      <c r="AK158" s="363"/>
      <c r="AL158" s="363"/>
      <c r="AM158" s="363"/>
    </row>
    <row r="159" spans="2:39" ht="12.75" customHeight="1" x14ac:dyDescent="0.2">
      <c r="B159" s="362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63"/>
      <c r="AB159" s="363"/>
      <c r="AC159" s="363"/>
      <c r="AD159" s="363"/>
      <c r="AE159" s="363"/>
      <c r="AF159" s="363"/>
      <c r="AG159" s="363"/>
      <c r="AH159" s="363"/>
      <c r="AI159" s="363"/>
      <c r="AJ159" s="363"/>
      <c r="AK159" s="363"/>
      <c r="AL159" s="363"/>
      <c r="AM159" s="363"/>
    </row>
    <row r="160" spans="2:39" ht="12.75" customHeight="1" x14ac:dyDescent="0.2">
      <c r="B160" s="362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363"/>
      <c r="AB160" s="363"/>
      <c r="AC160" s="363"/>
      <c r="AD160" s="363"/>
      <c r="AE160" s="363"/>
      <c r="AF160" s="363"/>
      <c r="AG160" s="363"/>
      <c r="AH160" s="363"/>
      <c r="AI160" s="363"/>
      <c r="AJ160" s="363"/>
      <c r="AK160" s="363"/>
      <c r="AL160" s="363"/>
      <c r="AM160" s="363"/>
    </row>
    <row r="161" spans="2:39" ht="12.75" customHeight="1" x14ac:dyDescent="0.2">
      <c r="B161" s="362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363"/>
      <c r="AB161" s="363"/>
      <c r="AC161" s="363"/>
      <c r="AD161" s="363"/>
      <c r="AE161" s="363"/>
      <c r="AF161" s="363"/>
      <c r="AG161" s="363"/>
      <c r="AH161" s="363"/>
      <c r="AI161" s="363"/>
      <c r="AJ161" s="363"/>
      <c r="AK161" s="363"/>
      <c r="AL161" s="363"/>
      <c r="AM161" s="363"/>
    </row>
    <row r="162" spans="2:39" ht="12.75" customHeight="1" x14ac:dyDescent="0.2">
      <c r="B162" s="362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3"/>
      <c r="P162" s="36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  <c r="AA162" s="363"/>
      <c r="AB162" s="363"/>
      <c r="AC162" s="363"/>
      <c r="AD162" s="363"/>
      <c r="AE162" s="363"/>
      <c r="AF162" s="363"/>
      <c r="AG162" s="363"/>
      <c r="AH162" s="363"/>
      <c r="AI162" s="363"/>
      <c r="AJ162" s="363"/>
      <c r="AK162" s="363"/>
      <c r="AL162" s="363"/>
      <c r="AM162" s="363"/>
    </row>
    <row r="163" spans="2:39" ht="12.75" customHeight="1" x14ac:dyDescent="0.2">
      <c r="B163" s="362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63"/>
      <c r="AB163" s="363"/>
      <c r="AC163" s="363"/>
      <c r="AD163" s="363"/>
      <c r="AE163" s="363"/>
      <c r="AF163" s="363"/>
      <c r="AG163" s="363"/>
      <c r="AH163" s="363"/>
      <c r="AI163" s="363"/>
      <c r="AJ163" s="363"/>
      <c r="AK163" s="363"/>
      <c r="AL163" s="363"/>
      <c r="AM163" s="363"/>
    </row>
    <row r="164" spans="2:39" ht="12.75" customHeight="1" x14ac:dyDescent="0.2">
      <c r="B164" s="362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63"/>
      <c r="AB164" s="363"/>
      <c r="AC164" s="363"/>
      <c r="AD164" s="363"/>
      <c r="AE164" s="363"/>
      <c r="AF164" s="363"/>
      <c r="AG164" s="363"/>
      <c r="AH164" s="363"/>
      <c r="AI164" s="363"/>
      <c r="AJ164" s="363"/>
      <c r="AK164" s="363"/>
      <c r="AL164" s="363"/>
      <c r="AM164" s="363"/>
    </row>
    <row r="165" spans="2:39" ht="12.75" customHeight="1" x14ac:dyDescent="0.2">
      <c r="B165" s="362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3"/>
      <c r="P165" s="363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  <c r="AA165" s="363"/>
      <c r="AB165" s="363"/>
      <c r="AC165" s="363"/>
      <c r="AD165" s="363"/>
      <c r="AE165" s="363"/>
      <c r="AF165" s="363"/>
      <c r="AG165" s="363"/>
      <c r="AH165" s="363"/>
      <c r="AI165" s="363"/>
      <c r="AJ165" s="363"/>
      <c r="AK165" s="363"/>
      <c r="AL165" s="363"/>
      <c r="AM165" s="363"/>
    </row>
    <row r="166" spans="2:39" ht="12.75" customHeight="1" x14ac:dyDescent="0.2">
      <c r="B166" s="362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363"/>
      <c r="AB166" s="363"/>
      <c r="AC166" s="363"/>
      <c r="AD166" s="363"/>
      <c r="AE166" s="363"/>
      <c r="AF166" s="363"/>
      <c r="AG166" s="363"/>
      <c r="AH166" s="363"/>
      <c r="AI166" s="363"/>
      <c r="AJ166" s="363"/>
      <c r="AK166" s="363"/>
      <c r="AL166" s="363"/>
      <c r="AM166" s="363"/>
    </row>
    <row r="167" spans="2:39" ht="12.75" customHeight="1" x14ac:dyDescent="0.2">
      <c r="B167" s="362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363"/>
      <c r="AB167" s="363"/>
      <c r="AC167" s="363"/>
      <c r="AD167" s="363"/>
      <c r="AE167" s="363"/>
      <c r="AF167" s="363"/>
      <c r="AG167" s="363"/>
      <c r="AH167" s="363"/>
      <c r="AI167" s="363"/>
      <c r="AJ167" s="363"/>
      <c r="AK167" s="363"/>
      <c r="AL167" s="363"/>
      <c r="AM167" s="363"/>
    </row>
    <row r="168" spans="2:39" ht="12.75" customHeight="1" x14ac:dyDescent="0.2">
      <c r="B168" s="362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63"/>
      <c r="P168" s="36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63"/>
      <c r="AB168" s="363"/>
      <c r="AC168" s="363"/>
      <c r="AD168" s="363"/>
      <c r="AE168" s="363"/>
      <c r="AF168" s="363"/>
      <c r="AG168" s="363"/>
      <c r="AH168" s="363"/>
      <c r="AI168" s="363"/>
      <c r="AJ168" s="363"/>
      <c r="AK168" s="363"/>
      <c r="AL168" s="363"/>
      <c r="AM168" s="363"/>
    </row>
    <row r="169" spans="2:39" ht="12.75" customHeight="1" x14ac:dyDescent="0.2">
      <c r="B169" s="362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63"/>
      <c r="AB169" s="363"/>
      <c r="AC169" s="363"/>
      <c r="AD169" s="363"/>
      <c r="AE169" s="363"/>
      <c r="AF169" s="363"/>
      <c r="AG169" s="363"/>
      <c r="AH169" s="363"/>
      <c r="AI169" s="363"/>
      <c r="AJ169" s="363"/>
      <c r="AK169" s="363"/>
      <c r="AL169" s="363"/>
      <c r="AM169" s="363"/>
    </row>
    <row r="170" spans="2:39" ht="12.75" customHeight="1" x14ac:dyDescent="0.2">
      <c r="B170" s="362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63"/>
      <c r="AB170" s="363"/>
      <c r="AC170" s="363"/>
      <c r="AD170" s="363"/>
      <c r="AE170" s="363"/>
      <c r="AF170" s="363"/>
      <c r="AG170" s="363"/>
      <c r="AH170" s="363"/>
      <c r="AI170" s="363"/>
      <c r="AJ170" s="363"/>
      <c r="AK170" s="363"/>
      <c r="AL170" s="363"/>
      <c r="AM170" s="363"/>
    </row>
    <row r="171" spans="2:39" ht="12.75" customHeight="1" x14ac:dyDescent="0.2">
      <c r="B171" s="362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363"/>
      <c r="AB171" s="363"/>
      <c r="AC171" s="363"/>
      <c r="AD171" s="363"/>
      <c r="AE171" s="363"/>
      <c r="AF171" s="363"/>
      <c r="AG171" s="363"/>
      <c r="AH171" s="363"/>
      <c r="AI171" s="363"/>
      <c r="AJ171" s="363"/>
      <c r="AK171" s="363"/>
      <c r="AL171" s="363"/>
      <c r="AM171" s="363"/>
    </row>
    <row r="172" spans="2:39" ht="12.75" customHeight="1" x14ac:dyDescent="0.2">
      <c r="B172" s="362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3"/>
      <c r="P172" s="36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  <c r="AA172" s="363"/>
      <c r="AB172" s="363"/>
      <c r="AC172" s="363"/>
      <c r="AD172" s="363"/>
      <c r="AE172" s="363"/>
      <c r="AF172" s="363"/>
      <c r="AG172" s="363"/>
      <c r="AH172" s="363"/>
      <c r="AI172" s="363"/>
      <c r="AJ172" s="363"/>
      <c r="AK172" s="363"/>
      <c r="AL172" s="363"/>
      <c r="AM172" s="363"/>
    </row>
    <row r="173" spans="2:39" ht="12.75" customHeight="1" x14ac:dyDescent="0.2">
      <c r="B173" s="362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  <c r="AA173" s="363"/>
      <c r="AB173" s="363"/>
      <c r="AC173" s="363"/>
      <c r="AD173" s="363"/>
      <c r="AE173" s="363"/>
      <c r="AF173" s="363"/>
      <c r="AG173" s="363"/>
      <c r="AH173" s="363"/>
      <c r="AI173" s="363"/>
      <c r="AJ173" s="363"/>
      <c r="AK173" s="363"/>
      <c r="AL173" s="363"/>
      <c r="AM173" s="363"/>
    </row>
    <row r="174" spans="2:39" ht="12.75" customHeight="1" x14ac:dyDescent="0.2">
      <c r="B174" s="362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3"/>
      <c r="P174" s="36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  <c r="AA174" s="363"/>
      <c r="AB174" s="363"/>
      <c r="AC174" s="363"/>
      <c r="AD174" s="363"/>
      <c r="AE174" s="363"/>
      <c r="AF174" s="363"/>
      <c r="AG174" s="363"/>
      <c r="AH174" s="363"/>
      <c r="AI174" s="363"/>
      <c r="AJ174" s="363"/>
      <c r="AK174" s="363"/>
      <c r="AL174" s="363"/>
      <c r="AM174" s="363"/>
    </row>
    <row r="175" spans="2:39" ht="12.75" customHeight="1" x14ac:dyDescent="0.2">
      <c r="B175" s="362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63"/>
      <c r="AB175" s="363"/>
      <c r="AC175" s="363"/>
      <c r="AD175" s="363"/>
      <c r="AE175" s="363"/>
      <c r="AF175" s="363"/>
      <c r="AG175" s="363"/>
      <c r="AH175" s="363"/>
      <c r="AI175" s="363"/>
      <c r="AJ175" s="363"/>
      <c r="AK175" s="363"/>
      <c r="AL175" s="363"/>
      <c r="AM175" s="363"/>
    </row>
    <row r="176" spans="2:39" ht="12.75" customHeight="1" x14ac:dyDescent="0.2">
      <c r="B176" s="362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/>
      <c r="AF176" s="363"/>
      <c r="AG176" s="363"/>
      <c r="AH176" s="363"/>
      <c r="AI176" s="363"/>
      <c r="AJ176" s="363"/>
      <c r="AK176" s="363"/>
      <c r="AL176" s="363"/>
      <c r="AM176" s="363"/>
    </row>
    <row r="177" spans="2:39" ht="12.75" customHeight="1" x14ac:dyDescent="0.2">
      <c r="B177" s="362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363"/>
      <c r="AB177" s="363"/>
      <c r="AC177" s="363"/>
      <c r="AD177" s="363"/>
      <c r="AE177" s="363"/>
      <c r="AF177" s="363"/>
      <c r="AG177" s="363"/>
      <c r="AH177" s="363"/>
      <c r="AI177" s="363"/>
      <c r="AJ177" s="363"/>
      <c r="AK177" s="363"/>
      <c r="AL177" s="363"/>
      <c r="AM177" s="363"/>
    </row>
    <row r="178" spans="2:39" ht="12.75" customHeight="1" x14ac:dyDescent="0.2">
      <c r="B178" s="362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3"/>
      <c r="P178" s="36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  <c r="AA178" s="363"/>
      <c r="AB178" s="363"/>
      <c r="AC178" s="363"/>
      <c r="AD178" s="363"/>
      <c r="AE178" s="363"/>
      <c r="AF178" s="363"/>
      <c r="AG178" s="363"/>
      <c r="AH178" s="363"/>
      <c r="AI178" s="363"/>
      <c r="AJ178" s="363"/>
      <c r="AK178" s="363"/>
      <c r="AL178" s="363"/>
      <c r="AM178" s="363"/>
    </row>
    <row r="179" spans="2:39" ht="12.75" customHeight="1" x14ac:dyDescent="0.2">
      <c r="B179" s="362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363"/>
      <c r="AB179" s="363"/>
      <c r="AC179" s="363"/>
      <c r="AD179" s="363"/>
      <c r="AE179" s="363"/>
      <c r="AF179" s="363"/>
      <c r="AG179" s="363"/>
      <c r="AH179" s="363"/>
      <c r="AI179" s="363"/>
      <c r="AJ179" s="363"/>
      <c r="AK179" s="363"/>
      <c r="AL179" s="363"/>
      <c r="AM179" s="363"/>
    </row>
    <row r="180" spans="2:39" ht="12.75" customHeight="1" x14ac:dyDescent="0.2">
      <c r="B180" s="362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63"/>
      <c r="AF180" s="363"/>
      <c r="AG180" s="363"/>
      <c r="AH180" s="363"/>
      <c r="AI180" s="363"/>
      <c r="AJ180" s="363"/>
      <c r="AK180" s="363"/>
      <c r="AL180" s="363"/>
      <c r="AM180" s="363"/>
    </row>
    <row r="181" spans="2:39" ht="12.75" customHeight="1" x14ac:dyDescent="0.2">
      <c r="B181" s="362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63"/>
      <c r="AB181" s="363"/>
      <c r="AC181" s="363"/>
      <c r="AD181" s="363"/>
      <c r="AE181" s="363"/>
      <c r="AF181" s="363"/>
      <c r="AG181" s="363"/>
      <c r="AH181" s="363"/>
      <c r="AI181" s="363"/>
      <c r="AJ181" s="363"/>
      <c r="AK181" s="363"/>
      <c r="AL181" s="363"/>
      <c r="AM181" s="363"/>
    </row>
    <row r="182" spans="2:39" ht="12.75" customHeight="1" x14ac:dyDescent="0.2">
      <c r="B182" s="362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  <c r="AA182" s="363"/>
      <c r="AB182" s="363"/>
      <c r="AC182" s="363"/>
      <c r="AD182" s="363"/>
      <c r="AE182" s="363"/>
      <c r="AF182" s="363"/>
      <c r="AG182" s="363"/>
      <c r="AH182" s="363"/>
      <c r="AI182" s="363"/>
      <c r="AJ182" s="363"/>
      <c r="AK182" s="363"/>
      <c r="AL182" s="363"/>
      <c r="AM182" s="363"/>
    </row>
    <row r="183" spans="2:39" ht="12.75" customHeight="1" x14ac:dyDescent="0.2">
      <c r="B183" s="362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3"/>
      <c r="P183" s="36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  <c r="AA183" s="363"/>
      <c r="AB183" s="363"/>
      <c r="AC183" s="363"/>
      <c r="AD183" s="363"/>
      <c r="AE183" s="363"/>
      <c r="AF183" s="363"/>
      <c r="AG183" s="363"/>
      <c r="AH183" s="363"/>
      <c r="AI183" s="363"/>
      <c r="AJ183" s="363"/>
      <c r="AK183" s="363"/>
      <c r="AL183" s="363"/>
      <c r="AM183" s="363"/>
    </row>
    <row r="184" spans="2:39" ht="12.75" customHeight="1" x14ac:dyDescent="0.2">
      <c r="B184" s="362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  <c r="AA184" s="363"/>
      <c r="AB184" s="363"/>
      <c r="AC184" s="363"/>
      <c r="AD184" s="363"/>
      <c r="AE184" s="363"/>
      <c r="AF184" s="363"/>
      <c r="AG184" s="363"/>
      <c r="AH184" s="363"/>
      <c r="AI184" s="363"/>
      <c r="AJ184" s="363"/>
      <c r="AK184" s="363"/>
      <c r="AL184" s="363"/>
      <c r="AM184" s="363"/>
    </row>
    <row r="185" spans="2:39" ht="12.75" customHeight="1" x14ac:dyDescent="0.2">
      <c r="B185" s="362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  <c r="AA185" s="363"/>
      <c r="AB185" s="363"/>
      <c r="AC185" s="363"/>
      <c r="AD185" s="363"/>
      <c r="AE185" s="363"/>
      <c r="AF185" s="363"/>
      <c r="AG185" s="363"/>
      <c r="AH185" s="363"/>
      <c r="AI185" s="363"/>
      <c r="AJ185" s="363"/>
      <c r="AK185" s="363"/>
      <c r="AL185" s="363"/>
      <c r="AM185" s="363"/>
    </row>
    <row r="186" spans="2:39" ht="12.75" customHeight="1" x14ac:dyDescent="0.2">
      <c r="B186" s="362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63"/>
      <c r="P186" s="36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  <c r="AA186" s="363"/>
      <c r="AB186" s="363"/>
      <c r="AC186" s="363"/>
      <c r="AD186" s="363"/>
      <c r="AE186" s="363"/>
      <c r="AF186" s="363"/>
      <c r="AG186" s="363"/>
      <c r="AH186" s="363"/>
      <c r="AI186" s="363"/>
      <c r="AJ186" s="363"/>
      <c r="AK186" s="363"/>
      <c r="AL186" s="363"/>
      <c r="AM186" s="363"/>
    </row>
    <row r="187" spans="2:39" ht="12.75" customHeight="1" x14ac:dyDescent="0.2">
      <c r="B187" s="362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363"/>
      <c r="AB187" s="363"/>
      <c r="AC187" s="363"/>
      <c r="AD187" s="363"/>
      <c r="AE187" s="363"/>
      <c r="AF187" s="363"/>
      <c r="AG187" s="363"/>
      <c r="AH187" s="363"/>
      <c r="AI187" s="363"/>
      <c r="AJ187" s="363"/>
      <c r="AK187" s="363"/>
      <c r="AL187" s="363"/>
      <c r="AM187" s="363"/>
    </row>
    <row r="188" spans="2:39" ht="12.75" customHeight="1" x14ac:dyDescent="0.2">
      <c r="B188" s="362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63"/>
      <c r="AB188" s="363"/>
      <c r="AC188" s="363"/>
      <c r="AD188" s="363"/>
      <c r="AE188" s="363"/>
      <c r="AF188" s="363"/>
      <c r="AG188" s="363"/>
      <c r="AH188" s="363"/>
      <c r="AI188" s="363"/>
      <c r="AJ188" s="363"/>
      <c r="AK188" s="363"/>
      <c r="AL188" s="363"/>
      <c r="AM188" s="363"/>
    </row>
    <row r="189" spans="2:39" ht="12.75" customHeight="1" x14ac:dyDescent="0.2">
      <c r="B189" s="362"/>
      <c r="C189" s="363"/>
      <c r="D189" s="363"/>
      <c r="E189" s="363"/>
      <c r="F189" s="363"/>
      <c r="G189" s="363"/>
      <c r="H189" s="363"/>
      <c r="I189" s="363"/>
      <c r="J189" s="363"/>
      <c r="K189" s="363"/>
      <c r="L189" s="363"/>
      <c r="M189" s="363"/>
      <c r="N189" s="363"/>
      <c r="O189" s="363"/>
      <c r="P189" s="36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  <c r="AA189" s="363"/>
      <c r="AB189" s="363"/>
      <c r="AC189" s="363"/>
      <c r="AD189" s="363"/>
      <c r="AE189" s="363"/>
      <c r="AF189" s="363"/>
      <c r="AG189" s="363"/>
      <c r="AH189" s="363"/>
      <c r="AI189" s="363"/>
      <c r="AJ189" s="363"/>
      <c r="AK189" s="363"/>
      <c r="AL189" s="363"/>
      <c r="AM189" s="363"/>
    </row>
    <row r="190" spans="2:39" ht="12.75" customHeight="1" x14ac:dyDescent="0.2">
      <c r="B190" s="362"/>
      <c r="C190" s="363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63"/>
      <c r="AF190" s="363"/>
      <c r="AG190" s="363"/>
      <c r="AH190" s="363"/>
      <c r="AI190" s="363"/>
      <c r="AJ190" s="363"/>
      <c r="AK190" s="363"/>
      <c r="AL190" s="363"/>
      <c r="AM190" s="363"/>
    </row>
    <row r="191" spans="2:39" ht="12.75" customHeight="1" x14ac:dyDescent="0.2">
      <c r="B191" s="362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  <c r="AA191" s="363"/>
      <c r="AB191" s="363"/>
      <c r="AC191" s="363"/>
      <c r="AD191" s="363"/>
      <c r="AE191" s="363"/>
      <c r="AF191" s="363"/>
      <c r="AG191" s="363"/>
      <c r="AH191" s="363"/>
      <c r="AI191" s="363"/>
      <c r="AJ191" s="363"/>
      <c r="AK191" s="363"/>
      <c r="AL191" s="363"/>
      <c r="AM191" s="363"/>
    </row>
    <row r="192" spans="2:39" ht="12.75" customHeight="1" x14ac:dyDescent="0.2">
      <c r="B192" s="362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  <c r="AA192" s="363"/>
      <c r="AB192" s="363"/>
      <c r="AC192" s="363"/>
      <c r="AD192" s="363"/>
      <c r="AE192" s="363"/>
      <c r="AF192" s="363"/>
      <c r="AG192" s="363"/>
      <c r="AH192" s="363"/>
      <c r="AI192" s="363"/>
      <c r="AJ192" s="363"/>
      <c r="AK192" s="363"/>
      <c r="AL192" s="363"/>
      <c r="AM192" s="363"/>
    </row>
    <row r="193" spans="2:39" ht="12.75" customHeight="1" x14ac:dyDescent="0.2">
      <c r="B193" s="362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  <c r="AA193" s="363"/>
      <c r="AB193" s="363"/>
      <c r="AC193" s="363"/>
      <c r="AD193" s="363"/>
      <c r="AE193" s="363"/>
      <c r="AF193" s="363"/>
      <c r="AG193" s="363"/>
      <c r="AH193" s="363"/>
      <c r="AI193" s="363"/>
      <c r="AJ193" s="363"/>
      <c r="AK193" s="363"/>
      <c r="AL193" s="363"/>
      <c r="AM193" s="363"/>
    </row>
    <row r="194" spans="2:39" ht="12.75" customHeight="1" x14ac:dyDescent="0.2">
      <c r="B194" s="362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63"/>
      <c r="AB194" s="363"/>
      <c r="AC194" s="363"/>
      <c r="AD194" s="363"/>
      <c r="AE194" s="363"/>
      <c r="AF194" s="363"/>
      <c r="AG194" s="363"/>
      <c r="AH194" s="363"/>
      <c r="AI194" s="363"/>
      <c r="AJ194" s="363"/>
      <c r="AK194" s="363"/>
      <c r="AL194" s="363"/>
      <c r="AM194" s="363"/>
    </row>
    <row r="195" spans="2:39" ht="12.75" customHeight="1" x14ac:dyDescent="0.2">
      <c r="B195" s="362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63"/>
      <c r="AB195" s="363"/>
      <c r="AC195" s="363"/>
      <c r="AD195" s="363"/>
      <c r="AE195" s="363"/>
      <c r="AF195" s="363"/>
      <c r="AG195" s="363"/>
      <c r="AH195" s="363"/>
      <c r="AI195" s="363"/>
      <c r="AJ195" s="363"/>
      <c r="AK195" s="363"/>
      <c r="AL195" s="363"/>
      <c r="AM195" s="363"/>
    </row>
    <row r="196" spans="2:39" ht="12.75" customHeight="1" x14ac:dyDescent="0.2">
      <c r="B196" s="362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363"/>
      <c r="AB196" s="363"/>
      <c r="AC196" s="363"/>
      <c r="AD196" s="363"/>
      <c r="AE196" s="363"/>
      <c r="AF196" s="363"/>
      <c r="AG196" s="363"/>
      <c r="AH196" s="363"/>
      <c r="AI196" s="363"/>
      <c r="AJ196" s="363"/>
      <c r="AK196" s="363"/>
      <c r="AL196" s="363"/>
      <c r="AM196" s="363"/>
    </row>
    <row r="197" spans="2:39" ht="12.75" customHeight="1" x14ac:dyDescent="0.2">
      <c r="B197" s="362"/>
      <c r="C197" s="363"/>
      <c r="D197" s="363"/>
      <c r="E197" s="363"/>
      <c r="F197" s="363"/>
      <c r="G197" s="363"/>
      <c r="H197" s="363"/>
      <c r="I197" s="363"/>
      <c r="J197" s="363"/>
      <c r="K197" s="363"/>
      <c r="L197" s="363"/>
      <c r="M197" s="363"/>
      <c r="N197" s="363"/>
      <c r="O197" s="363"/>
      <c r="P197" s="36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  <c r="AA197" s="363"/>
      <c r="AB197" s="363"/>
      <c r="AC197" s="363"/>
      <c r="AD197" s="363"/>
      <c r="AE197" s="363"/>
      <c r="AF197" s="363"/>
      <c r="AG197" s="363"/>
      <c r="AH197" s="363"/>
      <c r="AI197" s="363"/>
      <c r="AJ197" s="363"/>
      <c r="AK197" s="363"/>
      <c r="AL197" s="363"/>
      <c r="AM197" s="363"/>
    </row>
    <row r="198" spans="2:39" ht="12.75" customHeight="1" x14ac:dyDescent="0.2">
      <c r="B198" s="362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363"/>
      <c r="AB198" s="363"/>
      <c r="AC198" s="363"/>
      <c r="AD198" s="363"/>
      <c r="AE198" s="363"/>
      <c r="AF198" s="363"/>
      <c r="AG198" s="363"/>
      <c r="AH198" s="363"/>
      <c r="AI198" s="363"/>
      <c r="AJ198" s="363"/>
      <c r="AK198" s="363"/>
      <c r="AL198" s="363"/>
      <c r="AM198" s="363"/>
    </row>
    <row r="199" spans="2:39" ht="12.75" customHeight="1" x14ac:dyDescent="0.2">
      <c r="B199" s="362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3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  <c r="AA199" s="363"/>
      <c r="AB199" s="363"/>
      <c r="AC199" s="363"/>
      <c r="AD199" s="363"/>
      <c r="AE199" s="363"/>
      <c r="AF199" s="363"/>
      <c r="AG199" s="363"/>
      <c r="AH199" s="363"/>
      <c r="AI199" s="363"/>
      <c r="AJ199" s="363"/>
      <c r="AK199" s="363"/>
      <c r="AL199" s="363"/>
      <c r="AM199" s="363"/>
    </row>
    <row r="200" spans="2:39" ht="12.75" customHeight="1" x14ac:dyDescent="0.2">
      <c r="B200" s="362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63"/>
      <c r="P200" s="36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  <c r="AA200" s="363"/>
      <c r="AB200" s="363"/>
      <c r="AC200" s="363"/>
      <c r="AD200" s="363"/>
      <c r="AE200" s="363"/>
      <c r="AF200" s="363"/>
      <c r="AG200" s="363"/>
      <c r="AH200" s="363"/>
      <c r="AI200" s="363"/>
      <c r="AJ200" s="363"/>
      <c r="AK200" s="363"/>
      <c r="AL200" s="363"/>
      <c r="AM200" s="363"/>
    </row>
    <row r="201" spans="2:39" ht="12.75" customHeight="1" x14ac:dyDescent="0.2">
      <c r="B201" s="362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/>
      <c r="AD201" s="363"/>
      <c r="AE201" s="363"/>
      <c r="AF201" s="363"/>
      <c r="AG201" s="363"/>
      <c r="AH201" s="363"/>
      <c r="AI201" s="363"/>
      <c r="AJ201" s="363"/>
      <c r="AK201" s="363"/>
      <c r="AL201" s="363"/>
      <c r="AM201" s="363"/>
    </row>
    <row r="202" spans="2:39" ht="12.75" customHeight="1" x14ac:dyDescent="0.2">
      <c r="B202" s="362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3"/>
      <c r="P202" s="36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/>
      <c r="AF202" s="363"/>
      <c r="AG202" s="363"/>
      <c r="AH202" s="363"/>
      <c r="AI202" s="363"/>
      <c r="AJ202" s="363"/>
      <c r="AK202" s="363"/>
      <c r="AL202" s="363"/>
      <c r="AM202" s="363"/>
    </row>
    <row r="203" spans="2:39" ht="12.75" customHeight="1" x14ac:dyDescent="0.2">
      <c r="B203" s="362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63"/>
      <c r="P203" s="36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  <c r="AA203" s="363"/>
      <c r="AB203" s="363"/>
      <c r="AC203" s="363"/>
      <c r="AD203" s="363"/>
      <c r="AE203" s="363"/>
      <c r="AF203" s="363"/>
      <c r="AG203" s="363"/>
      <c r="AH203" s="363"/>
      <c r="AI203" s="363"/>
      <c r="AJ203" s="363"/>
      <c r="AK203" s="363"/>
      <c r="AL203" s="363"/>
      <c r="AM203" s="363"/>
    </row>
    <row r="204" spans="2:39" ht="12.75" customHeight="1" x14ac:dyDescent="0.2">
      <c r="B204" s="362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363"/>
      <c r="AB204" s="363"/>
      <c r="AC204" s="363"/>
      <c r="AD204" s="363"/>
      <c r="AE204" s="363"/>
      <c r="AF204" s="363"/>
      <c r="AG204" s="363"/>
      <c r="AH204" s="363"/>
      <c r="AI204" s="363"/>
      <c r="AJ204" s="363"/>
      <c r="AK204" s="363"/>
      <c r="AL204" s="363"/>
      <c r="AM204" s="363"/>
    </row>
    <row r="205" spans="2:39" ht="12.75" customHeight="1" x14ac:dyDescent="0.2">
      <c r="B205" s="362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3"/>
      <c r="P205" s="36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/>
      <c r="AF205" s="363"/>
      <c r="AG205" s="363"/>
      <c r="AH205" s="363"/>
      <c r="AI205" s="363"/>
      <c r="AJ205" s="363"/>
      <c r="AK205" s="363"/>
      <c r="AL205" s="363"/>
      <c r="AM205" s="363"/>
    </row>
    <row r="206" spans="2:39" ht="12.75" customHeight="1" x14ac:dyDescent="0.2">
      <c r="B206" s="362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63"/>
      <c r="AB206" s="363"/>
      <c r="AC206" s="363"/>
      <c r="AD206" s="363"/>
      <c r="AE206" s="363"/>
      <c r="AF206" s="363"/>
      <c r="AG206" s="363"/>
      <c r="AH206" s="363"/>
      <c r="AI206" s="363"/>
      <c r="AJ206" s="363"/>
      <c r="AK206" s="363"/>
      <c r="AL206" s="363"/>
      <c r="AM206" s="363"/>
    </row>
    <row r="207" spans="2:39" ht="12.75" customHeight="1" x14ac:dyDescent="0.2">
      <c r="B207" s="362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63"/>
      <c r="AB207" s="363"/>
      <c r="AC207" s="363"/>
      <c r="AD207" s="363"/>
      <c r="AE207" s="363"/>
      <c r="AF207" s="363"/>
      <c r="AG207" s="363"/>
      <c r="AH207" s="363"/>
      <c r="AI207" s="363"/>
      <c r="AJ207" s="363"/>
      <c r="AK207" s="363"/>
      <c r="AL207" s="363"/>
      <c r="AM207" s="363"/>
    </row>
    <row r="208" spans="2:39" ht="12.75" customHeight="1" x14ac:dyDescent="0.2">
      <c r="B208" s="362"/>
      <c r="C208" s="363"/>
      <c r="D208" s="363"/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  <c r="AA208" s="363"/>
      <c r="AB208" s="363"/>
      <c r="AC208" s="363"/>
      <c r="AD208" s="363"/>
      <c r="AE208" s="363"/>
      <c r="AF208" s="363"/>
      <c r="AG208" s="363"/>
      <c r="AH208" s="363"/>
      <c r="AI208" s="363"/>
      <c r="AJ208" s="363"/>
      <c r="AK208" s="363"/>
      <c r="AL208" s="363"/>
      <c r="AM208" s="363"/>
    </row>
    <row r="209" spans="2:39" ht="12.75" customHeight="1" x14ac:dyDescent="0.2">
      <c r="B209" s="362"/>
      <c r="C209" s="363"/>
      <c r="D209" s="363"/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3"/>
      <c r="P209" s="36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  <c r="AA209" s="363"/>
      <c r="AB209" s="363"/>
      <c r="AC209" s="363"/>
      <c r="AD209" s="363"/>
      <c r="AE209" s="363"/>
      <c r="AF209" s="363"/>
      <c r="AG209" s="363"/>
      <c r="AH209" s="363"/>
      <c r="AI209" s="363"/>
      <c r="AJ209" s="363"/>
      <c r="AK209" s="363"/>
      <c r="AL209" s="363"/>
      <c r="AM209" s="363"/>
    </row>
    <row r="210" spans="2:39" ht="12.75" customHeight="1" x14ac:dyDescent="0.2">
      <c r="B210" s="362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3"/>
      <c r="P210" s="36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  <c r="AA210" s="363"/>
      <c r="AB210" s="363"/>
      <c r="AC210" s="363"/>
      <c r="AD210" s="363"/>
      <c r="AE210" s="363"/>
      <c r="AF210" s="363"/>
      <c r="AG210" s="363"/>
      <c r="AH210" s="363"/>
      <c r="AI210" s="363"/>
      <c r="AJ210" s="363"/>
      <c r="AK210" s="363"/>
      <c r="AL210" s="363"/>
      <c r="AM210" s="363"/>
    </row>
    <row r="211" spans="2:39" ht="12.75" customHeight="1" x14ac:dyDescent="0.2">
      <c r="B211" s="362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/>
      <c r="AF211" s="363"/>
      <c r="AG211" s="363"/>
      <c r="AH211" s="363"/>
      <c r="AI211" s="363"/>
      <c r="AJ211" s="363"/>
      <c r="AK211" s="363"/>
      <c r="AL211" s="363"/>
      <c r="AM211" s="363"/>
    </row>
    <row r="212" spans="2:39" ht="12.75" customHeight="1" x14ac:dyDescent="0.2">
      <c r="B212" s="362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  <c r="AA212" s="363"/>
      <c r="AB212" s="363"/>
      <c r="AC212" s="363"/>
      <c r="AD212" s="363"/>
      <c r="AE212" s="363"/>
      <c r="AF212" s="363"/>
      <c r="AG212" s="363"/>
      <c r="AH212" s="363"/>
      <c r="AI212" s="363"/>
      <c r="AJ212" s="363"/>
      <c r="AK212" s="363"/>
      <c r="AL212" s="363"/>
      <c r="AM212" s="363"/>
    </row>
    <row r="213" spans="2:39" ht="12.75" customHeight="1" x14ac:dyDescent="0.2">
      <c r="B213" s="362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363"/>
      <c r="AB213" s="363"/>
      <c r="AC213" s="363"/>
      <c r="AD213" s="363"/>
      <c r="AE213" s="363"/>
      <c r="AF213" s="363"/>
      <c r="AG213" s="363"/>
      <c r="AH213" s="363"/>
      <c r="AI213" s="363"/>
      <c r="AJ213" s="363"/>
      <c r="AK213" s="363"/>
      <c r="AL213" s="363"/>
      <c r="AM213" s="363"/>
    </row>
    <row r="214" spans="2:39" ht="12.75" customHeight="1" x14ac:dyDescent="0.2">
      <c r="B214" s="362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63"/>
      <c r="AB214" s="363"/>
      <c r="AC214" s="363"/>
      <c r="AD214" s="363"/>
      <c r="AE214" s="363"/>
      <c r="AF214" s="363"/>
      <c r="AG214" s="363"/>
      <c r="AH214" s="363"/>
      <c r="AI214" s="363"/>
      <c r="AJ214" s="363"/>
      <c r="AK214" s="363"/>
      <c r="AL214" s="363"/>
      <c r="AM214" s="363"/>
    </row>
    <row r="215" spans="2:39" ht="12.75" customHeight="1" x14ac:dyDescent="0.2">
      <c r="B215" s="362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63"/>
      <c r="AB215" s="363"/>
      <c r="AC215" s="363"/>
      <c r="AD215" s="363"/>
      <c r="AE215" s="363"/>
      <c r="AF215" s="363"/>
      <c r="AG215" s="363"/>
      <c r="AH215" s="363"/>
      <c r="AI215" s="363"/>
      <c r="AJ215" s="363"/>
      <c r="AK215" s="363"/>
      <c r="AL215" s="363"/>
      <c r="AM215" s="363"/>
    </row>
    <row r="216" spans="2:39" ht="12.75" customHeight="1" x14ac:dyDescent="0.2">
      <c r="B216" s="362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3"/>
      <c r="P216" s="36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  <c r="AA216" s="363"/>
      <c r="AB216" s="363"/>
      <c r="AC216" s="363"/>
      <c r="AD216" s="363"/>
      <c r="AE216" s="363"/>
      <c r="AF216" s="363"/>
      <c r="AG216" s="363"/>
      <c r="AH216" s="363"/>
      <c r="AI216" s="363"/>
      <c r="AJ216" s="363"/>
      <c r="AK216" s="363"/>
      <c r="AL216" s="363"/>
      <c r="AM216" s="363"/>
    </row>
    <row r="217" spans="2:39" ht="12.75" customHeight="1" x14ac:dyDescent="0.2">
      <c r="B217" s="362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  <c r="AA217" s="363"/>
      <c r="AB217" s="363"/>
      <c r="AC217" s="363"/>
      <c r="AD217" s="363"/>
      <c r="AE217" s="363"/>
      <c r="AF217" s="363"/>
      <c r="AG217" s="363"/>
      <c r="AH217" s="363"/>
      <c r="AI217" s="363"/>
      <c r="AJ217" s="363"/>
      <c r="AK217" s="363"/>
      <c r="AL217" s="363"/>
      <c r="AM217" s="363"/>
    </row>
    <row r="218" spans="2:39" ht="12.75" customHeight="1" x14ac:dyDescent="0.2">
      <c r="B218" s="362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3"/>
      <c r="P218" s="36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  <c r="AA218" s="363"/>
      <c r="AB218" s="363"/>
      <c r="AC218" s="363"/>
      <c r="AD218" s="363"/>
      <c r="AE218" s="363"/>
      <c r="AF218" s="363"/>
      <c r="AG218" s="363"/>
      <c r="AH218" s="363"/>
      <c r="AI218" s="363"/>
      <c r="AJ218" s="363"/>
      <c r="AK218" s="363"/>
      <c r="AL218" s="363"/>
      <c r="AM218" s="363"/>
    </row>
    <row r="219" spans="2:39" ht="12.75" customHeight="1" x14ac:dyDescent="0.2">
      <c r="B219" s="362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63"/>
      <c r="P219" s="36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  <c r="AA219" s="363"/>
      <c r="AB219" s="363"/>
      <c r="AC219" s="363"/>
      <c r="AD219" s="363"/>
      <c r="AE219" s="363"/>
      <c r="AF219" s="363"/>
      <c r="AG219" s="363"/>
      <c r="AH219" s="363"/>
      <c r="AI219" s="363"/>
      <c r="AJ219" s="363"/>
      <c r="AK219" s="363"/>
      <c r="AL219" s="363"/>
      <c r="AM219" s="363"/>
    </row>
    <row r="220" spans="2:39" ht="12.75" customHeight="1" x14ac:dyDescent="0.2">
      <c r="B220" s="362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63"/>
      <c r="P220" s="36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  <c r="AA220" s="363"/>
      <c r="AB220" s="363"/>
      <c r="AC220" s="363"/>
      <c r="AD220" s="363"/>
      <c r="AE220" s="363"/>
      <c r="AF220" s="363"/>
      <c r="AG220" s="363"/>
      <c r="AH220" s="363"/>
      <c r="AI220" s="363"/>
      <c r="AJ220" s="363"/>
      <c r="AK220" s="363"/>
      <c r="AL220" s="363"/>
      <c r="AM220" s="363"/>
    </row>
    <row r="221" spans="2:39" ht="12.75" customHeight="1" x14ac:dyDescent="0.2">
      <c r="B221" s="362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63"/>
      <c r="AB221" s="363"/>
      <c r="AC221" s="363"/>
      <c r="AD221" s="363"/>
      <c r="AE221" s="363"/>
      <c r="AF221" s="363"/>
      <c r="AG221" s="363"/>
      <c r="AH221" s="363"/>
      <c r="AI221" s="363"/>
      <c r="AJ221" s="363"/>
      <c r="AK221" s="363"/>
      <c r="AL221" s="363"/>
      <c r="AM221" s="363"/>
    </row>
    <row r="222" spans="2:39" ht="12.75" customHeight="1" x14ac:dyDescent="0.2">
      <c r="B222" s="362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63"/>
      <c r="AB222" s="363"/>
      <c r="AC222" s="363"/>
      <c r="AD222" s="363"/>
      <c r="AE222" s="363"/>
      <c r="AF222" s="363"/>
      <c r="AG222" s="363"/>
      <c r="AH222" s="363"/>
      <c r="AI222" s="363"/>
      <c r="AJ222" s="363"/>
      <c r="AK222" s="363"/>
      <c r="AL222" s="363"/>
      <c r="AM222" s="363"/>
    </row>
    <row r="223" spans="2:39" ht="12.75" customHeight="1" x14ac:dyDescent="0.2">
      <c r="B223" s="362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3"/>
      <c r="P223" s="36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  <c r="AA223" s="363"/>
      <c r="AB223" s="363"/>
      <c r="AC223" s="363"/>
      <c r="AD223" s="363"/>
      <c r="AE223" s="363"/>
      <c r="AF223" s="363"/>
      <c r="AG223" s="363"/>
      <c r="AH223" s="363"/>
      <c r="AI223" s="363"/>
      <c r="AJ223" s="363"/>
      <c r="AK223" s="363"/>
      <c r="AL223" s="363"/>
      <c r="AM223" s="363"/>
    </row>
    <row r="224" spans="2:39" ht="12.75" customHeight="1" x14ac:dyDescent="0.2">
      <c r="B224" s="362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363"/>
      <c r="AB224" s="363"/>
      <c r="AC224" s="363"/>
      <c r="AD224" s="363"/>
      <c r="AE224" s="363"/>
      <c r="AF224" s="363"/>
      <c r="AG224" s="363"/>
      <c r="AH224" s="363"/>
      <c r="AI224" s="363"/>
      <c r="AJ224" s="363"/>
      <c r="AK224" s="363"/>
      <c r="AL224" s="363"/>
      <c r="AM224" s="363"/>
    </row>
    <row r="225" spans="2:39" ht="12.75" customHeight="1" x14ac:dyDescent="0.2">
      <c r="B225" s="362"/>
      <c r="C225" s="363"/>
      <c r="D225" s="363"/>
      <c r="E225" s="363"/>
      <c r="F225" s="363"/>
      <c r="G225" s="363"/>
      <c r="H225" s="363"/>
      <c r="I225" s="363"/>
      <c r="J225" s="363"/>
      <c r="K225" s="363"/>
      <c r="L225" s="363"/>
      <c r="M225" s="363"/>
      <c r="N225" s="363"/>
      <c r="O225" s="363"/>
      <c r="P225" s="36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  <c r="AA225" s="363"/>
      <c r="AB225" s="363"/>
      <c r="AC225" s="363"/>
      <c r="AD225" s="363"/>
      <c r="AE225" s="363"/>
      <c r="AF225" s="363"/>
      <c r="AG225" s="363"/>
      <c r="AH225" s="363"/>
      <c r="AI225" s="363"/>
      <c r="AJ225" s="363"/>
      <c r="AK225" s="363"/>
      <c r="AL225" s="363"/>
      <c r="AM225" s="363"/>
    </row>
    <row r="226" spans="2:39" ht="12.75" customHeight="1" x14ac:dyDescent="0.2">
      <c r="B226" s="362"/>
      <c r="C226" s="363"/>
      <c r="D226" s="363"/>
      <c r="E226" s="363"/>
      <c r="F226" s="363"/>
      <c r="G226" s="363"/>
      <c r="H226" s="363"/>
      <c r="I226" s="363"/>
      <c r="J226" s="363"/>
      <c r="K226" s="363"/>
      <c r="L226" s="363"/>
      <c r="M226" s="363"/>
      <c r="N226" s="363"/>
      <c r="O226" s="363"/>
      <c r="P226" s="36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  <c r="AA226" s="363"/>
      <c r="AB226" s="363"/>
      <c r="AC226" s="363"/>
      <c r="AD226" s="363"/>
      <c r="AE226" s="363"/>
      <c r="AF226" s="363"/>
      <c r="AG226" s="363"/>
      <c r="AH226" s="363"/>
      <c r="AI226" s="363"/>
      <c r="AJ226" s="363"/>
      <c r="AK226" s="363"/>
      <c r="AL226" s="363"/>
      <c r="AM226" s="363"/>
    </row>
    <row r="227" spans="2:39" ht="12.75" customHeight="1" x14ac:dyDescent="0.2">
      <c r="B227" s="362"/>
      <c r="C227" s="363"/>
      <c r="D227" s="363"/>
      <c r="E227" s="363"/>
      <c r="F227" s="363"/>
      <c r="G227" s="363"/>
      <c r="H227" s="363"/>
      <c r="I227" s="363"/>
      <c r="J227" s="363"/>
      <c r="K227" s="363"/>
      <c r="L227" s="363"/>
      <c r="M227" s="363"/>
      <c r="N227" s="363"/>
      <c r="O227" s="363"/>
      <c r="P227" s="363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  <c r="AA227" s="363"/>
      <c r="AB227" s="363"/>
      <c r="AC227" s="363"/>
      <c r="AD227" s="363"/>
      <c r="AE227" s="363"/>
      <c r="AF227" s="363"/>
      <c r="AG227" s="363"/>
      <c r="AH227" s="363"/>
      <c r="AI227" s="363"/>
      <c r="AJ227" s="363"/>
      <c r="AK227" s="363"/>
      <c r="AL227" s="363"/>
      <c r="AM227" s="363"/>
    </row>
    <row r="228" spans="2:39" ht="12.75" customHeight="1" x14ac:dyDescent="0.2">
      <c r="B228" s="362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3"/>
      <c r="P228" s="363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  <c r="AA228" s="363"/>
      <c r="AB228" s="363"/>
      <c r="AC228" s="363"/>
      <c r="AD228" s="363"/>
      <c r="AE228" s="363"/>
      <c r="AF228" s="363"/>
      <c r="AG228" s="363"/>
      <c r="AH228" s="363"/>
      <c r="AI228" s="363"/>
      <c r="AJ228" s="363"/>
      <c r="AK228" s="363"/>
      <c r="AL228" s="363"/>
      <c r="AM228" s="363"/>
    </row>
    <row r="229" spans="2:39" ht="12.75" customHeight="1" x14ac:dyDescent="0.2">
      <c r="B229" s="362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3"/>
      <c r="P229" s="363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  <c r="AA229" s="363"/>
      <c r="AB229" s="363"/>
      <c r="AC229" s="363"/>
      <c r="AD229" s="363"/>
      <c r="AE229" s="363"/>
      <c r="AF229" s="363"/>
      <c r="AG229" s="363"/>
      <c r="AH229" s="363"/>
      <c r="AI229" s="363"/>
      <c r="AJ229" s="363"/>
      <c r="AK229" s="363"/>
      <c r="AL229" s="363"/>
      <c r="AM229" s="363"/>
    </row>
    <row r="230" spans="2:39" ht="12.75" customHeight="1" x14ac:dyDescent="0.2">
      <c r="B230" s="362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/>
      <c r="AF230" s="363"/>
      <c r="AG230" s="363"/>
      <c r="AH230" s="363"/>
      <c r="AI230" s="363"/>
      <c r="AJ230" s="363"/>
      <c r="AK230" s="363"/>
      <c r="AL230" s="363"/>
      <c r="AM230" s="363"/>
    </row>
    <row r="231" spans="2:39" ht="12.75" customHeight="1" x14ac:dyDescent="0.2">
      <c r="B231" s="362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/>
      <c r="AF231" s="363"/>
      <c r="AG231" s="363"/>
      <c r="AH231" s="363"/>
      <c r="AI231" s="363"/>
      <c r="AJ231" s="363"/>
      <c r="AK231" s="363"/>
      <c r="AL231" s="363"/>
      <c r="AM231" s="363"/>
    </row>
    <row r="232" spans="2:39" ht="12.75" customHeight="1" x14ac:dyDescent="0.2">
      <c r="B232" s="362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63"/>
      <c r="AB232" s="363"/>
      <c r="AC232" s="363"/>
      <c r="AD232" s="363"/>
      <c r="AE232" s="363"/>
      <c r="AF232" s="363"/>
      <c r="AG232" s="363"/>
      <c r="AH232" s="363"/>
      <c r="AI232" s="363"/>
      <c r="AJ232" s="363"/>
      <c r="AK232" s="363"/>
      <c r="AL232" s="363"/>
      <c r="AM232" s="363"/>
    </row>
    <row r="233" spans="2:39" ht="12.75" customHeight="1" x14ac:dyDescent="0.2">
      <c r="B233" s="362"/>
      <c r="C233" s="363"/>
      <c r="D233" s="363"/>
      <c r="E233" s="363"/>
      <c r="F233" s="363"/>
      <c r="G233" s="363"/>
      <c r="H233" s="363"/>
      <c r="I233" s="363"/>
      <c r="J233" s="363"/>
      <c r="K233" s="363"/>
      <c r="L233" s="363"/>
      <c r="M233" s="363"/>
      <c r="N233" s="363"/>
      <c r="O233" s="363"/>
      <c r="P233" s="363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  <c r="AA233" s="363"/>
      <c r="AB233" s="363"/>
      <c r="AC233" s="363"/>
      <c r="AD233" s="363"/>
      <c r="AE233" s="363"/>
      <c r="AF233" s="363"/>
      <c r="AG233" s="363"/>
      <c r="AH233" s="363"/>
      <c r="AI233" s="363"/>
      <c r="AJ233" s="363"/>
      <c r="AK233" s="363"/>
      <c r="AL233" s="363"/>
      <c r="AM233" s="363"/>
    </row>
    <row r="234" spans="2:39" ht="12.75" customHeight="1" x14ac:dyDescent="0.2">
      <c r="B234" s="362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3"/>
      <c r="P234" s="363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  <c r="AA234" s="363"/>
      <c r="AB234" s="363"/>
      <c r="AC234" s="363"/>
      <c r="AD234" s="363"/>
      <c r="AE234" s="363"/>
      <c r="AF234" s="363"/>
      <c r="AG234" s="363"/>
      <c r="AH234" s="363"/>
      <c r="AI234" s="363"/>
      <c r="AJ234" s="363"/>
      <c r="AK234" s="363"/>
      <c r="AL234" s="363"/>
      <c r="AM234" s="363"/>
    </row>
    <row r="235" spans="2:39" ht="12.75" customHeight="1" x14ac:dyDescent="0.2">
      <c r="B235" s="362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3"/>
      <c r="P235" s="363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  <c r="AA235" s="363"/>
      <c r="AB235" s="363"/>
      <c r="AC235" s="363"/>
      <c r="AD235" s="363"/>
      <c r="AE235" s="363"/>
      <c r="AF235" s="363"/>
      <c r="AG235" s="363"/>
      <c r="AH235" s="363"/>
      <c r="AI235" s="363"/>
      <c r="AJ235" s="363"/>
      <c r="AK235" s="363"/>
      <c r="AL235" s="363"/>
      <c r="AM235" s="363"/>
    </row>
    <row r="236" spans="2:39" ht="12.75" customHeight="1" x14ac:dyDescent="0.2">
      <c r="B236" s="362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  <c r="AA236" s="363"/>
      <c r="AB236" s="363"/>
      <c r="AC236" s="363"/>
      <c r="AD236" s="363"/>
      <c r="AE236" s="363"/>
      <c r="AF236" s="363"/>
      <c r="AG236" s="363"/>
      <c r="AH236" s="363"/>
      <c r="AI236" s="363"/>
      <c r="AJ236" s="363"/>
      <c r="AK236" s="363"/>
      <c r="AL236" s="363"/>
      <c r="AM236" s="363"/>
    </row>
    <row r="237" spans="2:39" ht="12.75" customHeight="1" x14ac:dyDescent="0.2">
      <c r="B237" s="362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63"/>
      <c r="P237" s="363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  <c r="AA237" s="363"/>
      <c r="AB237" s="363"/>
      <c r="AC237" s="363"/>
      <c r="AD237" s="363"/>
      <c r="AE237" s="363"/>
      <c r="AF237" s="363"/>
      <c r="AG237" s="363"/>
      <c r="AH237" s="363"/>
      <c r="AI237" s="363"/>
      <c r="AJ237" s="363"/>
      <c r="AK237" s="363"/>
      <c r="AL237" s="363"/>
      <c r="AM237" s="363"/>
    </row>
    <row r="238" spans="2:39" ht="12.75" customHeight="1" x14ac:dyDescent="0.2">
      <c r="B238" s="362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363"/>
      <c r="AB238" s="363"/>
      <c r="AC238" s="363"/>
      <c r="AD238" s="363"/>
      <c r="AE238" s="363"/>
      <c r="AF238" s="363"/>
      <c r="AG238" s="363"/>
      <c r="AH238" s="363"/>
      <c r="AI238" s="363"/>
      <c r="AJ238" s="363"/>
      <c r="AK238" s="363"/>
      <c r="AL238" s="363"/>
      <c r="AM238" s="363"/>
    </row>
    <row r="239" spans="2:39" ht="12.75" customHeight="1" x14ac:dyDescent="0.2">
      <c r="B239" s="362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63"/>
      <c r="AB239" s="363"/>
      <c r="AC239" s="363"/>
      <c r="AD239" s="363"/>
      <c r="AE239" s="363"/>
      <c r="AF239" s="363"/>
      <c r="AG239" s="363"/>
      <c r="AH239" s="363"/>
      <c r="AI239" s="363"/>
      <c r="AJ239" s="363"/>
      <c r="AK239" s="363"/>
      <c r="AL239" s="363"/>
      <c r="AM239" s="363"/>
    </row>
    <row r="240" spans="2:39" ht="12.75" customHeight="1" x14ac:dyDescent="0.2">
      <c r="B240" s="362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63"/>
      <c r="AB240" s="363"/>
      <c r="AC240" s="363"/>
      <c r="AD240" s="363"/>
      <c r="AE240" s="363"/>
      <c r="AF240" s="363"/>
      <c r="AG240" s="363"/>
      <c r="AH240" s="363"/>
      <c r="AI240" s="363"/>
      <c r="AJ240" s="363"/>
      <c r="AK240" s="363"/>
      <c r="AL240" s="363"/>
      <c r="AM240" s="363"/>
    </row>
    <row r="241" spans="2:39" ht="12.75" customHeight="1" x14ac:dyDescent="0.2">
      <c r="B241" s="362"/>
      <c r="C241" s="363"/>
      <c r="D241" s="363"/>
      <c r="E241" s="363"/>
      <c r="F241" s="363"/>
      <c r="G241" s="363"/>
      <c r="H241" s="363"/>
      <c r="I241" s="363"/>
      <c r="J241" s="363"/>
      <c r="K241" s="363"/>
      <c r="L241" s="363"/>
      <c r="M241" s="363"/>
      <c r="N241" s="363"/>
      <c r="O241" s="363"/>
      <c r="P241" s="363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  <c r="AA241" s="363"/>
      <c r="AB241" s="363"/>
      <c r="AC241" s="363"/>
      <c r="AD241" s="363"/>
      <c r="AE241" s="363"/>
      <c r="AF241" s="363"/>
      <c r="AG241" s="363"/>
      <c r="AH241" s="363"/>
      <c r="AI241" s="363"/>
      <c r="AJ241" s="363"/>
      <c r="AK241" s="363"/>
      <c r="AL241" s="363"/>
      <c r="AM241" s="363"/>
    </row>
    <row r="242" spans="2:39" ht="12.75" customHeight="1" x14ac:dyDescent="0.2">
      <c r="B242" s="362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  <c r="AA242" s="363"/>
      <c r="AB242" s="363"/>
      <c r="AC242" s="363"/>
      <c r="AD242" s="363"/>
      <c r="AE242" s="363"/>
      <c r="AF242" s="363"/>
      <c r="AG242" s="363"/>
      <c r="AH242" s="363"/>
      <c r="AI242" s="363"/>
      <c r="AJ242" s="363"/>
      <c r="AK242" s="363"/>
      <c r="AL242" s="363"/>
      <c r="AM242" s="363"/>
    </row>
    <row r="243" spans="2:39" ht="12.75" customHeight="1" x14ac:dyDescent="0.2">
      <c r="B243" s="362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63"/>
      <c r="P243" s="363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  <c r="AA243" s="363"/>
      <c r="AB243" s="363"/>
      <c r="AC243" s="363"/>
      <c r="AD243" s="363"/>
      <c r="AE243" s="363"/>
      <c r="AF243" s="363"/>
      <c r="AG243" s="363"/>
      <c r="AH243" s="363"/>
      <c r="AI243" s="363"/>
      <c r="AJ243" s="363"/>
      <c r="AK243" s="363"/>
      <c r="AL243" s="363"/>
      <c r="AM243" s="363"/>
    </row>
    <row r="244" spans="2:39" ht="12.75" customHeight="1" x14ac:dyDescent="0.2">
      <c r="B244" s="362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63"/>
      <c r="AB244" s="363"/>
      <c r="AC244" s="363"/>
      <c r="AD244" s="363"/>
      <c r="AE244" s="363"/>
      <c r="AF244" s="363"/>
      <c r="AG244" s="363"/>
      <c r="AH244" s="363"/>
      <c r="AI244" s="363"/>
      <c r="AJ244" s="363"/>
      <c r="AK244" s="363"/>
      <c r="AL244" s="363"/>
      <c r="AM244" s="363"/>
    </row>
    <row r="245" spans="2:39" ht="12.75" customHeight="1" x14ac:dyDescent="0.2">
      <c r="B245" s="362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3"/>
      <c r="P245" s="363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  <c r="AA245" s="363"/>
      <c r="AB245" s="363"/>
      <c r="AC245" s="363"/>
      <c r="AD245" s="363"/>
      <c r="AE245" s="363"/>
      <c r="AF245" s="363"/>
      <c r="AG245" s="363"/>
      <c r="AH245" s="363"/>
      <c r="AI245" s="363"/>
      <c r="AJ245" s="363"/>
      <c r="AK245" s="363"/>
      <c r="AL245" s="363"/>
      <c r="AM245" s="363"/>
    </row>
    <row r="246" spans="2:39" ht="12.75" customHeight="1" x14ac:dyDescent="0.2">
      <c r="B246" s="362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  <c r="AA246" s="363"/>
      <c r="AB246" s="363"/>
      <c r="AC246" s="363"/>
      <c r="AD246" s="363"/>
      <c r="AE246" s="363"/>
      <c r="AF246" s="363"/>
      <c r="AG246" s="363"/>
      <c r="AH246" s="363"/>
      <c r="AI246" s="363"/>
      <c r="AJ246" s="363"/>
      <c r="AK246" s="363"/>
      <c r="AL246" s="363"/>
      <c r="AM246" s="363"/>
    </row>
    <row r="247" spans="2:39" ht="12.75" customHeight="1" x14ac:dyDescent="0.2">
      <c r="B247" s="362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3"/>
      <c r="AG247" s="363"/>
      <c r="AH247" s="363"/>
      <c r="AI247" s="363"/>
      <c r="AJ247" s="363"/>
      <c r="AK247" s="363"/>
      <c r="AL247" s="363"/>
      <c r="AM247" s="363"/>
    </row>
    <row r="248" spans="2:39" ht="12.75" customHeight="1" x14ac:dyDescent="0.2">
      <c r="B248" s="362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63"/>
      <c r="P248" s="363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/>
      <c r="AF248" s="363"/>
      <c r="AG248" s="363"/>
      <c r="AH248" s="363"/>
      <c r="AI248" s="363"/>
      <c r="AJ248" s="363"/>
      <c r="AK248" s="363"/>
      <c r="AL248" s="363"/>
      <c r="AM248" s="363"/>
    </row>
    <row r="249" spans="2:39" ht="12.75" customHeight="1" x14ac:dyDescent="0.2">
      <c r="B249" s="362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3"/>
      <c r="AG249" s="363"/>
      <c r="AH249" s="363"/>
      <c r="AI249" s="363"/>
      <c r="AJ249" s="363"/>
      <c r="AK249" s="363"/>
      <c r="AL249" s="363"/>
      <c r="AM249" s="363"/>
    </row>
    <row r="250" spans="2:39" ht="12.75" customHeight="1" x14ac:dyDescent="0.2">
      <c r="B250" s="362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63"/>
      <c r="AB250" s="363"/>
      <c r="AC250" s="363"/>
      <c r="AD250" s="363"/>
      <c r="AE250" s="363"/>
      <c r="AF250" s="363"/>
      <c r="AG250" s="363"/>
      <c r="AH250" s="363"/>
      <c r="AI250" s="363"/>
      <c r="AJ250" s="363"/>
      <c r="AK250" s="363"/>
      <c r="AL250" s="363"/>
      <c r="AM250" s="363"/>
    </row>
    <row r="251" spans="2:39" ht="12.75" customHeight="1" x14ac:dyDescent="0.2">
      <c r="B251" s="362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63"/>
      <c r="AB251" s="363"/>
      <c r="AC251" s="363"/>
      <c r="AD251" s="363"/>
      <c r="AE251" s="363"/>
      <c r="AF251" s="363"/>
      <c r="AG251" s="363"/>
      <c r="AH251" s="363"/>
      <c r="AI251" s="363"/>
      <c r="AJ251" s="363"/>
      <c r="AK251" s="363"/>
      <c r="AL251" s="363"/>
      <c r="AM251" s="363"/>
    </row>
    <row r="252" spans="2:39" ht="12.75" customHeight="1" x14ac:dyDescent="0.2">
      <c r="B252" s="362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  <c r="AA252" s="363"/>
      <c r="AB252" s="363"/>
      <c r="AC252" s="363"/>
      <c r="AD252" s="363"/>
      <c r="AE252" s="363"/>
      <c r="AF252" s="363"/>
      <c r="AG252" s="363"/>
      <c r="AH252" s="363"/>
      <c r="AI252" s="363"/>
      <c r="AJ252" s="363"/>
      <c r="AK252" s="363"/>
      <c r="AL252" s="363"/>
      <c r="AM252" s="363"/>
    </row>
    <row r="253" spans="2:39" ht="12.75" customHeight="1" x14ac:dyDescent="0.2">
      <c r="B253" s="362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63"/>
      <c r="P253" s="363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  <c r="AA253" s="363"/>
      <c r="AB253" s="363"/>
      <c r="AC253" s="363"/>
      <c r="AD253" s="363"/>
      <c r="AE253" s="363"/>
      <c r="AF253" s="363"/>
      <c r="AG253" s="363"/>
      <c r="AH253" s="363"/>
      <c r="AI253" s="363"/>
      <c r="AJ253" s="363"/>
      <c r="AK253" s="363"/>
      <c r="AL253" s="363"/>
      <c r="AM253" s="363"/>
    </row>
    <row r="254" spans="2:39" ht="12.75" customHeight="1" x14ac:dyDescent="0.2">
      <c r="B254" s="362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363"/>
      <c r="AB254" s="363"/>
      <c r="AC254" s="363"/>
      <c r="AD254" s="363"/>
      <c r="AE254" s="363"/>
      <c r="AF254" s="363"/>
      <c r="AG254" s="363"/>
      <c r="AH254" s="363"/>
      <c r="AI254" s="363"/>
      <c r="AJ254" s="363"/>
      <c r="AK254" s="363"/>
      <c r="AL254" s="363"/>
      <c r="AM254" s="363"/>
    </row>
    <row r="255" spans="2:39" ht="12.75" customHeight="1" x14ac:dyDescent="0.2">
      <c r="B255" s="362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63"/>
      <c r="AB255" s="363"/>
      <c r="AC255" s="363"/>
      <c r="AD255" s="363"/>
      <c r="AE255" s="363"/>
      <c r="AF255" s="363"/>
      <c r="AG255" s="363"/>
      <c r="AH255" s="363"/>
      <c r="AI255" s="363"/>
      <c r="AJ255" s="363"/>
      <c r="AK255" s="363"/>
      <c r="AL255" s="363"/>
      <c r="AM255" s="363"/>
    </row>
    <row r="256" spans="2:39" ht="12.75" customHeight="1" x14ac:dyDescent="0.2">
      <c r="B256" s="362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63"/>
      <c r="AB256" s="363"/>
      <c r="AC256" s="363"/>
      <c r="AD256" s="363"/>
      <c r="AE256" s="363"/>
      <c r="AF256" s="363"/>
      <c r="AG256" s="363"/>
      <c r="AH256" s="363"/>
      <c r="AI256" s="363"/>
      <c r="AJ256" s="363"/>
      <c r="AK256" s="363"/>
      <c r="AL256" s="363"/>
      <c r="AM256" s="363"/>
    </row>
    <row r="257" spans="2:39" ht="12.75" customHeight="1" x14ac:dyDescent="0.2">
      <c r="B257" s="362"/>
      <c r="C257" s="363"/>
      <c r="D257" s="363"/>
      <c r="E257" s="363"/>
      <c r="F257" s="363"/>
      <c r="G257" s="363"/>
      <c r="H257" s="363"/>
      <c r="I257" s="363"/>
      <c r="J257" s="363"/>
      <c r="K257" s="363"/>
      <c r="L257" s="363"/>
      <c r="M257" s="363"/>
      <c r="N257" s="363"/>
      <c r="O257" s="363"/>
      <c r="P257" s="363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  <c r="AA257" s="363"/>
      <c r="AB257" s="363"/>
      <c r="AC257" s="363"/>
      <c r="AD257" s="363"/>
      <c r="AE257" s="363"/>
      <c r="AF257" s="363"/>
      <c r="AG257" s="363"/>
      <c r="AH257" s="363"/>
      <c r="AI257" s="363"/>
      <c r="AJ257" s="363"/>
      <c r="AK257" s="363"/>
      <c r="AL257" s="363"/>
      <c r="AM257" s="363"/>
    </row>
    <row r="258" spans="2:39" ht="12.75" customHeight="1" x14ac:dyDescent="0.2">
      <c r="B258" s="362"/>
      <c r="C258" s="363"/>
      <c r="D258" s="363"/>
      <c r="E258" s="363"/>
      <c r="F258" s="363"/>
      <c r="G258" s="363"/>
      <c r="H258" s="363"/>
      <c r="I258" s="363"/>
      <c r="J258" s="363"/>
      <c r="K258" s="363"/>
      <c r="L258" s="363"/>
      <c r="M258" s="363"/>
      <c r="N258" s="363"/>
      <c r="O258" s="363"/>
      <c r="P258" s="363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  <c r="AA258" s="363"/>
      <c r="AB258" s="363"/>
      <c r="AC258" s="363"/>
      <c r="AD258" s="363"/>
      <c r="AE258" s="363"/>
      <c r="AF258" s="363"/>
      <c r="AG258" s="363"/>
      <c r="AH258" s="363"/>
      <c r="AI258" s="363"/>
      <c r="AJ258" s="363"/>
      <c r="AK258" s="363"/>
      <c r="AL258" s="363"/>
      <c r="AM258" s="363"/>
    </row>
    <row r="259" spans="2:39" ht="12.75" customHeight="1" x14ac:dyDescent="0.2">
      <c r="B259" s="362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3"/>
      <c r="P259" s="363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  <c r="AA259" s="363"/>
      <c r="AB259" s="363"/>
      <c r="AC259" s="363"/>
      <c r="AD259" s="363"/>
      <c r="AE259" s="363"/>
      <c r="AF259" s="363"/>
      <c r="AG259" s="363"/>
      <c r="AH259" s="363"/>
      <c r="AI259" s="363"/>
      <c r="AJ259" s="363"/>
      <c r="AK259" s="363"/>
      <c r="AL259" s="363"/>
      <c r="AM259" s="363"/>
    </row>
    <row r="260" spans="2:39" ht="12.75" customHeight="1" x14ac:dyDescent="0.2">
      <c r="B260" s="362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63"/>
      <c r="P260" s="363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  <c r="AA260" s="363"/>
      <c r="AB260" s="363"/>
      <c r="AC260" s="363"/>
      <c r="AD260" s="363"/>
      <c r="AE260" s="363"/>
      <c r="AF260" s="363"/>
      <c r="AG260" s="363"/>
      <c r="AH260" s="363"/>
      <c r="AI260" s="363"/>
      <c r="AJ260" s="363"/>
      <c r="AK260" s="363"/>
      <c r="AL260" s="363"/>
      <c r="AM260" s="363"/>
    </row>
    <row r="261" spans="2:39" ht="12.75" customHeight="1" x14ac:dyDescent="0.2">
      <c r="B261" s="362"/>
      <c r="C261" s="363"/>
      <c r="D261" s="363"/>
      <c r="E261" s="363"/>
      <c r="F261" s="363"/>
      <c r="G261" s="363"/>
      <c r="H261" s="363"/>
      <c r="I261" s="363"/>
      <c r="J261" s="363"/>
      <c r="K261" s="363"/>
      <c r="L261" s="363"/>
      <c r="M261" s="363"/>
      <c r="N261" s="363"/>
      <c r="O261" s="363"/>
      <c r="P261" s="363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  <c r="AA261" s="363"/>
      <c r="AB261" s="363"/>
      <c r="AC261" s="363"/>
      <c r="AD261" s="363"/>
      <c r="AE261" s="363"/>
      <c r="AF261" s="363"/>
      <c r="AG261" s="363"/>
      <c r="AH261" s="363"/>
      <c r="AI261" s="363"/>
      <c r="AJ261" s="363"/>
      <c r="AK261" s="363"/>
      <c r="AL261" s="363"/>
      <c r="AM261" s="363"/>
    </row>
    <row r="262" spans="2:39" ht="12.75" customHeight="1" x14ac:dyDescent="0.2">
      <c r="B262" s="362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63"/>
      <c r="AB262" s="363"/>
      <c r="AC262" s="363"/>
      <c r="AD262" s="363"/>
      <c r="AE262" s="363"/>
      <c r="AF262" s="363"/>
      <c r="AG262" s="363"/>
      <c r="AH262" s="363"/>
      <c r="AI262" s="363"/>
      <c r="AJ262" s="363"/>
      <c r="AK262" s="363"/>
      <c r="AL262" s="363"/>
      <c r="AM262" s="363"/>
    </row>
    <row r="263" spans="2:39" ht="12.75" customHeight="1" x14ac:dyDescent="0.2">
      <c r="B263" s="362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63"/>
      <c r="AB263" s="363"/>
      <c r="AC263" s="363"/>
      <c r="AD263" s="363"/>
      <c r="AE263" s="363"/>
      <c r="AF263" s="363"/>
      <c r="AG263" s="363"/>
      <c r="AH263" s="363"/>
      <c r="AI263" s="363"/>
      <c r="AJ263" s="363"/>
      <c r="AK263" s="363"/>
      <c r="AL263" s="363"/>
      <c r="AM263" s="363"/>
    </row>
    <row r="264" spans="2:39" ht="12.75" customHeight="1" x14ac:dyDescent="0.2">
      <c r="B264" s="362"/>
      <c r="C264" s="363"/>
      <c r="D264" s="363"/>
      <c r="E264" s="363"/>
      <c r="F264" s="363"/>
      <c r="G264" s="363"/>
      <c r="H264" s="363"/>
      <c r="I264" s="363"/>
      <c r="J264" s="363"/>
      <c r="K264" s="363"/>
      <c r="L264" s="363"/>
      <c r="M264" s="363"/>
      <c r="N264" s="363"/>
      <c r="O264" s="363"/>
      <c r="P264" s="363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/>
      <c r="AF264" s="363"/>
      <c r="AG264" s="363"/>
      <c r="AH264" s="363"/>
      <c r="AI264" s="363"/>
      <c r="AJ264" s="363"/>
      <c r="AK264" s="363"/>
      <c r="AL264" s="363"/>
      <c r="AM264" s="363"/>
    </row>
    <row r="265" spans="2:39" ht="12.75" customHeight="1" x14ac:dyDescent="0.2">
      <c r="B265" s="362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63"/>
      <c r="P265" s="363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  <c r="AA265" s="363"/>
      <c r="AB265" s="363"/>
      <c r="AC265" s="363"/>
      <c r="AD265" s="363"/>
      <c r="AE265" s="363"/>
      <c r="AF265" s="363"/>
      <c r="AG265" s="363"/>
      <c r="AH265" s="363"/>
      <c r="AI265" s="363"/>
      <c r="AJ265" s="363"/>
      <c r="AK265" s="363"/>
      <c r="AL265" s="363"/>
      <c r="AM265" s="363"/>
    </row>
    <row r="266" spans="2:39" ht="12.75" customHeight="1" x14ac:dyDescent="0.2">
      <c r="B266" s="362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63"/>
      <c r="P266" s="363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  <c r="AA266" s="363"/>
      <c r="AB266" s="363"/>
      <c r="AC266" s="363"/>
      <c r="AD266" s="363"/>
      <c r="AE266" s="363"/>
      <c r="AF266" s="363"/>
      <c r="AG266" s="363"/>
      <c r="AH266" s="363"/>
      <c r="AI266" s="363"/>
      <c r="AJ266" s="363"/>
      <c r="AK266" s="363"/>
      <c r="AL266" s="363"/>
      <c r="AM266" s="363"/>
    </row>
    <row r="267" spans="2:39" ht="12.75" customHeight="1" x14ac:dyDescent="0.2">
      <c r="B267" s="362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363"/>
      <c r="AB267" s="363"/>
      <c r="AC267" s="363"/>
      <c r="AD267" s="363"/>
      <c r="AE267" s="363"/>
      <c r="AF267" s="363"/>
      <c r="AG267" s="363"/>
      <c r="AH267" s="363"/>
      <c r="AI267" s="363"/>
      <c r="AJ267" s="363"/>
      <c r="AK267" s="363"/>
      <c r="AL267" s="363"/>
      <c r="AM267" s="363"/>
    </row>
    <row r="268" spans="2:39" ht="12.75" customHeight="1" x14ac:dyDescent="0.2">
      <c r="B268" s="362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63"/>
      <c r="AB268" s="363"/>
      <c r="AC268" s="363"/>
      <c r="AD268" s="363"/>
      <c r="AE268" s="363"/>
      <c r="AF268" s="363"/>
      <c r="AG268" s="363"/>
      <c r="AH268" s="363"/>
      <c r="AI268" s="363"/>
      <c r="AJ268" s="363"/>
      <c r="AK268" s="363"/>
      <c r="AL268" s="363"/>
      <c r="AM268" s="363"/>
    </row>
    <row r="269" spans="2:39" ht="12.75" customHeight="1" x14ac:dyDescent="0.2">
      <c r="B269" s="362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63"/>
      <c r="AB269" s="363"/>
      <c r="AC269" s="363"/>
      <c r="AD269" s="363"/>
      <c r="AE269" s="363"/>
      <c r="AF269" s="363"/>
      <c r="AG269" s="363"/>
      <c r="AH269" s="363"/>
      <c r="AI269" s="363"/>
      <c r="AJ269" s="363"/>
      <c r="AK269" s="363"/>
      <c r="AL269" s="363"/>
      <c r="AM269" s="363"/>
    </row>
    <row r="270" spans="2:39" ht="12.75" customHeight="1" x14ac:dyDescent="0.2">
      <c r="B270" s="362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363"/>
      <c r="P270" s="363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/>
      <c r="AF270" s="363"/>
      <c r="AG270" s="363"/>
      <c r="AH270" s="363"/>
      <c r="AI270" s="363"/>
      <c r="AJ270" s="363"/>
      <c r="AK270" s="363"/>
      <c r="AL270" s="363"/>
      <c r="AM270" s="363"/>
    </row>
    <row r="271" spans="2:39" ht="12.75" customHeight="1" x14ac:dyDescent="0.2">
      <c r="B271" s="362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363"/>
      <c r="P271" s="363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  <c r="AA271" s="363"/>
      <c r="AB271" s="363"/>
      <c r="AC271" s="363"/>
      <c r="AD271" s="363"/>
      <c r="AE271" s="363"/>
      <c r="AF271" s="363"/>
      <c r="AG271" s="363"/>
      <c r="AH271" s="363"/>
      <c r="AI271" s="363"/>
      <c r="AJ271" s="363"/>
      <c r="AK271" s="363"/>
      <c r="AL271" s="363"/>
      <c r="AM271" s="363"/>
    </row>
    <row r="272" spans="2:39" ht="12.75" customHeight="1" x14ac:dyDescent="0.2">
      <c r="B272" s="362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63"/>
      <c r="P272" s="363"/>
      <c r="Q272" s="363"/>
      <c r="R272" s="363"/>
      <c r="S272" s="363"/>
      <c r="T272" s="363"/>
      <c r="U272" s="363"/>
      <c r="V272" s="363"/>
      <c r="W272" s="363"/>
      <c r="X272" s="363"/>
      <c r="Y272" s="363"/>
      <c r="Z272" s="363"/>
      <c r="AA272" s="363"/>
      <c r="AB272" s="363"/>
      <c r="AC272" s="363"/>
      <c r="AD272" s="363"/>
      <c r="AE272" s="363"/>
      <c r="AF272" s="363"/>
      <c r="AG272" s="363"/>
      <c r="AH272" s="363"/>
      <c r="AI272" s="363"/>
      <c r="AJ272" s="363"/>
      <c r="AK272" s="363"/>
      <c r="AL272" s="363"/>
      <c r="AM272" s="363"/>
    </row>
    <row r="273" spans="2:39" ht="12.75" customHeight="1" x14ac:dyDescent="0.2">
      <c r="B273" s="362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  <c r="AA273" s="363"/>
      <c r="AB273" s="363"/>
      <c r="AC273" s="363"/>
      <c r="AD273" s="363"/>
      <c r="AE273" s="363"/>
      <c r="AF273" s="363"/>
      <c r="AG273" s="363"/>
      <c r="AH273" s="363"/>
      <c r="AI273" s="363"/>
      <c r="AJ273" s="363"/>
      <c r="AK273" s="363"/>
      <c r="AL273" s="363"/>
      <c r="AM273" s="363"/>
    </row>
    <row r="274" spans="2:39" ht="12.75" customHeight="1" x14ac:dyDescent="0.2">
      <c r="B274" s="362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363"/>
      <c r="P274" s="363"/>
      <c r="Q274" s="363"/>
      <c r="R274" s="363"/>
      <c r="S274" s="363"/>
      <c r="T274" s="363"/>
      <c r="U274" s="363"/>
      <c r="V274" s="363"/>
      <c r="W274" s="363"/>
      <c r="X274" s="363"/>
      <c r="Y274" s="363"/>
      <c r="Z274" s="363"/>
      <c r="AA274" s="363"/>
      <c r="AB274" s="363"/>
      <c r="AC274" s="363"/>
      <c r="AD274" s="363"/>
      <c r="AE274" s="363"/>
      <c r="AF274" s="363"/>
      <c r="AG274" s="363"/>
      <c r="AH274" s="363"/>
      <c r="AI274" s="363"/>
      <c r="AJ274" s="363"/>
      <c r="AK274" s="363"/>
      <c r="AL274" s="363"/>
      <c r="AM274" s="363"/>
    </row>
    <row r="275" spans="2:39" ht="12.75" customHeight="1" x14ac:dyDescent="0.2">
      <c r="B275" s="362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63"/>
      <c r="AB275" s="363"/>
      <c r="AC275" s="363"/>
      <c r="AD275" s="363"/>
      <c r="AE275" s="363"/>
      <c r="AF275" s="363"/>
      <c r="AG275" s="363"/>
      <c r="AH275" s="363"/>
      <c r="AI275" s="363"/>
      <c r="AJ275" s="363"/>
      <c r="AK275" s="363"/>
      <c r="AL275" s="363"/>
      <c r="AM275" s="363"/>
    </row>
    <row r="276" spans="2:39" ht="12.75" customHeight="1" x14ac:dyDescent="0.2">
      <c r="B276" s="362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63"/>
      <c r="AB276" s="363"/>
      <c r="AC276" s="363"/>
      <c r="AD276" s="363"/>
      <c r="AE276" s="363"/>
      <c r="AF276" s="363"/>
      <c r="AG276" s="363"/>
      <c r="AH276" s="363"/>
      <c r="AI276" s="363"/>
      <c r="AJ276" s="363"/>
      <c r="AK276" s="363"/>
      <c r="AL276" s="363"/>
      <c r="AM276" s="363"/>
    </row>
    <row r="277" spans="2:39" ht="12.75" customHeight="1" x14ac:dyDescent="0.2">
      <c r="B277" s="362"/>
      <c r="C277" s="363"/>
      <c r="D277" s="363"/>
      <c r="E277" s="363"/>
      <c r="F277" s="363"/>
      <c r="G277" s="363"/>
      <c r="H277" s="363"/>
      <c r="I277" s="363"/>
      <c r="J277" s="363"/>
      <c r="K277" s="363"/>
      <c r="L277" s="363"/>
      <c r="M277" s="363"/>
      <c r="N277" s="363"/>
      <c r="O277" s="363"/>
      <c r="P277" s="363"/>
      <c r="Q277" s="363"/>
      <c r="R277" s="363"/>
      <c r="S277" s="363"/>
      <c r="T277" s="363"/>
      <c r="U277" s="363"/>
      <c r="V277" s="363"/>
      <c r="W277" s="363"/>
      <c r="X277" s="363"/>
      <c r="Y277" s="363"/>
      <c r="Z277" s="363"/>
      <c r="AA277" s="363"/>
      <c r="AB277" s="363"/>
      <c r="AC277" s="363"/>
      <c r="AD277" s="363"/>
      <c r="AE277" s="363"/>
      <c r="AF277" s="363"/>
      <c r="AG277" s="363"/>
      <c r="AH277" s="363"/>
      <c r="AI277" s="363"/>
      <c r="AJ277" s="363"/>
      <c r="AK277" s="363"/>
      <c r="AL277" s="363"/>
      <c r="AM277" s="363"/>
    </row>
    <row r="278" spans="2:39" ht="12.75" customHeight="1" x14ac:dyDescent="0.2">
      <c r="B278" s="362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63"/>
      <c r="P278" s="363"/>
      <c r="Q278" s="363"/>
      <c r="R278" s="363"/>
      <c r="S278" s="363"/>
      <c r="T278" s="363"/>
      <c r="U278" s="363"/>
      <c r="V278" s="363"/>
      <c r="W278" s="363"/>
      <c r="X278" s="363"/>
      <c r="Y278" s="363"/>
      <c r="Z278" s="363"/>
      <c r="AA278" s="363"/>
      <c r="AB278" s="363"/>
      <c r="AC278" s="363"/>
      <c r="AD278" s="363"/>
      <c r="AE278" s="363"/>
      <c r="AF278" s="363"/>
      <c r="AG278" s="363"/>
      <c r="AH278" s="363"/>
      <c r="AI278" s="363"/>
      <c r="AJ278" s="363"/>
      <c r="AK278" s="363"/>
      <c r="AL278" s="363"/>
      <c r="AM278" s="363"/>
    </row>
    <row r="279" spans="2:39" ht="12.75" customHeight="1" x14ac:dyDescent="0.2">
      <c r="B279" s="362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63"/>
      <c r="P279" s="363"/>
      <c r="Q279" s="363"/>
      <c r="R279" s="363"/>
      <c r="S279" s="363"/>
      <c r="T279" s="363"/>
      <c r="U279" s="363"/>
      <c r="V279" s="363"/>
      <c r="W279" s="363"/>
      <c r="X279" s="363"/>
      <c r="Y279" s="363"/>
      <c r="Z279" s="363"/>
      <c r="AA279" s="363"/>
      <c r="AB279" s="363"/>
      <c r="AC279" s="363"/>
      <c r="AD279" s="363"/>
      <c r="AE279" s="363"/>
      <c r="AF279" s="363"/>
      <c r="AG279" s="363"/>
      <c r="AH279" s="363"/>
      <c r="AI279" s="363"/>
      <c r="AJ279" s="363"/>
      <c r="AK279" s="363"/>
      <c r="AL279" s="363"/>
      <c r="AM279" s="363"/>
    </row>
    <row r="280" spans="2:39" ht="12.75" customHeight="1" x14ac:dyDescent="0.2">
      <c r="B280" s="362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63"/>
      <c r="AB280" s="363"/>
      <c r="AC280" s="363"/>
      <c r="AD280" s="363"/>
      <c r="AE280" s="363"/>
      <c r="AF280" s="363"/>
      <c r="AG280" s="363"/>
      <c r="AH280" s="363"/>
      <c r="AI280" s="363"/>
      <c r="AJ280" s="363"/>
      <c r="AK280" s="363"/>
      <c r="AL280" s="363"/>
      <c r="AM280" s="363"/>
    </row>
    <row r="281" spans="2:39" ht="12.75" customHeight="1" x14ac:dyDescent="0.2">
      <c r="B281" s="362"/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3"/>
      <c r="P281" s="363"/>
      <c r="Q281" s="363"/>
      <c r="R281" s="363"/>
      <c r="S281" s="363"/>
      <c r="T281" s="363"/>
      <c r="U281" s="363"/>
      <c r="V281" s="363"/>
      <c r="W281" s="363"/>
      <c r="X281" s="363"/>
      <c r="Y281" s="363"/>
      <c r="Z281" s="363"/>
      <c r="AA281" s="363"/>
      <c r="AB281" s="363"/>
      <c r="AC281" s="363"/>
      <c r="AD281" s="363"/>
      <c r="AE281" s="363"/>
      <c r="AF281" s="363"/>
      <c r="AG281" s="363"/>
      <c r="AH281" s="363"/>
      <c r="AI281" s="363"/>
      <c r="AJ281" s="363"/>
      <c r="AK281" s="363"/>
      <c r="AL281" s="363"/>
      <c r="AM281" s="363"/>
    </row>
    <row r="282" spans="2:39" ht="12.75" customHeight="1" x14ac:dyDescent="0.2">
      <c r="B282" s="362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3"/>
      <c r="P282" s="363"/>
      <c r="Q282" s="363"/>
      <c r="R282" s="363"/>
      <c r="S282" s="363"/>
      <c r="T282" s="363"/>
      <c r="U282" s="363"/>
      <c r="V282" s="363"/>
      <c r="W282" s="363"/>
      <c r="X282" s="363"/>
      <c r="Y282" s="363"/>
      <c r="Z282" s="363"/>
      <c r="AA282" s="363"/>
      <c r="AB282" s="363"/>
      <c r="AC282" s="363"/>
      <c r="AD282" s="363"/>
      <c r="AE282" s="363"/>
      <c r="AF282" s="363"/>
      <c r="AG282" s="363"/>
      <c r="AH282" s="363"/>
      <c r="AI282" s="363"/>
      <c r="AJ282" s="363"/>
      <c r="AK282" s="363"/>
      <c r="AL282" s="363"/>
      <c r="AM282" s="363"/>
    </row>
    <row r="283" spans="2:39" ht="12.75" customHeight="1" x14ac:dyDescent="0.2">
      <c r="B283" s="362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63"/>
      <c r="P283" s="363"/>
      <c r="Q283" s="363"/>
      <c r="R283" s="363"/>
      <c r="S283" s="363"/>
      <c r="T283" s="363"/>
      <c r="U283" s="363"/>
      <c r="V283" s="363"/>
      <c r="W283" s="363"/>
      <c r="X283" s="363"/>
      <c r="Y283" s="363"/>
      <c r="Z283" s="363"/>
      <c r="AA283" s="363"/>
      <c r="AB283" s="363"/>
      <c r="AC283" s="363"/>
      <c r="AD283" s="363"/>
      <c r="AE283" s="363"/>
      <c r="AF283" s="363"/>
      <c r="AG283" s="363"/>
      <c r="AH283" s="363"/>
      <c r="AI283" s="363"/>
      <c r="AJ283" s="363"/>
      <c r="AK283" s="363"/>
      <c r="AL283" s="363"/>
      <c r="AM283" s="363"/>
    </row>
    <row r="284" spans="2:39" ht="12.75" customHeight="1" x14ac:dyDescent="0.2">
      <c r="B284" s="362"/>
      <c r="C284" s="363"/>
      <c r="D284" s="363"/>
      <c r="E284" s="363"/>
      <c r="F284" s="363"/>
      <c r="G284" s="363"/>
      <c r="H284" s="363"/>
      <c r="I284" s="363"/>
      <c r="J284" s="363"/>
      <c r="K284" s="363"/>
      <c r="L284" s="363"/>
      <c r="M284" s="363"/>
      <c r="N284" s="363"/>
      <c r="O284" s="363"/>
      <c r="P284" s="363"/>
      <c r="Q284" s="363"/>
      <c r="R284" s="363"/>
      <c r="S284" s="363"/>
      <c r="T284" s="363"/>
      <c r="U284" s="363"/>
      <c r="V284" s="363"/>
      <c r="W284" s="363"/>
      <c r="X284" s="363"/>
      <c r="Y284" s="363"/>
      <c r="Z284" s="363"/>
      <c r="AA284" s="363"/>
      <c r="AB284" s="363"/>
      <c r="AC284" s="363"/>
      <c r="AD284" s="363"/>
      <c r="AE284" s="363"/>
      <c r="AF284" s="363"/>
      <c r="AG284" s="363"/>
      <c r="AH284" s="363"/>
      <c r="AI284" s="363"/>
      <c r="AJ284" s="363"/>
      <c r="AK284" s="363"/>
      <c r="AL284" s="363"/>
      <c r="AM284" s="363"/>
    </row>
    <row r="285" spans="2:39" ht="12.75" customHeight="1" x14ac:dyDescent="0.2">
      <c r="B285" s="362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63"/>
      <c r="AB285" s="363"/>
      <c r="AC285" s="363"/>
      <c r="AD285" s="363"/>
      <c r="AE285" s="363"/>
      <c r="AF285" s="363"/>
      <c r="AG285" s="363"/>
      <c r="AH285" s="363"/>
      <c r="AI285" s="363"/>
      <c r="AJ285" s="363"/>
      <c r="AK285" s="363"/>
      <c r="AL285" s="363"/>
      <c r="AM285" s="363"/>
    </row>
    <row r="286" spans="2:39" ht="12.75" customHeight="1" x14ac:dyDescent="0.2">
      <c r="B286" s="362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63"/>
      <c r="AB286" s="363"/>
      <c r="AC286" s="363"/>
      <c r="AD286" s="363"/>
      <c r="AE286" s="363"/>
      <c r="AF286" s="363"/>
      <c r="AG286" s="363"/>
      <c r="AH286" s="363"/>
      <c r="AI286" s="363"/>
      <c r="AJ286" s="363"/>
      <c r="AK286" s="363"/>
      <c r="AL286" s="363"/>
      <c r="AM286" s="363"/>
    </row>
    <row r="287" spans="2:39" ht="12.75" customHeight="1" x14ac:dyDescent="0.2">
      <c r="B287" s="362"/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363"/>
      <c r="O287" s="363"/>
      <c r="P287" s="363"/>
      <c r="Q287" s="363"/>
      <c r="R287" s="363"/>
      <c r="S287" s="363"/>
      <c r="T287" s="363"/>
      <c r="U287" s="363"/>
      <c r="V287" s="363"/>
      <c r="W287" s="363"/>
      <c r="X287" s="363"/>
      <c r="Y287" s="363"/>
      <c r="Z287" s="363"/>
      <c r="AA287" s="363"/>
      <c r="AB287" s="363"/>
      <c r="AC287" s="363"/>
      <c r="AD287" s="363"/>
      <c r="AE287" s="363"/>
      <c r="AF287" s="363"/>
      <c r="AG287" s="363"/>
      <c r="AH287" s="363"/>
      <c r="AI287" s="363"/>
      <c r="AJ287" s="363"/>
      <c r="AK287" s="363"/>
      <c r="AL287" s="363"/>
      <c r="AM287" s="363"/>
    </row>
    <row r="288" spans="2:39" ht="12.75" customHeight="1" x14ac:dyDescent="0.2">
      <c r="B288" s="362"/>
      <c r="C288" s="363"/>
      <c r="D288" s="363"/>
      <c r="E288" s="363"/>
      <c r="F288" s="363"/>
      <c r="G288" s="363"/>
      <c r="H288" s="363"/>
      <c r="I288" s="363"/>
      <c r="J288" s="363"/>
      <c r="K288" s="363"/>
      <c r="L288" s="363"/>
      <c r="M288" s="363"/>
      <c r="N288" s="363"/>
      <c r="O288" s="363"/>
      <c r="P288" s="363"/>
      <c r="Q288" s="363"/>
      <c r="R288" s="363"/>
      <c r="S288" s="363"/>
      <c r="T288" s="363"/>
      <c r="U288" s="363"/>
      <c r="V288" s="363"/>
      <c r="W288" s="363"/>
      <c r="X288" s="363"/>
      <c r="Y288" s="363"/>
      <c r="Z288" s="363"/>
      <c r="AA288" s="363"/>
      <c r="AB288" s="363"/>
      <c r="AC288" s="363"/>
      <c r="AD288" s="363"/>
      <c r="AE288" s="363"/>
      <c r="AF288" s="363"/>
      <c r="AG288" s="363"/>
      <c r="AH288" s="363"/>
      <c r="AI288" s="363"/>
      <c r="AJ288" s="363"/>
      <c r="AK288" s="363"/>
      <c r="AL288" s="363"/>
      <c r="AM288" s="363"/>
    </row>
    <row r="289" spans="2:39" ht="12.75" customHeight="1" x14ac:dyDescent="0.2">
      <c r="B289" s="362"/>
      <c r="C289" s="363"/>
      <c r="D289" s="363"/>
      <c r="E289" s="363"/>
      <c r="F289" s="363"/>
      <c r="G289" s="363"/>
      <c r="H289" s="363"/>
      <c r="I289" s="363"/>
      <c r="J289" s="363"/>
      <c r="K289" s="363"/>
      <c r="L289" s="363"/>
      <c r="M289" s="363"/>
      <c r="N289" s="363"/>
      <c r="O289" s="363"/>
      <c r="P289" s="363"/>
      <c r="Q289" s="363"/>
      <c r="R289" s="363"/>
      <c r="S289" s="363"/>
      <c r="T289" s="363"/>
      <c r="U289" s="363"/>
      <c r="V289" s="363"/>
      <c r="W289" s="363"/>
      <c r="X289" s="363"/>
      <c r="Y289" s="363"/>
      <c r="Z289" s="363"/>
      <c r="AA289" s="363"/>
      <c r="AB289" s="363"/>
      <c r="AC289" s="363"/>
      <c r="AD289" s="363"/>
      <c r="AE289" s="363"/>
      <c r="AF289" s="363"/>
      <c r="AG289" s="363"/>
      <c r="AH289" s="363"/>
      <c r="AI289" s="363"/>
      <c r="AJ289" s="363"/>
      <c r="AK289" s="363"/>
      <c r="AL289" s="363"/>
      <c r="AM289" s="363"/>
    </row>
    <row r="290" spans="2:39" ht="12.75" customHeight="1" x14ac:dyDescent="0.2">
      <c r="B290" s="362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3"/>
      <c r="V290" s="363"/>
      <c r="W290" s="363"/>
      <c r="X290" s="363"/>
      <c r="Y290" s="363"/>
      <c r="Z290" s="363"/>
      <c r="AA290" s="363"/>
      <c r="AB290" s="363"/>
      <c r="AC290" s="363"/>
      <c r="AD290" s="363"/>
      <c r="AE290" s="363"/>
      <c r="AF290" s="363"/>
      <c r="AG290" s="363"/>
      <c r="AH290" s="363"/>
      <c r="AI290" s="363"/>
      <c r="AJ290" s="363"/>
      <c r="AK290" s="363"/>
      <c r="AL290" s="363"/>
      <c r="AM290" s="363"/>
    </row>
    <row r="291" spans="2:39" ht="12.75" customHeight="1" x14ac:dyDescent="0.2">
      <c r="B291" s="362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63"/>
      <c r="P291" s="363"/>
      <c r="Q291" s="363"/>
      <c r="R291" s="363"/>
      <c r="S291" s="363"/>
      <c r="T291" s="363"/>
      <c r="U291" s="363"/>
      <c r="V291" s="363"/>
      <c r="W291" s="363"/>
      <c r="X291" s="363"/>
      <c r="Y291" s="363"/>
      <c r="Z291" s="363"/>
      <c r="AA291" s="363"/>
      <c r="AB291" s="363"/>
      <c r="AC291" s="363"/>
      <c r="AD291" s="363"/>
      <c r="AE291" s="363"/>
      <c r="AF291" s="363"/>
      <c r="AG291" s="363"/>
      <c r="AH291" s="363"/>
      <c r="AI291" s="363"/>
      <c r="AJ291" s="363"/>
      <c r="AK291" s="363"/>
      <c r="AL291" s="363"/>
      <c r="AM291" s="363"/>
    </row>
    <row r="292" spans="2:39" ht="12.75" customHeight="1" x14ac:dyDescent="0.2">
      <c r="B292" s="362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63"/>
      <c r="AB292" s="363"/>
      <c r="AC292" s="363"/>
      <c r="AD292" s="363"/>
      <c r="AE292" s="363"/>
      <c r="AF292" s="363"/>
      <c r="AG292" s="363"/>
      <c r="AH292" s="363"/>
      <c r="AI292" s="363"/>
      <c r="AJ292" s="363"/>
      <c r="AK292" s="363"/>
      <c r="AL292" s="363"/>
      <c r="AM292" s="363"/>
    </row>
    <row r="293" spans="2:39" ht="12.75" customHeight="1" x14ac:dyDescent="0.2">
      <c r="B293" s="362"/>
      <c r="C293" s="363"/>
      <c r="D293" s="363"/>
      <c r="E293" s="363"/>
      <c r="F293" s="363"/>
      <c r="G293" s="363"/>
      <c r="H293" s="363"/>
      <c r="I293" s="363"/>
      <c r="J293" s="363"/>
      <c r="K293" s="363"/>
      <c r="L293" s="363"/>
      <c r="M293" s="363"/>
      <c r="N293" s="363"/>
      <c r="O293" s="363"/>
      <c r="P293" s="363"/>
      <c r="Q293" s="363"/>
      <c r="R293" s="363"/>
      <c r="S293" s="363"/>
      <c r="T293" s="363"/>
      <c r="U293" s="363"/>
      <c r="V293" s="363"/>
      <c r="W293" s="363"/>
      <c r="X293" s="363"/>
      <c r="Y293" s="363"/>
      <c r="Z293" s="363"/>
      <c r="AA293" s="363"/>
      <c r="AB293" s="363"/>
      <c r="AC293" s="363"/>
      <c r="AD293" s="363"/>
      <c r="AE293" s="363"/>
      <c r="AF293" s="363"/>
      <c r="AG293" s="363"/>
      <c r="AH293" s="363"/>
      <c r="AI293" s="363"/>
      <c r="AJ293" s="363"/>
      <c r="AK293" s="363"/>
      <c r="AL293" s="363"/>
      <c r="AM293" s="363"/>
    </row>
    <row r="294" spans="2:39" ht="12.75" customHeight="1" x14ac:dyDescent="0.2">
      <c r="B294" s="362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63"/>
      <c r="P294" s="363"/>
      <c r="Q294" s="363"/>
      <c r="R294" s="363"/>
      <c r="S294" s="363"/>
      <c r="T294" s="363"/>
      <c r="U294" s="363"/>
      <c r="V294" s="363"/>
      <c r="W294" s="363"/>
      <c r="X294" s="363"/>
      <c r="Y294" s="363"/>
      <c r="Z294" s="363"/>
      <c r="AA294" s="363"/>
      <c r="AB294" s="363"/>
      <c r="AC294" s="363"/>
      <c r="AD294" s="363"/>
      <c r="AE294" s="363"/>
      <c r="AF294" s="363"/>
      <c r="AG294" s="363"/>
      <c r="AH294" s="363"/>
      <c r="AI294" s="363"/>
      <c r="AJ294" s="363"/>
      <c r="AK294" s="363"/>
      <c r="AL294" s="363"/>
      <c r="AM294" s="363"/>
    </row>
    <row r="295" spans="2:39" ht="12.75" customHeight="1" x14ac:dyDescent="0.2">
      <c r="B295" s="362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63"/>
      <c r="P295" s="363"/>
      <c r="Q295" s="363"/>
      <c r="R295" s="363"/>
      <c r="S295" s="363"/>
      <c r="T295" s="363"/>
      <c r="U295" s="363"/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/>
      <c r="AF295" s="363"/>
      <c r="AG295" s="363"/>
      <c r="AH295" s="363"/>
      <c r="AI295" s="363"/>
      <c r="AJ295" s="363"/>
      <c r="AK295" s="363"/>
      <c r="AL295" s="363"/>
      <c r="AM295" s="363"/>
    </row>
    <row r="296" spans="2:39" ht="12.75" customHeight="1" x14ac:dyDescent="0.2">
      <c r="B296" s="362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63"/>
      <c r="AB296" s="363"/>
      <c r="AC296" s="363"/>
      <c r="AD296" s="363"/>
      <c r="AE296" s="363"/>
      <c r="AF296" s="363"/>
      <c r="AG296" s="363"/>
      <c r="AH296" s="363"/>
      <c r="AI296" s="363"/>
      <c r="AJ296" s="363"/>
      <c r="AK296" s="363"/>
      <c r="AL296" s="363"/>
      <c r="AM296" s="363"/>
    </row>
    <row r="297" spans="2:39" ht="12.75" customHeight="1" x14ac:dyDescent="0.2">
      <c r="B297" s="362"/>
      <c r="C297" s="363"/>
      <c r="D297" s="363"/>
      <c r="E297" s="363"/>
      <c r="F297" s="363"/>
      <c r="G297" s="363"/>
      <c r="H297" s="363"/>
      <c r="I297" s="363"/>
      <c r="J297" s="363"/>
      <c r="K297" s="363"/>
      <c r="L297" s="363"/>
      <c r="M297" s="363"/>
      <c r="N297" s="363"/>
      <c r="O297" s="363"/>
      <c r="P297" s="363"/>
      <c r="Q297" s="363"/>
      <c r="R297" s="363"/>
      <c r="S297" s="363"/>
      <c r="T297" s="363"/>
      <c r="U297" s="363"/>
      <c r="V297" s="363"/>
      <c r="W297" s="363"/>
      <c r="X297" s="363"/>
      <c r="Y297" s="363"/>
      <c r="Z297" s="363"/>
      <c r="AA297" s="363"/>
      <c r="AB297" s="363"/>
      <c r="AC297" s="363"/>
      <c r="AD297" s="363"/>
      <c r="AE297" s="363"/>
      <c r="AF297" s="363"/>
      <c r="AG297" s="363"/>
      <c r="AH297" s="363"/>
      <c r="AI297" s="363"/>
      <c r="AJ297" s="363"/>
      <c r="AK297" s="363"/>
      <c r="AL297" s="363"/>
      <c r="AM297" s="363"/>
    </row>
    <row r="298" spans="2:39" ht="12.75" customHeight="1" x14ac:dyDescent="0.2">
      <c r="B298" s="362"/>
      <c r="C298" s="363"/>
      <c r="D298" s="363"/>
      <c r="E298" s="363"/>
      <c r="F298" s="363"/>
      <c r="G298" s="363"/>
      <c r="H298" s="363"/>
      <c r="I298" s="363"/>
      <c r="J298" s="363"/>
      <c r="K298" s="363"/>
      <c r="L298" s="363"/>
      <c r="M298" s="363"/>
      <c r="N298" s="363"/>
      <c r="O298" s="363"/>
      <c r="P298" s="363"/>
      <c r="Q298" s="363"/>
      <c r="R298" s="363"/>
      <c r="S298" s="363"/>
      <c r="T298" s="363"/>
      <c r="U298" s="363"/>
      <c r="V298" s="363"/>
      <c r="W298" s="363"/>
      <c r="X298" s="363"/>
      <c r="Y298" s="363"/>
      <c r="Z298" s="363"/>
      <c r="AA298" s="363"/>
      <c r="AB298" s="363"/>
      <c r="AC298" s="363"/>
      <c r="AD298" s="363"/>
      <c r="AE298" s="363"/>
      <c r="AF298" s="363"/>
      <c r="AG298" s="363"/>
      <c r="AH298" s="363"/>
      <c r="AI298" s="363"/>
      <c r="AJ298" s="363"/>
      <c r="AK298" s="363"/>
      <c r="AL298" s="363"/>
      <c r="AM298" s="363"/>
    </row>
    <row r="299" spans="2:39" ht="12.75" customHeight="1" x14ac:dyDescent="0.2">
      <c r="B299" s="362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63"/>
      <c r="P299" s="363"/>
      <c r="Q299" s="363"/>
      <c r="R299" s="363"/>
      <c r="S299" s="363"/>
      <c r="T299" s="363"/>
      <c r="U299" s="363"/>
      <c r="V299" s="363"/>
      <c r="W299" s="363"/>
      <c r="X299" s="363"/>
      <c r="Y299" s="363"/>
      <c r="Z299" s="363"/>
      <c r="AA299" s="363"/>
      <c r="AB299" s="363"/>
      <c r="AC299" s="363"/>
      <c r="AD299" s="363"/>
      <c r="AE299" s="363"/>
      <c r="AF299" s="363"/>
      <c r="AG299" s="363"/>
      <c r="AH299" s="363"/>
      <c r="AI299" s="363"/>
      <c r="AJ299" s="363"/>
      <c r="AK299" s="363"/>
      <c r="AL299" s="363"/>
      <c r="AM299" s="363"/>
    </row>
    <row r="300" spans="2:39" ht="12.75" customHeight="1" x14ac:dyDescent="0.2">
      <c r="B300" s="362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  <c r="V300" s="363"/>
      <c r="W300" s="363"/>
      <c r="X300" s="363"/>
      <c r="Y300" s="363"/>
      <c r="Z300" s="363"/>
      <c r="AA300" s="363"/>
      <c r="AB300" s="363"/>
      <c r="AC300" s="363"/>
      <c r="AD300" s="363"/>
      <c r="AE300" s="363"/>
      <c r="AF300" s="363"/>
      <c r="AG300" s="363"/>
      <c r="AH300" s="363"/>
      <c r="AI300" s="363"/>
      <c r="AJ300" s="363"/>
      <c r="AK300" s="363"/>
      <c r="AL300" s="363"/>
      <c r="AM300" s="363"/>
    </row>
    <row r="301" spans="2:39" ht="12.75" customHeight="1" x14ac:dyDescent="0.2">
      <c r="B301" s="362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63"/>
      <c r="AB301" s="363"/>
      <c r="AC301" s="363"/>
      <c r="AD301" s="363"/>
      <c r="AE301" s="363"/>
      <c r="AF301" s="363"/>
      <c r="AG301" s="363"/>
      <c r="AH301" s="363"/>
      <c r="AI301" s="363"/>
      <c r="AJ301" s="363"/>
      <c r="AK301" s="363"/>
      <c r="AL301" s="363"/>
      <c r="AM301" s="363"/>
    </row>
    <row r="302" spans="2:39" ht="12.75" customHeight="1" x14ac:dyDescent="0.2">
      <c r="B302" s="362"/>
      <c r="C302" s="363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63"/>
      <c r="P302" s="363"/>
      <c r="Q302" s="363"/>
      <c r="R302" s="363"/>
      <c r="S302" s="363"/>
      <c r="T302" s="363"/>
      <c r="U302" s="363"/>
      <c r="V302" s="363"/>
      <c r="W302" s="363"/>
      <c r="X302" s="363"/>
      <c r="Y302" s="363"/>
      <c r="Z302" s="363"/>
      <c r="AA302" s="363"/>
      <c r="AB302" s="363"/>
      <c r="AC302" s="363"/>
      <c r="AD302" s="363"/>
      <c r="AE302" s="363"/>
      <c r="AF302" s="363"/>
      <c r="AG302" s="363"/>
      <c r="AH302" s="363"/>
      <c r="AI302" s="363"/>
      <c r="AJ302" s="363"/>
      <c r="AK302" s="363"/>
      <c r="AL302" s="363"/>
      <c r="AM302" s="363"/>
    </row>
    <row r="303" spans="2:39" ht="12.75" customHeight="1" x14ac:dyDescent="0.2">
      <c r="B303" s="362"/>
      <c r="C303" s="363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63"/>
      <c r="P303" s="363"/>
      <c r="Q303" s="363"/>
      <c r="R303" s="363"/>
      <c r="S303" s="363"/>
      <c r="T303" s="363"/>
      <c r="U303" s="363"/>
      <c r="V303" s="363"/>
      <c r="W303" s="363"/>
      <c r="X303" s="363"/>
      <c r="Y303" s="363"/>
      <c r="Z303" s="363"/>
      <c r="AA303" s="363"/>
      <c r="AB303" s="363"/>
      <c r="AC303" s="363"/>
      <c r="AD303" s="363"/>
      <c r="AE303" s="363"/>
      <c r="AF303" s="363"/>
      <c r="AG303" s="363"/>
      <c r="AH303" s="363"/>
      <c r="AI303" s="363"/>
      <c r="AJ303" s="363"/>
      <c r="AK303" s="363"/>
      <c r="AL303" s="363"/>
      <c r="AM303" s="363"/>
    </row>
    <row r="304" spans="2:39" ht="12.75" customHeight="1" x14ac:dyDescent="0.2">
      <c r="B304" s="362"/>
      <c r="C304" s="363"/>
      <c r="D304" s="363"/>
      <c r="E304" s="363"/>
      <c r="F304" s="363"/>
      <c r="G304" s="363"/>
      <c r="H304" s="363"/>
      <c r="I304" s="363"/>
      <c r="J304" s="363"/>
      <c r="K304" s="363"/>
      <c r="L304" s="363"/>
      <c r="M304" s="363"/>
      <c r="N304" s="363"/>
      <c r="O304" s="363"/>
      <c r="P304" s="363"/>
      <c r="Q304" s="363"/>
      <c r="R304" s="363"/>
      <c r="S304" s="363"/>
      <c r="T304" s="363"/>
      <c r="U304" s="363"/>
      <c r="V304" s="363"/>
      <c r="W304" s="363"/>
      <c r="X304" s="363"/>
      <c r="Y304" s="363"/>
      <c r="Z304" s="363"/>
      <c r="AA304" s="363"/>
      <c r="AB304" s="363"/>
      <c r="AC304" s="363"/>
      <c r="AD304" s="363"/>
      <c r="AE304" s="363"/>
      <c r="AF304" s="363"/>
      <c r="AG304" s="363"/>
      <c r="AH304" s="363"/>
      <c r="AI304" s="363"/>
      <c r="AJ304" s="363"/>
      <c r="AK304" s="363"/>
      <c r="AL304" s="363"/>
      <c r="AM304" s="363"/>
    </row>
    <row r="305" spans="2:39" ht="12.75" customHeight="1" x14ac:dyDescent="0.2">
      <c r="B305" s="362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63"/>
      <c r="P305" s="363"/>
      <c r="Q305" s="363"/>
      <c r="R305" s="363"/>
      <c r="S305" s="363"/>
      <c r="T305" s="363"/>
      <c r="U305" s="363"/>
      <c r="V305" s="363"/>
      <c r="W305" s="363"/>
      <c r="X305" s="363"/>
      <c r="Y305" s="363"/>
      <c r="Z305" s="363"/>
      <c r="AA305" s="363"/>
      <c r="AB305" s="363"/>
      <c r="AC305" s="363"/>
      <c r="AD305" s="363"/>
      <c r="AE305" s="363"/>
      <c r="AF305" s="363"/>
      <c r="AG305" s="363"/>
      <c r="AH305" s="363"/>
      <c r="AI305" s="363"/>
      <c r="AJ305" s="363"/>
      <c r="AK305" s="363"/>
      <c r="AL305" s="363"/>
      <c r="AM305" s="363"/>
    </row>
    <row r="306" spans="2:39" ht="12.75" customHeight="1" x14ac:dyDescent="0.2">
      <c r="B306" s="362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63"/>
      <c r="P306" s="363"/>
      <c r="Q306" s="363"/>
      <c r="R306" s="363"/>
      <c r="S306" s="363"/>
      <c r="T306" s="363"/>
      <c r="U306" s="363"/>
      <c r="V306" s="363"/>
      <c r="W306" s="363"/>
      <c r="X306" s="363"/>
      <c r="Y306" s="363"/>
      <c r="Z306" s="363"/>
      <c r="AA306" s="363"/>
      <c r="AB306" s="363"/>
      <c r="AC306" s="363"/>
      <c r="AD306" s="363"/>
      <c r="AE306" s="363"/>
      <c r="AF306" s="363"/>
      <c r="AG306" s="363"/>
      <c r="AH306" s="363"/>
      <c r="AI306" s="363"/>
      <c r="AJ306" s="363"/>
      <c r="AK306" s="363"/>
      <c r="AL306" s="363"/>
      <c r="AM306" s="363"/>
    </row>
    <row r="307" spans="2:39" ht="12.75" customHeight="1" x14ac:dyDescent="0.2">
      <c r="B307" s="362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63"/>
      <c r="AB307" s="363"/>
      <c r="AC307" s="363"/>
      <c r="AD307" s="363"/>
      <c r="AE307" s="363"/>
      <c r="AF307" s="363"/>
      <c r="AG307" s="363"/>
      <c r="AH307" s="363"/>
      <c r="AI307" s="363"/>
      <c r="AJ307" s="363"/>
      <c r="AK307" s="363"/>
      <c r="AL307" s="363"/>
      <c r="AM307" s="363"/>
    </row>
    <row r="308" spans="2:39" ht="12.75" customHeight="1" x14ac:dyDescent="0.2">
      <c r="B308" s="362"/>
      <c r="C308" s="363"/>
      <c r="D308" s="363"/>
      <c r="E308" s="363"/>
      <c r="F308" s="363"/>
      <c r="G308" s="363"/>
      <c r="H308" s="363"/>
      <c r="I308" s="363"/>
      <c r="J308" s="363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3"/>
      <c r="W308" s="363"/>
      <c r="X308" s="363"/>
      <c r="Y308" s="363"/>
      <c r="Z308" s="363"/>
      <c r="AA308" s="363"/>
      <c r="AB308" s="363"/>
      <c r="AC308" s="363"/>
      <c r="AD308" s="363"/>
      <c r="AE308" s="363"/>
      <c r="AF308" s="363"/>
      <c r="AG308" s="363"/>
      <c r="AH308" s="363"/>
      <c r="AI308" s="363"/>
      <c r="AJ308" s="363"/>
      <c r="AK308" s="363"/>
      <c r="AL308" s="363"/>
      <c r="AM308" s="363"/>
    </row>
    <row r="309" spans="2:39" ht="12.75" customHeight="1" x14ac:dyDescent="0.2">
      <c r="B309" s="362"/>
      <c r="C309" s="363"/>
      <c r="D309" s="363"/>
      <c r="E309" s="363"/>
      <c r="F309" s="363"/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3"/>
      <c r="W309" s="363"/>
      <c r="X309" s="363"/>
      <c r="Y309" s="363"/>
      <c r="Z309" s="363"/>
      <c r="AA309" s="363"/>
      <c r="AB309" s="363"/>
      <c r="AC309" s="363"/>
      <c r="AD309" s="363"/>
      <c r="AE309" s="363"/>
      <c r="AF309" s="363"/>
      <c r="AG309" s="363"/>
      <c r="AH309" s="363"/>
      <c r="AI309" s="363"/>
      <c r="AJ309" s="363"/>
      <c r="AK309" s="363"/>
      <c r="AL309" s="363"/>
      <c r="AM309" s="363"/>
    </row>
    <row r="310" spans="2:39" ht="12.75" customHeight="1" x14ac:dyDescent="0.2">
      <c r="B310" s="362"/>
      <c r="C310" s="363"/>
      <c r="D310" s="363"/>
      <c r="E310" s="363"/>
      <c r="F310" s="363"/>
      <c r="G310" s="363"/>
      <c r="H310" s="363"/>
      <c r="I310" s="363"/>
      <c r="J310" s="363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  <c r="AE310" s="363"/>
      <c r="AF310" s="363"/>
      <c r="AG310" s="363"/>
      <c r="AH310" s="363"/>
      <c r="AI310" s="363"/>
      <c r="AJ310" s="363"/>
      <c r="AK310" s="363"/>
      <c r="AL310" s="363"/>
      <c r="AM310" s="363"/>
    </row>
    <row r="311" spans="2:39" ht="12.75" customHeight="1" x14ac:dyDescent="0.2">
      <c r="B311" s="362"/>
      <c r="C311" s="363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  <c r="AA311" s="363"/>
      <c r="AB311" s="363"/>
      <c r="AC311" s="363"/>
      <c r="AD311" s="363"/>
      <c r="AE311" s="363"/>
      <c r="AF311" s="363"/>
      <c r="AG311" s="363"/>
      <c r="AH311" s="363"/>
      <c r="AI311" s="363"/>
      <c r="AJ311" s="363"/>
      <c r="AK311" s="363"/>
      <c r="AL311" s="363"/>
      <c r="AM311" s="363"/>
    </row>
    <row r="312" spans="2:39" ht="12.75" customHeight="1" x14ac:dyDescent="0.2">
      <c r="B312" s="362"/>
      <c r="C312" s="363"/>
      <c r="D312" s="363"/>
      <c r="E312" s="363"/>
      <c r="F312" s="363"/>
      <c r="G312" s="363"/>
      <c r="H312" s="363"/>
      <c r="I312" s="363"/>
      <c r="J312" s="363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3"/>
      <c r="W312" s="363"/>
      <c r="X312" s="363"/>
      <c r="Y312" s="363"/>
      <c r="Z312" s="363"/>
      <c r="AA312" s="363"/>
      <c r="AB312" s="363"/>
      <c r="AC312" s="363"/>
      <c r="AD312" s="363"/>
      <c r="AE312" s="363"/>
      <c r="AF312" s="363"/>
      <c r="AG312" s="363"/>
      <c r="AH312" s="363"/>
      <c r="AI312" s="363"/>
      <c r="AJ312" s="363"/>
      <c r="AK312" s="363"/>
      <c r="AL312" s="363"/>
      <c r="AM312" s="363"/>
    </row>
    <row r="313" spans="2:39" ht="12.75" customHeight="1" x14ac:dyDescent="0.2">
      <c r="B313" s="362"/>
      <c r="C313" s="363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3"/>
      <c r="W313" s="363"/>
      <c r="X313" s="363"/>
      <c r="Y313" s="363"/>
      <c r="Z313" s="363"/>
      <c r="AA313" s="363"/>
      <c r="AB313" s="363"/>
      <c r="AC313" s="363"/>
      <c r="AD313" s="363"/>
      <c r="AE313" s="363"/>
      <c r="AF313" s="363"/>
      <c r="AG313" s="363"/>
      <c r="AH313" s="363"/>
      <c r="AI313" s="363"/>
      <c r="AJ313" s="363"/>
      <c r="AK313" s="363"/>
      <c r="AL313" s="363"/>
      <c r="AM313" s="363"/>
    </row>
    <row r="314" spans="2:39" ht="12.75" customHeight="1" x14ac:dyDescent="0.2">
      <c r="B314" s="362"/>
      <c r="C314" s="363"/>
      <c r="D314" s="363"/>
      <c r="E314" s="363"/>
      <c r="F314" s="363"/>
      <c r="G314" s="363"/>
      <c r="H314" s="363"/>
      <c r="I314" s="363"/>
      <c r="J314" s="363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3"/>
      <c r="W314" s="363"/>
      <c r="X314" s="363"/>
      <c r="Y314" s="363"/>
      <c r="Z314" s="363"/>
      <c r="AA314" s="363"/>
      <c r="AB314" s="363"/>
      <c r="AC314" s="363"/>
      <c r="AD314" s="363"/>
      <c r="AE314" s="363"/>
      <c r="AF314" s="363"/>
      <c r="AG314" s="363"/>
      <c r="AH314" s="363"/>
      <c r="AI314" s="363"/>
      <c r="AJ314" s="363"/>
      <c r="AK314" s="363"/>
      <c r="AL314" s="363"/>
      <c r="AM314" s="363"/>
    </row>
    <row r="315" spans="2:39" ht="12.75" customHeight="1" x14ac:dyDescent="0.2">
      <c r="B315" s="362"/>
      <c r="C315" s="363"/>
      <c r="D315" s="363"/>
      <c r="E315" s="363"/>
      <c r="F315" s="363"/>
      <c r="G315" s="363"/>
      <c r="H315" s="363"/>
      <c r="I315" s="363"/>
      <c r="J315" s="363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3"/>
      <c r="W315" s="363"/>
      <c r="X315" s="363"/>
      <c r="Y315" s="363"/>
      <c r="Z315" s="363"/>
      <c r="AA315" s="363"/>
      <c r="AB315" s="363"/>
      <c r="AC315" s="363"/>
      <c r="AD315" s="363"/>
      <c r="AE315" s="363"/>
      <c r="AF315" s="363"/>
      <c r="AG315" s="363"/>
      <c r="AH315" s="363"/>
      <c r="AI315" s="363"/>
      <c r="AJ315" s="363"/>
      <c r="AK315" s="363"/>
      <c r="AL315" s="363"/>
      <c r="AM315" s="363"/>
    </row>
    <row r="316" spans="2:39" ht="12.75" customHeight="1" x14ac:dyDescent="0.2">
      <c r="B316" s="362"/>
      <c r="C316" s="363"/>
      <c r="D316" s="363"/>
      <c r="E316" s="363"/>
      <c r="F316" s="363"/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  <c r="AE316" s="363"/>
      <c r="AF316" s="363"/>
      <c r="AG316" s="363"/>
      <c r="AH316" s="363"/>
      <c r="AI316" s="363"/>
      <c r="AJ316" s="363"/>
      <c r="AK316" s="363"/>
      <c r="AL316" s="363"/>
      <c r="AM316" s="363"/>
    </row>
    <row r="317" spans="2:39" ht="12.75" customHeight="1" x14ac:dyDescent="0.2">
      <c r="B317" s="362"/>
      <c r="C317" s="363"/>
      <c r="D317" s="363"/>
      <c r="E317" s="363"/>
      <c r="F317" s="363"/>
      <c r="G317" s="363"/>
      <c r="H317" s="363"/>
      <c r="I317" s="363"/>
      <c r="J317" s="363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3"/>
      <c r="W317" s="363"/>
      <c r="X317" s="363"/>
      <c r="Y317" s="363"/>
      <c r="Z317" s="363"/>
      <c r="AA317" s="363"/>
      <c r="AB317" s="363"/>
      <c r="AC317" s="363"/>
      <c r="AD317" s="363"/>
      <c r="AE317" s="363"/>
      <c r="AF317" s="363"/>
      <c r="AG317" s="363"/>
      <c r="AH317" s="363"/>
      <c r="AI317" s="363"/>
      <c r="AJ317" s="363"/>
      <c r="AK317" s="363"/>
      <c r="AL317" s="363"/>
      <c r="AM317" s="363"/>
    </row>
    <row r="318" spans="2:39" ht="12.75" customHeight="1" x14ac:dyDescent="0.2">
      <c r="B318" s="362"/>
      <c r="C318" s="363"/>
      <c r="D318" s="363"/>
      <c r="E318" s="363"/>
      <c r="F318" s="363"/>
      <c r="G318" s="363"/>
      <c r="H318" s="363"/>
      <c r="I318" s="363"/>
      <c r="J318" s="363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  <c r="AB318" s="363"/>
      <c r="AC318" s="363"/>
      <c r="AD318" s="363"/>
      <c r="AE318" s="363"/>
      <c r="AF318" s="363"/>
      <c r="AG318" s="363"/>
      <c r="AH318" s="363"/>
      <c r="AI318" s="363"/>
      <c r="AJ318" s="363"/>
      <c r="AK318" s="363"/>
      <c r="AL318" s="363"/>
      <c r="AM318" s="363"/>
    </row>
    <row r="319" spans="2:39" ht="12.75" customHeight="1" x14ac:dyDescent="0.2">
      <c r="B319" s="362"/>
      <c r="C319" s="363"/>
      <c r="D319" s="363"/>
      <c r="E319" s="363"/>
      <c r="F319" s="363"/>
      <c r="G319" s="363"/>
      <c r="H319" s="363"/>
      <c r="I319" s="363"/>
      <c r="J319" s="363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3"/>
      <c r="W319" s="363"/>
      <c r="X319" s="363"/>
      <c r="Y319" s="363"/>
      <c r="Z319" s="363"/>
      <c r="AA319" s="363"/>
      <c r="AB319" s="363"/>
      <c r="AC319" s="363"/>
      <c r="AD319" s="363"/>
      <c r="AE319" s="363"/>
      <c r="AF319" s="363"/>
      <c r="AG319" s="363"/>
      <c r="AH319" s="363"/>
      <c r="AI319" s="363"/>
      <c r="AJ319" s="363"/>
      <c r="AK319" s="363"/>
      <c r="AL319" s="363"/>
      <c r="AM319" s="363"/>
    </row>
    <row r="320" spans="2:39" ht="12.75" customHeight="1" x14ac:dyDescent="0.2">
      <c r="B320" s="362"/>
      <c r="C320" s="363"/>
      <c r="D320" s="363"/>
      <c r="E320" s="363"/>
      <c r="F320" s="363"/>
      <c r="G320" s="363"/>
      <c r="H320" s="363"/>
      <c r="I320" s="363"/>
      <c r="J320" s="363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3"/>
      <c r="W320" s="363"/>
      <c r="X320" s="363"/>
      <c r="Y320" s="363"/>
      <c r="Z320" s="363"/>
      <c r="AA320" s="363"/>
      <c r="AB320" s="363"/>
      <c r="AC320" s="363"/>
      <c r="AD320" s="363"/>
      <c r="AE320" s="363"/>
      <c r="AF320" s="363"/>
      <c r="AG320" s="363"/>
      <c r="AH320" s="363"/>
      <c r="AI320" s="363"/>
      <c r="AJ320" s="363"/>
      <c r="AK320" s="363"/>
      <c r="AL320" s="363"/>
      <c r="AM320" s="363"/>
    </row>
    <row r="321" spans="2:39" ht="12.75" customHeight="1" x14ac:dyDescent="0.2">
      <c r="B321" s="362"/>
      <c r="C321" s="363"/>
      <c r="D321" s="363"/>
      <c r="E321" s="363"/>
      <c r="F321" s="363"/>
      <c r="G321" s="363"/>
      <c r="H321" s="363"/>
      <c r="I321" s="363"/>
      <c r="J321" s="363"/>
      <c r="K321" s="363"/>
      <c r="L321" s="363"/>
      <c r="M321" s="363"/>
      <c r="N321" s="363"/>
      <c r="O321" s="363"/>
      <c r="P321" s="363"/>
      <c r="Q321" s="363"/>
      <c r="R321" s="363"/>
      <c r="S321" s="363"/>
      <c r="T321" s="363"/>
      <c r="U321" s="363"/>
      <c r="V321" s="363"/>
      <c r="W321" s="363"/>
      <c r="X321" s="363"/>
      <c r="Y321" s="363"/>
      <c r="Z321" s="363"/>
      <c r="AA321" s="363"/>
      <c r="AB321" s="363"/>
      <c r="AC321" s="363"/>
      <c r="AD321" s="363"/>
      <c r="AE321" s="363"/>
      <c r="AF321" s="363"/>
      <c r="AG321" s="363"/>
      <c r="AH321" s="363"/>
      <c r="AI321" s="363"/>
      <c r="AJ321" s="363"/>
      <c r="AK321" s="363"/>
      <c r="AL321" s="363"/>
      <c r="AM321" s="363"/>
    </row>
    <row r="322" spans="2:39" ht="12.75" customHeight="1" x14ac:dyDescent="0.2">
      <c r="B322" s="362"/>
      <c r="C322" s="363"/>
      <c r="D322" s="363"/>
      <c r="E322" s="363"/>
      <c r="F322" s="363"/>
      <c r="G322" s="363"/>
      <c r="H322" s="363"/>
      <c r="I322" s="363"/>
      <c r="J322" s="363"/>
      <c r="K322" s="363"/>
      <c r="L322" s="363"/>
      <c r="M322" s="363"/>
      <c r="N322" s="363"/>
      <c r="O322" s="363"/>
      <c r="P322" s="363"/>
      <c r="Q322" s="363"/>
      <c r="R322" s="363"/>
      <c r="S322" s="363"/>
      <c r="T322" s="363"/>
      <c r="U322" s="363"/>
      <c r="V322" s="363"/>
      <c r="W322" s="363"/>
      <c r="X322" s="363"/>
      <c r="Y322" s="363"/>
      <c r="Z322" s="363"/>
      <c r="AA322" s="363"/>
      <c r="AB322" s="363"/>
      <c r="AC322" s="363"/>
      <c r="AD322" s="363"/>
      <c r="AE322" s="363"/>
      <c r="AF322" s="363"/>
      <c r="AG322" s="363"/>
      <c r="AH322" s="363"/>
      <c r="AI322" s="363"/>
      <c r="AJ322" s="363"/>
      <c r="AK322" s="363"/>
      <c r="AL322" s="363"/>
      <c r="AM322" s="363"/>
    </row>
    <row r="323" spans="2:39" ht="12.75" customHeight="1" x14ac:dyDescent="0.2">
      <c r="B323" s="362"/>
      <c r="C323" s="363"/>
      <c r="D323" s="363"/>
      <c r="E323" s="363"/>
      <c r="F323" s="363"/>
      <c r="G323" s="363"/>
      <c r="H323" s="363"/>
      <c r="I323" s="363"/>
      <c r="J323" s="363"/>
      <c r="K323" s="363"/>
      <c r="L323" s="363"/>
      <c r="M323" s="363"/>
      <c r="N323" s="363"/>
      <c r="O323" s="363"/>
      <c r="P323" s="363"/>
      <c r="Q323" s="363"/>
      <c r="R323" s="363"/>
      <c r="S323" s="363"/>
      <c r="T323" s="363"/>
      <c r="U323" s="363"/>
      <c r="V323" s="363"/>
      <c r="W323" s="363"/>
      <c r="X323" s="363"/>
      <c r="Y323" s="363"/>
      <c r="Z323" s="363"/>
      <c r="AA323" s="363"/>
      <c r="AB323" s="363"/>
      <c r="AC323" s="363"/>
      <c r="AD323" s="363"/>
      <c r="AE323" s="363"/>
      <c r="AF323" s="363"/>
      <c r="AG323" s="363"/>
      <c r="AH323" s="363"/>
      <c r="AI323" s="363"/>
      <c r="AJ323" s="363"/>
      <c r="AK323" s="363"/>
      <c r="AL323" s="363"/>
      <c r="AM323" s="363"/>
    </row>
    <row r="324" spans="2:39" ht="12.75" customHeight="1" x14ac:dyDescent="0.2">
      <c r="B324" s="362"/>
      <c r="C324" s="363"/>
      <c r="D324" s="363"/>
      <c r="E324" s="363"/>
      <c r="F324" s="363"/>
      <c r="G324" s="363"/>
      <c r="H324" s="363"/>
      <c r="I324" s="363"/>
      <c r="J324" s="363"/>
      <c r="K324" s="363"/>
      <c r="L324" s="363"/>
      <c r="M324" s="363"/>
      <c r="N324" s="363"/>
      <c r="O324" s="363"/>
      <c r="P324" s="363"/>
      <c r="Q324" s="363"/>
      <c r="R324" s="363"/>
      <c r="S324" s="363"/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/>
      <c r="AD324" s="363"/>
      <c r="AE324" s="363"/>
      <c r="AF324" s="363"/>
      <c r="AG324" s="363"/>
      <c r="AH324" s="363"/>
      <c r="AI324" s="363"/>
      <c r="AJ324" s="363"/>
      <c r="AK324" s="363"/>
      <c r="AL324" s="363"/>
      <c r="AM324" s="363"/>
    </row>
    <row r="325" spans="2:39" ht="12.75" customHeight="1" x14ac:dyDescent="0.2">
      <c r="B325" s="362"/>
      <c r="C325" s="363"/>
      <c r="D325" s="363"/>
      <c r="E325" s="363"/>
      <c r="F325" s="363"/>
      <c r="G325" s="363"/>
      <c r="H325" s="363"/>
      <c r="I325" s="363"/>
      <c r="J325" s="363"/>
      <c r="K325" s="363"/>
      <c r="L325" s="363"/>
      <c r="M325" s="363"/>
      <c r="N325" s="363"/>
      <c r="O325" s="363"/>
      <c r="P325" s="363"/>
      <c r="Q325" s="363"/>
      <c r="R325" s="363"/>
      <c r="S325" s="363"/>
      <c r="T325" s="363"/>
      <c r="U325" s="363"/>
      <c r="V325" s="363"/>
      <c r="W325" s="363"/>
      <c r="X325" s="363"/>
      <c r="Y325" s="363"/>
      <c r="Z325" s="363"/>
      <c r="AA325" s="363"/>
      <c r="AB325" s="363"/>
      <c r="AC325" s="363"/>
      <c r="AD325" s="363"/>
      <c r="AE325" s="363"/>
      <c r="AF325" s="363"/>
      <c r="AG325" s="363"/>
      <c r="AH325" s="363"/>
      <c r="AI325" s="363"/>
      <c r="AJ325" s="363"/>
      <c r="AK325" s="363"/>
      <c r="AL325" s="363"/>
      <c r="AM325" s="363"/>
    </row>
    <row r="326" spans="2:39" ht="12.75" customHeight="1" x14ac:dyDescent="0.2">
      <c r="B326" s="362"/>
      <c r="C326" s="363"/>
      <c r="D326" s="363"/>
      <c r="E326" s="363"/>
      <c r="F326" s="363"/>
      <c r="G326" s="363"/>
      <c r="H326" s="363"/>
      <c r="I326" s="363"/>
      <c r="J326" s="363"/>
      <c r="K326" s="363"/>
      <c r="L326" s="363"/>
      <c r="M326" s="363"/>
      <c r="N326" s="363"/>
      <c r="O326" s="363"/>
      <c r="P326" s="363"/>
      <c r="Q326" s="363"/>
      <c r="R326" s="363"/>
      <c r="S326" s="363"/>
      <c r="T326" s="363"/>
      <c r="U326" s="363"/>
      <c r="V326" s="363"/>
      <c r="W326" s="363"/>
      <c r="X326" s="363"/>
      <c r="Y326" s="363"/>
      <c r="Z326" s="363"/>
      <c r="AA326" s="363"/>
      <c r="AB326" s="363"/>
      <c r="AC326" s="363"/>
      <c r="AD326" s="363"/>
      <c r="AE326" s="363"/>
      <c r="AF326" s="363"/>
      <c r="AG326" s="363"/>
      <c r="AH326" s="363"/>
      <c r="AI326" s="363"/>
      <c r="AJ326" s="363"/>
      <c r="AK326" s="363"/>
      <c r="AL326" s="363"/>
      <c r="AM326" s="363"/>
    </row>
    <row r="327" spans="2:39" ht="12.75" customHeight="1" x14ac:dyDescent="0.2">
      <c r="B327" s="362"/>
      <c r="C327" s="363"/>
      <c r="D327" s="363"/>
      <c r="E327" s="363"/>
      <c r="F327" s="363"/>
      <c r="G327" s="363"/>
      <c r="H327" s="363"/>
      <c r="I327" s="363"/>
      <c r="J327" s="363"/>
      <c r="K327" s="363"/>
      <c r="L327" s="363"/>
      <c r="M327" s="363"/>
      <c r="N327" s="363"/>
      <c r="O327" s="363"/>
      <c r="P327" s="363"/>
      <c r="Q327" s="363"/>
      <c r="R327" s="363"/>
      <c r="S327" s="363"/>
      <c r="T327" s="363"/>
      <c r="U327" s="363"/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/>
      <c r="AF327" s="363"/>
      <c r="AG327" s="363"/>
      <c r="AH327" s="363"/>
      <c r="AI327" s="363"/>
      <c r="AJ327" s="363"/>
      <c r="AK327" s="363"/>
      <c r="AL327" s="363"/>
      <c r="AM327" s="363"/>
    </row>
    <row r="328" spans="2:39" ht="12.75" customHeight="1" x14ac:dyDescent="0.2">
      <c r="B328" s="362"/>
      <c r="C328" s="363"/>
      <c r="D328" s="363"/>
      <c r="E328" s="363"/>
      <c r="F328" s="363"/>
      <c r="G328" s="363"/>
      <c r="H328" s="363"/>
      <c r="I328" s="363"/>
      <c r="J328" s="363"/>
      <c r="K328" s="363"/>
      <c r="L328" s="363"/>
      <c r="M328" s="363"/>
      <c r="N328" s="363"/>
      <c r="O328" s="363"/>
      <c r="P328" s="363"/>
      <c r="Q328" s="363"/>
      <c r="R328" s="363"/>
      <c r="S328" s="363"/>
      <c r="T328" s="363"/>
      <c r="U328" s="363"/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/>
      <c r="AF328" s="363"/>
      <c r="AG328" s="363"/>
      <c r="AH328" s="363"/>
      <c r="AI328" s="363"/>
      <c r="AJ328" s="363"/>
      <c r="AK328" s="363"/>
      <c r="AL328" s="363"/>
      <c r="AM328" s="363"/>
    </row>
    <row r="329" spans="2:39" ht="12.75" customHeight="1" x14ac:dyDescent="0.2">
      <c r="B329" s="362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63"/>
      <c r="P329" s="363"/>
      <c r="Q329" s="363"/>
      <c r="R329" s="363"/>
      <c r="S329" s="363"/>
      <c r="T329" s="363"/>
      <c r="U329" s="363"/>
      <c r="V329" s="363"/>
      <c r="W329" s="363"/>
      <c r="X329" s="363"/>
      <c r="Y329" s="363"/>
      <c r="Z329" s="363"/>
      <c r="AA329" s="363"/>
      <c r="AB329" s="363"/>
      <c r="AC329" s="363"/>
      <c r="AD329" s="363"/>
      <c r="AE329" s="363"/>
      <c r="AF329" s="363"/>
      <c r="AG329" s="363"/>
      <c r="AH329" s="363"/>
      <c r="AI329" s="363"/>
      <c r="AJ329" s="363"/>
      <c r="AK329" s="363"/>
      <c r="AL329" s="363"/>
      <c r="AM329" s="363"/>
    </row>
    <row r="330" spans="2:39" ht="12.75" customHeight="1" x14ac:dyDescent="0.2">
      <c r="B330" s="362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63"/>
      <c r="P330" s="363"/>
      <c r="Q330" s="363"/>
      <c r="R330" s="363"/>
      <c r="S330" s="363"/>
      <c r="T330" s="363"/>
      <c r="U330" s="363"/>
      <c r="V330" s="363"/>
      <c r="W330" s="363"/>
      <c r="X330" s="363"/>
      <c r="Y330" s="363"/>
      <c r="Z330" s="363"/>
      <c r="AA330" s="363"/>
      <c r="AB330" s="363"/>
      <c r="AC330" s="363"/>
      <c r="AD330" s="363"/>
      <c r="AE330" s="363"/>
      <c r="AF330" s="363"/>
      <c r="AG330" s="363"/>
      <c r="AH330" s="363"/>
      <c r="AI330" s="363"/>
      <c r="AJ330" s="363"/>
      <c r="AK330" s="363"/>
      <c r="AL330" s="363"/>
      <c r="AM330" s="363"/>
    </row>
    <row r="331" spans="2:39" ht="12.75" customHeight="1" x14ac:dyDescent="0.2">
      <c r="B331" s="362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63"/>
      <c r="AB331" s="363"/>
      <c r="AC331" s="363"/>
      <c r="AD331" s="363"/>
      <c r="AE331" s="363"/>
      <c r="AF331" s="363"/>
      <c r="AG331" s="363"/>
      <c r="AH331" s="363"/>
      <c r="AI331" s="363"/>
      <c r="AJ331" s="363"/>
      <c r="AK331" s="363"/>
      <c r="AL331" s="363"/>
      <c r="AM331" s="363"/>
    </row>
    <row r="332" spans="2:39" ht="12.75" customHeight="1" x14ac:dyDescent="0.2">
      <c r="B332" s="362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63"/>
      <c r="AB332" s="363"/>
      <c r="AC332" s="363"/>
      <c r="AD332" s="363"/>
      <c r="AE332" s="363"/>
      <c r="AF332" s="363"/>
      <c r="AG332" s="363"/>
      <c r="AH332" s="363"/>
      <c r="AI332" s="363"/>
      <c r="AJ332" s="363"/>
      <c r="AK332" s="363"/>
      <c r="AL332" s="363"/>
      <c r="AM332" s="363"/>
    </row>
    <row r="333" spans="2:39" ht="12.75" customHeight="1" x14ac:dyDescent="0.2">
      <c r="B333" s="362"/>
      <c r="C333" s="363"/>
      <c r="D333" s="363"/>
      <c r="E333" s="363"/>
      <c r="F333" s="363"/>
      <c r="G333" s="363"/>
      <c r="H333" s="363"/>
      <c r="I333" s="363"/>
      <c r="J333" s="363"/>
      <c r="K333" s="363"/>
      <c r="L333" s="363"/>
      <c r="M333" s="363"/>
      <c r="N333" s="363"/>
      <c r="O333" s="363"/>
      <c r="P333" s="363"/>
      <c r="Q333" s="363"/>
      <c r="R333" s="363"/>
      <c r="S333" s="363"/>
      <c r="T333" s="363"/>
      <c r="U333" s="363"/>
      <c r="V333" s="363"/>
      <c r="W333" s="363"/>
      <c r="X333" s="363"/>
      <c r="Y333" s="363"/>
      <c r="Z333" s="363"/>
      <c r="AA333" s="363"/>
      <c r="AB333" s="363"/>
      <c r="AC333" s="363"/>
      <c r="AD333" s="363"/>
      <c r="AE333" s="363"/>
      <c r="AF333" s="363"/>
      <c r="AG333" s="363"/>
      <c r="AH333" s="363"/>
      <c r="AI333" s="363"/>
      <c r="AJ333" s="363"/>
      <c r="AK333" s="363"/>
      <c r="AL333" s="363"/>
      <c r="AM333" s="363"/>
    </row>
    <row r="334" spans="2:39" ht="12.75" customHeight="1" x14ac:dyDescent="0.2">
      <c r="B334" s="362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63"/>
      <c r="P334" s="363"/>
      <c r="Q334" s="363"/>
      <c r="R334" s="363"/>
      <c r="S334" s="363"/>
      <c r="T334" s="363"/>
      <c r="U334" s="363"/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/>
      <c r="AF334" s="363"/>
      <c r="AG334" s="363"/>
      <c r="AH334" s="363"/>
      <c r="AI334" s="363"/>
      <c r="AJ334" s="363"/>
      <c r="AK334" s="363"/>
      <c r="AL334" s="363"/>
      <c r="AM334" s="363"/>
    </row>
    <row r="335" spans="2:39" ht="12.75" customHeight="1" x14ac:dyDescent="0.2">
      <c r="B335" s="362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63"/>
      <c r="P335" s="363"/>
      <c r="Q335" s="363"/>
      <c r="R335" s="363"/>
      <c r="S335" s="363"/>
      <c r="T335" s="363"/>
      <c r="U335" s="363"/>
      <c r="V335" s="363"/>
      <c r="W335" s="363"/>
      <c r="X335" s="363"/>
      <c r="Y335" s="363"/>
      <c r="Z335" s="363"/>
      <c r="AA335" s="363"/>
      <c r="AB335" s="363"/>
      <c r="AC335" s="363"/>
      <c r="AD335" s="363"/>
      <c r="AE335" s="363"/>
      <c r="AF335" s="363"/>
      <c r="AG335" s="363"/>
      <c r="AH335" s="363"/>
      <c r="AI335" s="363"/>
      <c r="AJ335" s="363"/>
      <c r="AK335" s="363"/>
      <c r="AL335" s="363"/>
      <c r="AM335" s="363"/>
    </row>
    <row r="336" spans="2:39" ht="12.75" customHeight="1" x14ac:dyDescent="0.2">
      <c r="B336" s="362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363"/>
      <c r="P336" s="363"/>
      <c r="Q336" s="363"/>
      <c r="R336" s="363"/>
      <c r="S336" s="363"/>
      <c r="T336" s="363"/>
      <c r="U336" s="363"/>
      <c r="V336" s="363"/>
      <c r="W336" s="363"/>
      <c r="X336" s="363"/>
      <c r="Y336" s="363"/>
      <c r="Z336" s="363"/>
      <c r="AA336" s="363"/>
      <c r="AB336" s="363"/>
      <c r="AC336" s="363"/>
      <c r="AD336" s="363"/>
      <c r="AE336" s="363"/>
      <c r="AF336" s="363"/>
      <c r="AG336" s="363"/>
      <c r="AH336" s="363"/>
      <c r="AI336" s="363"/>
      <c r="AJ336" s="363"/>
      <c r="AK336" s="363"/>
      <c r="AL336" s="363"/>
      <c r="AM336" s="363"/>
    </row>
    <row r="337" spans="2:39" ht="12.75" customHeight="1" x14ac:dyDescent="0.2">
      <c r="B337" s="362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363"/>
      <c r="P337" s="363"/>
      <c r="Q337" s="363"/>
      <c r="R337" s="363"/>
      <c r="S337" s="363"/>
      <c r="T337" s="363"/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/>
      <c r="AF337" s="363"/>
      <c r="AG337" s="363"/>
      <c r="AH337" s="363"/>
      <c r="AI337" s="363"/>
      <c r="AJ337" s="363"/>
      <c r="AK337" s="363"/>
      <c r="AL337" s="363"/>
      <c r="AM337" s="363"/>
    </row>
    <row r="338" spans="2:39" ht="12.75" customHeight="1" x14ac:dyDescent="0.2">
      <c r="B338" s="362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363"/>
      <c r="P338" s="363"/>
      <c r="Q338" s="363"/>
      <c r="R338" s="363"/>
      <c r="S338" s="363"/>
      <c r="T338" s="363"/>
      <c r="U338" s="363"/>
      <c r="V338" s="363"/>
      <c r="W338" s="363"/>
      <c r="X338" s="363"/>
      <c r="Y338" s="363"/>
      <c r="Z338" s="363"/>
      <c r="AA338" s="363"/>
      <c r="AB338" s="363"/>
      <c r="AC338" s="363"/>
      <c r="AD338" s="363"/>
      <c r="AE338" s="363"/>
      <c r="AF338" s="363"/>
      <c r="AG338" s="363"/>
      <c r="AH338" s="363"/>
      <c r="AI338" s="363"/>
      <c r="AJ338" s="363"/>
      <c r="AK338" s="363"/>
      <c r="AL338" s="363"/>
      <c r="AM338" s="363"/>
    </row>
    <row r="339" spans="2:39" ht="12.75" customHeight="1" x14ac:dyDescent="0.2">
      <c r="B339" s="362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363"/>
      <c r="P339" s="363"/>
      <c r="Q339" s="363"/>
      <c r="R339" s="363"/>
      <c r="S339" s="363"/>
      <c r="T339" s="363"/>
      <c r="U339" s="363"/>
      <c r="V339" s="363"/>
      <c r="W339" s="363"/>
      <c r="X339" s="363"/>
      <c r="Y339" s="363"/>
      <c r="Z339" s="363"/>
      <c r="AA339" s="363"/>
      <c r="AB339" s="363"/>
      <c r="AC339" s="363"/>
      <c r="AD339" s="363"/>
      <c r="AE339" s="363"/>
      <c r="AF339" s="363"/>
      <c r="AG339" s="363"/>
      <c r="AH339" s="363"/>
      <c r="AI339" s="363"/>
      <c r="AJ339" s="363"/>
      <c r="AK339" s="363"/>
      <c r="AL339" s="363"/>
      <c r="AM339" s="363"/>
    </row>
    <row r="340" spans="2:39" ht="12.75" customHeight="1" x14ac:dyDescent="0.2">
      <c r="B340" s="362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363"/>
      <c r="P340" s="363"/>
      <c r="Q340" s="363"/>
      <c r="R340" s="363"/>
      <c r="S340" s="363"/>
      <c r="T340" s="363"/>
      <c r="U340" s="363"/>
      <c r="V340" s="363"/>
      <c r="W340" s="363"/>
      <c r="X340" s="363"/>
      <c r="Y340" s="363"/>
      <c r="Z340" s="363"/>
      <c r="AA340" s="363"/>
      <c r="AB340" s="363"/>
      <c r="AC340" s="363"/>
      <c r="AD340" s="363"/>
      <c r="AE340" s="363"/>
      <c r="AF340" s="363"/>
      <c r="AG340" s="363"/>
      <c r="AH340" s="363"/>
      <c r="AI340" s="363"/>
      <c r="AJ340" s="363"/>
      <c r="AK340" s="363"/>
      <c r="AL340" s="363"/>
      <c r="AM340" s="363"/>
    </row>
    <row r="341" spans="2:39" ht="12.75" customHeight="1" x14ac:dyDescent="0.2">
      <c r="B341" s="362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363"/>
      <c r="P341" s="363"/>
      <c r="Q341" s="363"/>
      <c r="R341" s="363"/>
      <c r="S341" s="363"/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/>
      <c r="AF341" s="363"/>
      <c r="AG341" s="363"/>
      <c r="AH341" s="363"/>
      <c r="AI341" s="363"/>
      <c r="AJ341" s="363"/>
      <c r="AK341" s="363"/>
      <c r="AL341" s="363"/>
      <c r="AM341" s="363"/>
    </row>
    <row r="342" spans="2:39" ht="12.75" customHeight="1" x14ac:dyDescent="0.2">
      <c r="B342" s="362"/>
      <c r="C342" s="363"/>
      <c r="D342" s="363"/>
      <c r="E342" s="363"/>
      <c r="F342" s="363"/>
      <c r="G342" s="363"/>
      <c r="H342" s="363"/>
      <c r="I342" s="363"/>
      <c r="J342" s="363"/>
      <c r="K342" s="363"/>
      <c r="L342" s="363"/>
      <c r="M342" s="363"/>
      <c r="N342" s="363"/>
      <c r="O342" s="363"/>
      <c r="P342" s="363"/>
      <c r="Q342" s="363"/>
      <c r="R342" s="363"/>
      <c r="S342" s="363"/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/>
      <c r="AF342" s="363"/>
      <c r="AG342" s="363"/>
      <c r="AH342" s="363"/>
      <c r="AI342" s="363"/>
      <c r="AJ342" s="363"/>
      <c r="AK342" s="363"/>
      <c r="AL342" s="363"/>
      <c r="AM342" s="363"/>
    </row>
    <row r="343" spans="2:39" ht="12.75" customHeight="1" x14ac:dyDescent="0.2">
      <c r="B343" s="362"/>
      <c r="C343" s="363"/>
      <c r="D343" s="363"/>
      <c r="E343" s="363"/>
      <c r="F343" s="363"/>
      <c r="G343" s="363"/>
      <c r="H343" s="363"/>
      <c r="I343" s="363"/>
      <c r="J343" s="363"/>
      <c r="K343" s="363"/>
      <c r="L343" s="363"/>
      <c r="M343" s="363"/>
      <c r="N343" s="363"/>
      <c r="O343" s="363"/>
      <c r="P343" s="363"/>
      <c r="Q343" s="363"/>
      <c r="R343" s="363"/>
      <c r="S343" s="363"/>
      <c r="T343" s="363"/>
      <c r="U343" s="363"/>
      <c r="V343" s="363"/>
      <c r="W343" s="363"/>
      <c r="X343" s="363"/>
      <c r="Y343" s="363"/>
      <c r="Z343" s="363"/>
      <c r="AA343" s="363"/>
      <c r="AB343" s="363"/>
      <c r="AC343" s="363"/>
      <c r="AD343" s="363"/>
      <c r="AE343" s="363"/>
      <c r="AF343" s="363"/>
      <c r="AG343" s="363"/>
      <c r="AH343" s="363"/>
      <c r="AI343" s="363"/>
      <c r="AJ343" s="363"/>
      <c r="AK343" s="363"/>
      <c r="AL343" s="363"/>
      <c r="AM343" s="363"/>
    </row>
    <row r="344" spans="2:39" ht="12.75" customHeight="1" x14ac:dyDescent="0.2">
      <c r="B344" s="362"/>
      <c r="C344" s="363"/>
      <c r="D344" s="363"/>
      <c r="E344" s="363"/>
      <c r="F344" s="363"/>
      <c r="G344" s="363"/>
      <c r="H344" s="363"/>
      <c r="I344" s="363"/>
      <c r="J344" s="363"/>
      <c r="K344" s="363"/>
      <c r="L344" s="363"/>
      <c r="M344" s="363"/>
      <c r="N344" s="363"/>
      <c r="O344" s="363"/>
      <c r="P344" s="363"/>
      <c r="Q344" s="363"/>
      <c r="R344" s="363"/>
      <c r="S344" s="363"/>
      <c r="T344" s="363"/>
      <c r="U344" s="363"/>
      <c r="V344" s="363"/>
      <c r="W344" s="363"/>
      <c r="X344" s="363"/>
      <c r="Y344" s="363"/>
      <c r="Z344" s="363"/>
      <c r="AA344" s="363"/>
      <c r="AB344" s="363"/>
      <c r="AC344" s="363"/>
      <c r="AD344" s="363"/>
      <c r="AE344" s="363"/>
      <c r="AF344" s="363"/>
      <c r="AG344" s="363"/>
      <c r="AH344" s="363"/>
      <c r="AI344" s="363"/>
      <c r="AJ344" s="363"/>
      <c r="AK344" s="363"/>
      <c r="AL344" s="363"/>
      <c r="AM344" s="363"/>
    </row>
    <row r="345" spans="2:39" ht="12.75" customHeight="1" x14ac:dyDescent="0.2">
      <c r="B345" s="362"/>
      <c r="C345" s="363"/>
      <c r="D345" s="363"/>
      <c r="E345" s="363"/>
      <c r="F345" s="363"/>
      <c r="G345" s="363"/>
      <c r="H345" s="363"/>
      <c r="I345" s="363"/>
      <c r="J345" s="363"/>
      <c r="K345" s="363"/>
      <c r="L345" s="363"/>
      <c r="M345" s="363"/>
      <c r="N345" s="363"/>
      <c r="O345" s="363"/>
      <c r="P345" s="363"/>
      <c r="Q345" s="363"/>
      <c r="R345" s="363"/>
      <c r="S345" s="363"/>
      <c r="T345" s="363"/>
      <c r="U345" s="363"/>
      <c r="V345" s="363"/>
      <c r="W345" s="363"/>
      <c r="X345" s="363"/>
      <c r="Y345" s="363"/>
      <c r="Z345" s="363"/>
      <c r="AA345" s="363"/>
      <c r="AB345" s="363"/>
      <c r="AC345" s="363"/>
      <c r="AD345" s="363"/>
      <c r="AE345" s="363"/>
      <c r="AF345" s="363"/>
      <c r="AG345" s="363"/>
      <c r="AH345" s="363"/>
      <c r="AI345" s="363"/>
      <c r="AJ345" s="363"/>
      <c r="AK345" s="363"/>
      <c r="AL345" s="363"/>
      <c r="AM345" s="363"/>
    </row>
    <row r="346" spans="2:39" ht="12.75" customHeight="1" x14ac:dyDescent="0.2">
      <c r="B346" s="362"/>
      <c r="C346" s="363"/>
      <c r="D346" s="363"/>
      <c r="E346" s="363"/>
      <c r="F346" s="363"/>
      <c r="G346" s="363"/>
      <c r="H346" s="363"/>
      <c r="I346" s="363"/>
      <c r="J346" s="363"/>
      <c r="K346" s="363"/>
      <c r="L346" s="363"/>
      <c r="M346" s="363"/>
      <c r="N346" s="363"/>
      <c r="O346" s="363"/>
      <c r="P346" s="363"/>
      <c r="Q346" s="363"/>
      <c r="R346" s="363"/>
      <c r="S346" s="363"/>
      <c r="T346" s="363"/>
      <c r="U346" s="363"/>
      <c r="V346" s="363"/>
      <c r="W346" s="363"/>
      <c r="X346" s="363"/>
      <c r="Y346" s="363"/>
      <c r="Z346" s="363"/>
      <c r="AA346" s="363"/>
      <c r="AB346" s="363"/>
      <c r="AC346" s="363"/>
      <c r="AD346" s="363"/>
      <c r="AE346" s="363"/>
      <c r="AF346" s="363"/>
      <c r="AG346" s="363"/>
      <c r="AH346" s="363"/>
      <c r="AI346" s="363"/>
      <c r="AJ346" s="363"/>
      <c r="AK346" s="363"/>
      <c r="AL346" s="363"/>
      <c r="AM346" s="363"/>
    </row>
    <row r="347" spans="2:39" ht="12.75" customHeight="1" x14ac:dyDescent="0.2">
      <c r="B347" s="362"/>
      <c r="C347" s="363"/>
      <c r="D347" s="363"/>
      <c r="E347" s="363"/>
      <c r="F347" s="363"/>
      <c r="G347" s="363"/>
      <c r="H347" s="363"/>
      <c r="I347" s="363"/>
      <c r="J347" s="363"/>
      <c r="K347" s="363"/>
      <c r="L347" s="363"/>
      <c r="M347" s="363"/>
      <c r="N347" s="363"/>
      <c r="O347" s="363"/>
      <c r="P347" s="363"/>
      <c r="Q347" s="363"/>
      <c r="R347" s="363"/>
      <c r="S347" s="363"/>
      <c r="T347" s="363"/>
      <c r="U347" s="363"/>
      <c r="V347" s="363"/>
      <c r="W347" s="363"/>
      <c r="X347" s="363"/>
      <c r="Y347" s="363"/>
      <c r="Z347" s="363"/>
      <c r="AA347" s="363"/>
      <c r="AB347" s="363"/>
      <c r="AC347" s="363"/>
      <c r="AD347" s="363"/>
      <c r="AE347" s="363"/>
      <c r="AF347" s="363"/>
      <c r="AG347" s="363"/>
      <c r="AH347" s="363"/>
      <c r="AI347" s="363"/>
      <c r="AJ347" s="363"/>
      <c r="AK347" s="363"/>
      <c r="AL347" s="363"/>
      <c r="AM347" s="363"/>
    </row>
    <row r="348" spans="2:39" ht="12.75" customHeight="1" x14ac:dyDescent="0.2">
      <c r="B348" s="362"/>
      <c r="C348" s="363"/>
      <c r="D348" s="363"/>
      <c r="E348" s="363"/>
      <c r="F348" s="363"/>
      <c r="G348" s="363"/>
      <c r="H348" s="363"/>
      <c r="I348" s="363"/>
      <c r="J348" s="363"/>
      <c r="K348" s="363"/>
      <c r="L348" s="363"/>
      <c r="M348" s="363"/>
      <c r="N348" s="363"/>
      <c r="O348" s="363"/>
      <c r="P348" s="363"/>
      <c r="Q348" s="363"/>
      <c r="R348" s="363"/>
      <c r="S348" s="363"/>
      <c r="T348" s="363"/>
      <c r="U348" s="363"/>
      <c r="V348" s="363"/>
      <c r="W348" s="363"/>
      <c r="X348" s="363"/>
      <c r="Y348" s="363"/>
      <c r="Z348" s="363"/>
      <c r="AA348" s="363"/>
      <c r="AB348" s="363"/>
      <c r="AC348" s="363"/>
      <c r="AD348" s="363"/>
      <c r="AE348" s="363"/>
      <c r="AF348" s="363"/>
      <c r="AG348" s="363"/>
      <c r="AH348" s="363"/>
      <c r="AI348" s="363"/>
      <c r="AJ348" s="363"/>
      <c r="AK348" s="363"/>
      <c r="AL348" s="363"/>
      <c r="AM348" s="363"/>
    </row>
    <row r="349" spans="2:39" ht="12.75" customHeight="1" x14ac:dyDescent="0.2">
      <c r="B349" s="362"/>
      <c r="C349" s="363"/>
      <c r="D349" s="363"/>
      <c r="E349" s="363"/>
      <c r="F349" s="363"/>
      <c r="G349" s="363"/>
      <c r="H349" s="363"/>
      <c r="I349" s="363"/>
      <c r="J349" s="363"/>
      <c r="K349" s="363"/>
      <c r="L349" s="363"/>
      <c r="M349" s="363"/>
      <c r="N349" s="363"/>
      <c r="O349" s="363"/>
      <c r="P349" s="363"/>
      <c r="Q349" s="363"/>
      <c r="R349" s="363"/>
      <c r="S349" s="363"/>
      <c r="T349" s="363"/>
      <c r="U349" s="363"/>
      <c r="V349" s="363"/>
      <c r="W349" s="363"/>
      <c r="X349" s="363"/>
      <c r="Y349" s="363"/>
      <c r="Z349" s="363"/>
      <c r="AA349" s="363"/>
      <c r="AB349" s="363"/>
      <c r="AC349" s="363"/>
      <c r="AD349" s="363"/>
      <c r="AE349" s="363"/>
      <c r="AF349" s="363"/>
      <c r="AG349" s="363"/>
      <c r="AH349" s="363"/>
      <c r="AI349" s="363"/>
      <c r="AJ349" s="363"/>
      <c r="AK349" s="363"/>
      <c r="AL349" s="363"/>
      <c r="AM349" s="363"/>
    </row>
    <row r="350" spans="2:39" ht="12.75" customHeight="1" x14ac:dyDescent="0.2">
      <c r="B350" s="362"/>
      <c r="C350" s="363"/>
      <c r="D350" s="363"/>
      <c r="E350" s="363"/>
      <c r="F350" s="363"/>
      <c r="G350" s="363"/>
      <c r="H350" s="363"/>
      <c r="I350" s="363"/>
      <c r="J350" s="363"/>
      <c r="K350" s="363"/>
      <c r="L350" s="363"/>
      <c r="M350" s="363"/>
      <c r="N350" s="363"/>
      <c r="O350" s="363"/>
      <c r="P350" s="363"/>
      <c r="Q350" s="363"/>
      <c r="R350" s="363"/>
      <c r="S350" s="363"/>
      <c r="T350" s="363"/>
      <c r="U350" s="363"/>
      <c r="V350" s="363"/>
      <c r="W350" s="363"/>
      <c r="X350" s="363"/>
      <c r="Y350" s="363"/>
      <c r="Z350" s="363"/>
      <c r="AA350" s="363"/>
      <c r="AB350" s="363"/>
      <c r="AC350" s="363"/>
      <c r="AD350" s="363"/>
      <c r="AE350" s="363"/>
      <c r="AF350" s="363"/>
      <c r="AG350" s="363"/>
      <c r="AH350" s="363"/>
      <c r="AI350" s="363"/>
      <c r="AJ350" s="363"/>
      <c r="AK350" s="363"/>
      <c r="AL350" s="363"/>
      <c r="AM350" s="363"/>
    </row>
    <row r="351" spans="2:39" ht="12.75" customHeight="1" x14ac:dyDescent="0.2">
      <c r="B351" s="362"/>
      <c r="C351" s="363"/>
      <c r="D351" s="363"/>
      <c r="E351" s="363"/>
      <c r="F351" s="363"/>
      <c r="G351" s="363"/>
      <c r="H351" s="363"/>
      <c r="I351" s="363"/>
      <c r="J351" s="363"/>
      <c r="K351" s="363"/>
      <c r="L351" s="363"/>
      <c r="M351" s="363"/>
      <c r="N351" s="363"/>
      <c r="O351" s="363"/>
      <c r="P351" s="363"/>
      <c r="Q351" s="363"/>
      <c r="R351" s="363"/>
      <c r="S351" s="363"/>
      <c r="T351" s="363"/>
      <c r="U351" s="363"/>
      <c r="V351" s="363"/>
      <c r="W351" s="363"/>
      <c r="X351" s="363"/>
      <c r="Y351" s="363"/>
      <c r="Z351" s="363"/>
      <c r="AA351" s="363"/>
      <c r="AB351" s="363"/>
      <c r="AC351" s="363"/>
      <c r="AD351" s="363"/>
      <c r="AE351" s="363"/>
      <c r="AF351" s="363"/>
      <c r="AG351" s="363"/>
      <c r="AH351" s="363"/>
      <c r="AI351" s="363"/>
      <c r="AJ351" s="363"/>
      <c r="AK351" s="363"/>
      <c r="AL351" s="363"/>
      <c r="AM351" s="363"/>
    </row>
    <row r="352" spans="2:39" ht="12.75" customHeight="1" x14ac:dyDescent="0.2">
      <c r="B352" s="362"/>
      <c r="C352" s="363"/>
      <c r="D352" s="363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  <c r="Y352" s="363"/>
      <c r="Z352" s="363"/>
      <c r="AA352" s="363"/>
      <c r="AB352" s="363"/>
      <c r="AC352" s="363"/>
      <c r="AD352" s="363"/>
      <c r="AE352" s="363"/>
      <c r="AF352" s="363"/>
      <c r="AG352" s="363"/>
      <c r="AH352" s="363"/>
      <c r="AI352" s="363"/>
      <c r="AJ352" s="363"/>
      <c r="AK352" s="363"/>
      <c r="AL352" s="363"/>
      <c r="AM352" s="363"/>
    </row>
    <row r="353" spans="2:39" ht="12.75" customHeight="1" x14ac:dyDescent="0.2">
      <c r="B353" s="362"/>
      <c r="C353" s="363"/>
      <c r="D353" s="363"/>
      <c r="E353" s="363"/>
      <c r="F353" s="363"/>
      <c r="G353" s="363"/>
      <c r="H353" s="363"/>
      <c r="I353" s="363"/>
      <c r="J353" s="363"/>
      <c r="K353" s="363"/>
      <c r="L353" s="363"/>
      <c r="M353" s="363"/>
      <c r="N353" s="363"/>
      <c r="O353" s="363"/>
      <c r="P353" s="363"/>
      <c r="Q353" s="363"/>
      <c r="R353" s="363"/>
      <c r="S353" s="363"/>
      <c r="T353" s="363"/>
      <c r="U353" s="363"/>
      <c r="V353" s="363"/>
      <c r="W353" s="363"/>
      <c r="X353" s="363"/>
      <c r="Y353" s="363"/>
      <c r="Z353" s="363"/>
      <c r="AA353" s="363"/>
      <c r="AB353" s="363"/>
      <c r="AC353" s="363"/>
      <c r="AD353" s="363"/>
      <c r="AE353" s="363"/>
      <c r="AF353" s="363"/>
      <c r="AG353" s="363"/>
      <c r="AH353" s="363"/>
      <c r="AI353" s="363"/>
      <c r="AJ353" s="363"/>
      <c r="AK353" s="363"/>
      <c r="AL353" s="363"/>
      <c r="AM353" s="363"/>
    </row>
    <row r="354" spans="2:39" ht="12.75" customHeight="1" x14ac:dyDescent="0.2">
      <c r="B354" s="362"/>
      <c r="C354" s="363"/>
      <c r="D354" s="363"/>
      <c r="E354" s="363"/>
      <c r="F354" s="363"/>
      <c r="G354" s="363"/>
      <c r="H354" s="363"/>
      <c r="I354" s="363"/>
      <c r="J354" s="363"/>
      <c r="K354" s="363"/>
      <c r="L354" s="363"/>
      <c r="M354" s="363"/>
      <c r="N354" s="363"/>
      <c r="O354" s="363"/>
      <c r="P354" s="363"/>
      <c r="Q354" s="363"/>
      <c r="R354" s="363"/>
      <c r="S354" s="363"/>
      <c r="T354" s="363"/>
      <c r="U354" s="363"/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/>
      <c r="AF354" s="363"/>
      <c r="AG354" s="363"/>
      <c r="AH354" s="363"/>
      <c r="AI354" s="363"/>
      <c r="AJ354" s="363"/>
      <c r="AK354" s="363"/>
      <c r="AL354" s="363"/>
      <c r="AM354" s="363"/>
    </row>
    <row r="355" spans="2:39" ht="12.75" customHeight="1" x14ac:dyDescent="0.2">
      <c r="B355" s="362"/>
      <c r="C355" s="363"/>
      <c r="D355" s="363"/>
      <c r="E355" s="363"/>
      <c r="F355" s="363"/>
      <c r="G355" s="363"/>
      <c r="H355" s="363"/>
      <c r="I355" s="363"/>
      <c r="J355" s="363"/>
      <c r="K355" s="363"/>
      <c r="L355" s="363"/>
      <c r="M355" s="363"/>
      <c r="N355" s="363"/>
      <c r="O355" s="363"/>
      <c r="P355" s="363"/>
      <c r="Q355" s="363"/>
      <c r="R355" s="363"/>
      <c r="S355" s="363"/>
      <c r="T355" s="363"/>
      <c r="U355" s="363"/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/>
      <c r="AF355" s="363"/>
      <c r="AG355" s="363"/>
      <c r="AH355" s="363"/>
      <c r="AI355" s="363"/>
      <c r="AJ355" s="363"/>
      <c r="AK355" s="363"/>
      <c r="AL355" s="363"/>
      <c r="AM355" s="363"/>
    </row>
    <row r="356" spans="2:39" ht="12.75" customHeight="1" x14ac:dyDescent="0.2">
      <c r="B356" s="362"/>
      <c r="C356" s="363"/>
      <c r="D356" s="363"/>
      <c r="E356" s="363"/>
      <c r="F356" s="363"/>
      <c r="G356" s="363"/>
      <c r="H356" s="363"/>
      <c r="I356" s="363"/>
      <c r="J356" s="363"/>
      <c r="K356" s="363"/>
      <c r="L356" s="363"/>
      <c r="M356" s="363"/>
      <c r="N356" s="363"/>
      <c r="O356" s="363"/>
      <c r="P356" s="363"/>
      <c r="Q356" s="363"/>
      <c r="R356" s="363"/>
      <c r="S356" s="363"/>
      <c r="T356" s="363"/>
      <c r="U356" s="363"/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/>
      <c r="AF356" s="363"/>
      <c r="AG356" s="363"/>
      <c r="AH356" s="363"/>
      <c r="AI356" s="363"/>
      <c r="AJ356" s="363"/>
      <c r="AK356" s="363"/>
      <c r="AL356" s="363"/>
      <c r="AM356" s="363"/>
    </row>
    <row r="357" spans="2:39" ht="12.75" customHeight="1" x14ac:dyDescent="0.2">
      <c r="B357" s="362"/>
      <c r="C357" s="363"/>
      <c r="D357" s="363"/>
      <c r="E357" s="363"/>
      <c r="F357" s="363"/>
      <c r="G357" s="363"/>
      <c r="H357" s="363"/>
      <c r="I357" s="363"/>
      <c r="J357" s="363"/>
      <c r="K357" s="363"/>
      <c r="L357" s="363"/>
      <c r="M357" s="363"/>
      <c r="N357" s="363"/>
      <c r="O357" s="363"/>
      <c r="P357" s="363"/>
      <c r="Q357" s="363"/>
      <c r="R357" s="363"/>
      <c r="S357" s="363"/>
      <c r="T357" s="363"/>
      <c r="U357" s="363"/>
      <c r="V357" s="363"/>
      <c r="W357" s="363"/>
      <c r="X357" s="363"/>
      <c r="Y357" s="363"/>
      <c r="Z357" s="363"/>
      <c r="AA357" s="363"/>
      <c r="AB357" s="363"/>
      <c r="AC357" s="363"/>
      <c r="AD357" s="363"/>
      <c r="AE357" s="363"/>
      <c r="AF357" s="363"/>
      <c r="AG357" s="363"/>
      <c r="AH357" s="363"/>
      <c r="AI357" s="363"/>
      <c r="AJ357" s="363"/>
      <c r="AK357" s="363"/>
      <c r="AL357" s="363"/>
      <c r="AM357" s="363"/>
    </row>
    <row r="358" spans="2:39" ht="12.75" customHeight="1" x14ac:dyDescent="0.2">
      <c r="B358" s="362"/>
      <c r="C358" s="363"/>
      <c r="D358" s="363"/>
      <c r="E358" s="363"/>
      <c r="F358" s="363"/>
      <c r="G358" s="363"/>
      <c r="H358" s="363"/>
      <c r="I358" s="363"/>
      <c r="J358" s="363"/>
      <c r="K358" s="363"/>
      <c r="L358" s="363"/>
      <c r="M358" s="363"/>
      <c r="N358" s="363"/>
      <c r="O358" s="363"/>
      <c r="P358" s="363"/>
      <c r="Q358" s="363"/>
      <c r="R358" s="363"/>
      <c r="S358" s="363"/>
      <c r="T358" s="363"/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/>
      <c r="AF358" s="363"/>
      <c r="AG358" s="363"/>
      <c r="AH358" s="363"/>
      <c r="AI358" s="363"/>
      <c r="AJ358" s="363"/>
      <c r="AK358" s="363"/>
      <c r="AL358" s="363"/>
      <c r="AM358" s="363"/>
    </row>
    <row r="359" spans="2:39" ht="12.75" customHeight="1" x14ac:dyDescent="0.2">
      <c r="B359" s="362"/>
      <c r="C359" s="363"/>
      <c r="D359" s="363"/>
      <c r="E359" s="363"/>
      <c r="F359" s="363"/>
      <c r="G359" s="363"/>
      <c r="H359" s="363"/>
      <c r="I359" s="363"/>
      <c r="J359" s="363"/>
      <c r="K359" s="363"/>
      <c r="L359" s="363"/>
      <c r="M359" s="363"/>
      <c r="N359" s="363"/>
      <c r="O359" s="363"/>
      <c r="P359" s="363"/>
      <c r="Q359" s="363"/>
      <c r="R359" s="363"/>
      <c r="S359" s="363"/>
      <c r="T359" s="363"/>
      <c r="U359" s="363"/>
      <c r="V359" s="363"/>
      <c r="W359" s="363"/>
      <c r="X359" s="363"/>
      <c r="Y359" s="363"/>
      <c r="Z359" s="363"/>
      <c r="AA359" s="363"/>
      <c r="AB359" s="363"/>
      <c r="AC359" s="363"/>
      <c r="AD359" s="363"/>
      <c r="AE359" s="363"/>
      <c r="AF359" s="363"/>
      <c r="AG359" s="363"/>
      <c r="AH359" s="363"/>
      <c r="AI359" s="363"/>
      <c r="AJ359" s="363"/>
      <c r="AK359" s="363"/>
      <c r="AL359" s="363"/>
      <c r="AM359" s="363"/>
    </row>
    <row r="360" spans="2:39" ht="12.75" customHeight="1" x14ac:dyDescent="0.2">
      <c r="B360" s="362"/>
      <c r="C360" s="363"/>
      <c r="D360" s="363"/>
      <c r="E360" s="363"/>
      <c r="F360" s="363"/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3"/>
      <c r="U360" s="363"/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/>
      <c r="AF360" s="363"/>
      <c r="AG360" s="363"/>
      <c r="AH360" s="363"/>
      <c r="AI360" s="363"/>
      <c r="AJ360" s="363"/>
      <c r="AK360" s="363"/>
      <c r="AL360" s="363"/>
      <c r="AM360" s="363"/>
    </row>
    <row r="361" spans="2:39" ht="12.75" customHeight="1" x14ac:dyDescent="0.2">
      <c r="B361" s="362"/>
      <c r="C361" s="363"/>
      <c r="D361" s="363"/>
      <c r="E361" s="363"/>
      <c r="F361" s="363"/>
      <c r="G361" s="363"/>
      <c r="H361" s="363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3"/>
      <c r="T361" s="363"/>
      <c r="U361" s="363"/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/>
      <c r="AF361" s="363"/>
      <c r="AG361" s="363"/>
      <c r="AH361" s="363"/>
      <c r="AI361" s="363"/>
      <c r="AJ361" s="363"/>
      <c r="AK361" s="363"/>
      <c r="AL361" s="363"/>
      <c r="AM361" s="363"/>
    </row>
    <row r="362" spans="2:39" ht="12.75" customHeight="1" x14ac:dyDescent="0.2">
      <c r="B362" s="362"/>
      <c r="C362" s="363"/>
      <c r="D362" s="363"/>
      <c r="E362" s="363"/>
      <c r="F362" s="363"/>
      <c r="G362" s="363"/>
      <c r="H362" s="363"/>
      <c r="I362" s="363"/>
      <c r="J362" s="363"/>
      <c r="K362" s="363"/>
      <c r="L362" s="363"/>
      <c r="M362" s="363"/>
      <c r="N362" s="363"/>
      <c r="O362" s="363"/>
      <c r="P362" s="363"/>
      <c r="Q362" s="363"/>
      <c r="R362" s="363"/>
      <c r="S362" s="363"/>
      <c r="T362" s="363"/>
      <c r="U362" s="363"/>
      <c r="V362" s="363"/>
      <c r="W362" s="363"/>
      <c r="X362" s="363"/>
      <c r="Y362" s="363"/>
      <c r="Z362" s="363"/>
      <c r="AA362" s="363"/>
      <c r="AB362" s="363"/>
      <c r="AC362" s="363"/>
      <c r="AD362" s="363"/>
      <c r="AE362" s="363"/>
      <c r="AF362" s="363"/>
      <c r="AG362" s="363"/>
      <c r="AH362" s="363"/>
      <c r="AI362" s="363"/>
      <c r="AJ362" s="363"/>
      <c r="AK362" s="363"/>
      <c r="AL362" s="363"/>
      <c r="AM362" s="363"/>
    </row>
    <row r="363" spans="2:39" ht="12.75" customHeight="1" x14ac:dyDescent="0.2">
      <c r="B363" s="362"/>
      <c r="C363" s="363"/>
      <c r="D363" s="363"/>
      <c r="E363" s="363"/>
      <c r="F363" s="363"/>
      <c r="G363" s="363"/>
      <c r="H363" s="363"/>
      <c r="I363" s="363"/>
      <c r="J363" s="363"/>
      <c r="K363" s="363"/>
      <c r="L363" s="363"/>
      <c r="M363" s="363"/>
      <c r="N363" s="363"/>
      <c r="O363" s="363"/>
      <c r="P363" s="363"/>
      <c r="Q363" s="363"/>
      <c r="R363" s="363"/>
      <c r="S363" s="363"/>
      <c r="T363" s="363"/>
      <c r="U363" s="363"/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/>
      <c r="AF363" s="363"/>
      <c r="AG363" s="363"/>
      <c r="AH363" s="363"/>
      <c r="AI363" s="363"/>
      <c r="AJ363" s="363"/>
      <c r="AK363" s="363"/>
      <c r="AL363" s="363"/>
      <c r="AM363" s="363"/>
    </row>
    <row r="364" spans="2:39" ht="12.75" customHeight="1" x14ac:dyDescent="0.2">
      <c r="B364" s="362"/>
      <c r="C364" s="363"/>
      <c r="D364" s="363"/>
      <c r="E364" s="363"/>
      <c r="F364" s="363"/>
      <c r="G364" s="363"/>
      <c r="H364" s="363"/>
      <c r="I364" s="363"/>
      <c r="J364" s="363"/>
      <c r="K364" s="363"/>
      <c r="L364" s="363"/>
      <c r="M364" s="363"/>
      <c r="N364" s="363"/>
      <c r="O364" s="363"/>
      <c r="P364" s="363"/>
      <c r="Q364" s="363"/>
      <c r="R364" s="363"/>
      <c r="S364" s="363"/>
      <c r="T364" s="363"/>
      <c r="U364" s="363"/>
      <c r="V364" s="363"/>
      <c r="W364" s="363"/>
      <c r="X364" s="363"/>
      <c r="Y364" s="363"/>
      <c r="Z364" s="363"/>
      <c r="AA364" s="363"/>
      <c r="AB364" s="363"/>
      <c r="AC364" s="363"/>
      <c r="AD364" s="363"/>
      <c r="AE364" s="363"/>
      <c r="AF364" s="363"/>
      <c r="AG364" s="363"/>
      <c r="AH364" s="363"/>
      <c r="AI364" s="363"/>
      <c r="AJ364" s="363"/>
      <c r="AK364" s="363"/>
      <c r="AL364" s="363"/>
      <c r="AM364" s="363"/>
    </row>
    <row r="365" spans="2:39" ht="12.75" customHeight="1" x14ac:dyDescent="0.2">
      <c r="B365" s="362"/>
      <c r="C365" s="363"/>
      <c r="D365" s="363"/>
      <c r="E365" s="363"/>
      <c r="F365" s="363"/>
      <c r="G365" s="363"/>
      <c r="H365" s="363"/>
      <c r="I365" s="363"/>
      <c r="J365" s="363"/>
      <c r="K365" s="363"/>
      <c r="L365" s="363"/>
      <c r="M365" s="363"/>
      <c r="N365" s="363"/>
      <c r="O365" s="363"/>
      <c r="P365" s="363"/>
      <c r="Q365" s="363"/>
      <c r="R365" s="363"/>
      <c r="S365" s="363"/>
      <c r="T365" s="363"/>
      <c r="U365" s="363"/>
      <c r="V365" s="363"/>
      <c r="W365" s="363"/>
      <c r="X365" s="363"/>
      <c r="Y365" s="363"/>
      <c r="Z365" s="363"/>
      <c r="AA365" s="363"/>
      <c r="AB365" s="363"/>
      <c r="AC365" s="363"/>
      <c r="AD365" s="363"/>
      <c r="AE365" s="363"/>
      <c r="AF365" s="363"/>
      <c r="AG365" s="363"/>
      <c r="AH365" s="363"/>
      <c r="AI365" s="363"/>
      <c r="AJ365" s="363"/>
      <c r="AK365" s="363"/>
      <c r="AL365" s="363"/>
      <c r="AM365" s="363"/>
    </row>
    <row r="366" spans="2:39" ht="12.75" customHeight="1" x14ac:dyDescent="0.2">
      <c r="B366" s="362"/>
      <c r="C366" s="363"/>
      <c r="D366" s="363"/>
      <c r="E366" s="363"/>
      <c r="F366" s="363"/>
      <c r="G366" s="363"/>
      <c r="H366" s="363"/>
      <c r="I366" s="363"/>
      <c r="J366" s="363"/>
      <c r="K366" s="363"/>
      <c r="L366" s="363"/>
      <c r="M366" s="363"/>
      <c r="N366" s="363"/>
      <c r="O366" s="363"/>
      <c r="P366" s="363"/>
      <c r="Q366" s="363"/>
      <c r="R366" s="363"/>
      <c r="S366" s="363"/>
      <c r="T366" s="363"/>
      <c r="U366" s="363"/>
      <c r="V366" s="363"/>
      <c r="W366" s="363"/>
      <c r="X366" s="363"/>
      <c r="Y366" s="363"/>
      <c r="Z366" s="363"/>
      <c r="AA366" s="363"/>
      <c r="AB366" s="363"/>
      <c r="AC366" s="363"/>
      <c r="AD366" s="363"/>
      <c r="AE366" s="363"/>
      <c r="AF366" s="363"/>
      <c r="AG366" s="363"/>
      <c r="AH366" s="363"/>
      <c r="AI366" s="363"/>
      <c r="AJ366" s="363"/>
      <c r="AK366" s="363"/>
      <c r="AL366" s="363"/>
      <c r="AM366" s="363"/>
    </row>
    <row r="367" spans="2:39" ht="12.75" customHeight="1" x14ac:dyDescent="0.2">
      <c r="B367" s="362"/>
      <c r="C367" s="363"/>
      <c r="D367" s="363"/>
      <c r="E367" s="363"/>
      <c r="F367" s="363"/>
      <c r="G367" s="363"/>
      <c r="H367" s="363"/>
      <c r="I367" s="363"/>
      <c r="J367" s="363"/>
      <c r="K367" s="363"/>
      <c r="L367" s="363"/>
      <c r="M367" s="363"/>
      <c r="N367" s="363"/>
      <c r="O367" s="363"/>
      <c r="P367" s="363"/>
      <c r="Q367" s="363"/>
      <c r="R367" s="363"/>
      <c r="S367" s="363"/>
      <c r="T367" s="363"/>
      <c r="U367" s="363"/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/>
      <c r="AF367" s="363"/>
      <c r="AG367" s="363"/>
      <c r="AH367" s="363"/>
      <c r="AI367" s="363"/>
      <c r="AJ367" s="363"/>
      <c r="AK367" s="363"/>
      <c r="AL367" s="363"/>
      <c r="AM367" s="363"/>
    </row>
    <row r="368" spans="2:39" ht="12.75" customHeight="1" x14ac:dyDescent="0.2">
      <c r="B368" s="362"/>
      <c r="C368" s="363"/>
      <c r="D368" s="363"/>
      <c r="E368" s="363"/>
      <c r="F368" s="363"/>
      <c r="G368" s="363"/>
      <c r="H368" s="363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3"/>
      <c r="T368" s="363"/>
      <c r="U368" s="363"/>
      <c r="V368" s="363"/>
      <c r="W368" s="363"/>
      <c r="X368" s="363"/>
      <c r="Y368" s="363"/>
      <c r="Z368" s="363"/>
      <c r="AA368" s="363"/>
      <c r="AB368" s="363"/>
      <c r="AC368" s="363"/>
      <c r="AD368" s="363"/>
      <c r="AE368" s="363"/>
      <c r="AF368" s="363"/>
      <c r="AG368" s="363"/>
      <c r="AH368" s="363"/>
      <c r="AI368" s="363"/>
      <c r="AJ368" s="363"/>
      <c r="AK368" s="363"/>
      <c r="AL368" s="363"/>
      <c r="AM368" s="363"/>
    </row>
    <row r="369" spans="2:39" ht="12.75" customHeight="1" x14ac:dyDescent="0.2">
      <c r="B369" s="362"/>
      <c r="C369" s="363"/>
      <c r="D369" s="363"/>
      <c r="E369" s="363"/>
      <c r="F369" s="363"/>
      <c r="G369" s="363"/>
      <c r="H369" s="363"/>
      <c r="I369" s="363"/>
      <c r="J369" s="363"/>
      <c r="K369" s="363"/>
      <c r="L369" s="363"/>
      <c r="M369" s="363"/>
      <c r="N369" s="363"/>
      <c r="O369" s="363"/>
      <c r="P369" s="363"/>
      <c r="Q369" s="363"/>
      <c r="R369" s="363"/>
      <c r="S369" s="363"/>
      <c r="T369" s="363"/>
      <c r="U369" s="363"/>
      <c r="V369" s="363"/>
      <c r="W369" s="363"/>
      <c r="X369" s="363"/>
      <c r="Y369" s="363"/>
      <c r="Z369" s="363"/>
      <c r="AA369" s="363"/>
      <c r="AB369" s="363"/>
      <c r="AC369" s="363"/>
      <c r="AD369" s="363"/>
      <c r="AE369" s="363"/>
      <c r="AF369" s="363"/>
      <c r="AG369" s="363"/>
      <c r="AH369" s="363"/>
      <c r="AI369" s="363"/>
      <c r="AJ369" s="363"/>
      <c r="AK369" s="363"/>
      <c r="AL369" s="363"/>
      <c r="AM369" s="363"/>
    </row>
    <row r="370" spans="2:39" ht="12.75" customHeight="1" x14ac:dyDescent="0.2">
      <c r="B370" s="362"/>
      <c r="C370" s="363"/>
      <c r="D370" s="363"/>
      <c r="E370" s="363"/>
      <c r="F370" s="363"/>
      <c r="G370" s="363"/>
      <c r="H370" s="363"/>
      <c r="I370" s="363"/>
      <c r="J370" s="363"/>
      <c r="K370" s="363"/>
      <c r="L370" s="363"/>
      <c r="M370" s="363"/>
      <c r="N370" s="363"/>
      <c r="O370" s="363"/>
      <c r="P370" s="363"/>
      <c r="Q370" s="363"/>
      <c r="R370" s="363"/>
      <c r="S370" s="363"/>
      <c r="T370" s="363"/>
      <c r="U370" s="363"/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/>
      <c r="AF370" s="363"/>
      <c r="AG370" s="363"/>
      <c r="AH370" s="363"/>
      <c r="AI370" s="363"/>
      <c r="AJ370" s="363"/>
      <c r="AK370" s="363"/>
      <c r="AL370" s="363"/>
      <c r="AM370" s="363"/>
    </row>
    <row r="371" spans="2:39" ht="12.75" customHeight="1" x14ac:dyDescent="0.2">
      <c r="B371" s="362"/>
      <c r="C371" s="363"/>
      <c r="D371" s="363"/>
      <c r="E371" s="363"/>
      <c r="F371" s="363"/>
      <c r="G371" s="363"/>
      <c r="H371" s="363"/>
      <c r="I371" s="363"/>
      <c r="J371" s="363"/>
      <c r="K371" s="363"/>
      <c r="L371" s="363"/>
      <c r="M371" s="363"/>
      <c r="N371" s="363"/>
      <c r="O371" s="363"/>
      <c r="P371" s="363"/>
      <c r="Q371" s="363"/>
      <c r="R371" s="363"/>
      <c r="S371" s="363"/>
      <c r="T371" s="363"/>
      <c r="U371" s="363"/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/>
      <c r="AF371" s="363"/>
      <c r="AG371" s="363"/>
      <c r="AH371" s="363"/>
      <c r="AI371" s="363"/>
      <c r="AJ371" s="363"/>
      <c r="AK371" s="363"/>
      <c r="AL371" s="363"/>
      <c r="AM371" s="363"/>
    </row>
    <row r="372" spans="2:39" ht="12.75" customHeight="1" x14ac:dyDescent="0.2">
      <c r="B372" s="362"/>
      <c r="C372" s="363"/>
      <c r="D372" s="363"/>
      <c r="E372" s="363"/>
      <c r="F372" s="363"/>
      <c r="G372" s="363"/>
      <c r="H372" s="363"/>
      <c r="I372" s="363"/>
      <c r="J372" s="363"/>
      <c r="K372" s="363"/>
      <c r="L372" s="363"/>
      <c r="M372" s="363"/>
      <c r="N372" s="363"/>
      <c r="O372" s="363"/>
      <c r="P372" s="363"/>
      <c r="Q372" s="363"/>
      <c r="R372" s="363"/>
      <c r="S372" s="363"/>
      <c r="T372" s="363"/>
      <c r="U372" s="363"/>
      <c r="V372" s="363"/>
      <c r="W372" s="363"/>
      <c r="X372" s="363"/>
      <c r="Y372" s="363"/>
      <c r="Z372" s="363"/>
      <c r="AA372" s="363"/>
      <c r="AB372" s="363"/>
      <c r="AC372" s="363"/>
      <c r="AD372" s="363"/>
      <c r="AE372" s="363"/>
      <c r="AF372" s="363"/>
      <c r="AG372" s="363"/>
      <c r="AH372" s="363"/>
      <c r="AI372" s="363"/>
      <c r="AJ372" s="363"/>
      <c r="AK372" s="363"/>
      <c r="AL372" s="363"/>
      <c r="AM372" s="363"/>
    </row>
    <row r="373" spans="2:39" ht="12.75" customHeight="1" x14ac:dyDescent="0.2">
      <c r="B373" s="362"/>
      <c r="C373" s="363"/>
      <c r="D373" s="363"/>
      <c r="E373" s="363"/>
      <c r="F373" s="363"/>
      <c r="G373" s="363"/>
      <c r="H373" s="363"/>
      <c r="I373" s="363"/>
      <c r="J373" s="363"/>
      <c r="K373" s="363"/>
      <c r="L373" s="363"/>
      <c r="M373" s="363"/>
      <c r="N373" s="363"/>
      <c r="O373" s="363"/>
      <c r="P373" s="363"/>
      <c r="Q373" s="363"/>
      <c r="R373" s="363"/>
      <c r="S373" s="363"/>
      <c r="T373" s="363"/>
      <c r="U373" s="363"/>
      <c r="V373" s="363"/>
      <c r="W373" s="363"/>
      <c r="X373" s="363"/>
      <c r="Y373" s="363"/>
      <c r="Z373" s="363"/>
      <c r="AA373" s="363"/>
      <c r="AB373" s="363"/>
      <c r="AC373" s="363"/>
      <c r="AD373" s="363"/>
      <c r="AE373" s="363"/>
      <c r="AF373" s="363"/>
      <c r="AG373" s="363"/>
      <c r="AH373" s="363"/>
      <c r="AI373" s="363"/>
      <c r="AJ373" s="363"/>
      <c r="AK373" s="363"/>
      <c r="AL373" s="363"/>
      <c r="AM373" s="363"/>
    </row>
    <row r="374" spans="2:39" ht="12.75" customHeight="1" x14ac:dyDescent="0.2">
      <c r="B374" s="362"/>
      <c r="C374" s="363"/>
      <c r="D374" s="363"/>
      <c r="E374" s="363"/>
      <c r="F374" s="363"/>
      <c r="G374" s="363"/>
      <c r="H374" s="363"/>
      <c r="I374" s="363"/>
      <c r="J374" s="363"/>
      <c r="K374" s="363"/>
      <c r="L374" s="363"/>
      <c r="M374" s="363"/>
      <c r="N374" s="363"/>
      <c r="O374" s="363"/>
      <c r="P374" s="363"/>
      <c r="Q374" s="363"/>
      <c r="R374" s="363"/>
      <c r="S374" s="363"/>
      <c r="T374" s="363"/>
      <c r="U374" s="363"/>
      <c r="V374" s="363"/>
      <c r="W374" s="363"/>
      <c r="X374" s="363"/>
      <c r="Y374" s="363"/>
      <c r="Z374" s="363"/>
      <c r="AA374" s="363"/>
      <c r="AB374" s="363"/>
      <c r="AC374" s="363"/>
      <c r="AD374" s="363"/>
      <c r="AE374" s="363"/>
      <c r="AF374" s="363"/>
      <c r="AG374" s="363"/>
      <c r="AH374" s="363"/>
      <c r="AI374" s="363"/>
      <c r="AJ374" s="363"/>
      <c r="AK374" s="363"/>
      <c r="AL374" s="363"/>
      <c r="AM374" s="363"/>
    </row>
    <row r="375" spans="2:39" ht="12.75" customHeight="1" x14ac:dyDescent="0.2">
      <c r="B375" s="362"/>
      <c r="C375" s="363"/>
      <c r="D375" s="363"/>
      <c r="E375" s="363"/>
      <c r="F375" s="363"/>
      <c r="G375" s="363"/>
      <c r="H375" s="363"/>
      <c r="I375" s="363"/>
      <c r="J375" s="363"/>
      <c r="K375" s="363"/>
      <c r="L375" s="363"/>
      <c r="M375" s="363"/>
      <c r="N375" s="363"/>
      <c r="O375" s="363"/>
      <c r="P375" s="363"/>
      <c r="Q375" s="363"/>
      <c r="R375" s="363"/>
      <c r="S375" s="363"/>
      <c r="T375" s="363"/>
      <c r="U375" s="363"/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/>
      <c r="AF375" s="363"/>
      <c r="AG375" s="363"/>
      <c r="AH375" s="363"/>
      <c r="AI375" s="363"/>
      <c r="AJ375" s="363"/>
      <c r="AK375" s="363"/>
      <c r="AL375" s="363"/>
      <c r="AM375" s="363"/>
    </row>
    <row r="376" spans="2:39" ht="12.75" customHeight="1" x14ac:dyDescent="0.2">
      <c r="B376" s="362"/>
      <c r="C376" s="363"/>
      <c r="D376" s="363"/>
      <c r="E376" s="363"/>
      <c r="F376" s="363"/>
      <c r="G376" s="363"/>
      <c r="H376" s="363"/>
      <c r="I376" s="363"/>
      <c r="J376" s="363"/>
      <c r="K376" s="363"/>
      <c r="L376" s="363"/>
      <c r="M376" s="363"/>
      <c r="N376" s="363"/>
      <c r="O376" s="363"/>
      <c r="P376" s="363"/>
      <c r="Q376" s="363"/>
      <c r="R376" s="363"/>
      <c r="S376" s="363"/>
      <c r="T376" s="363"/>
      <c r="U376" s="363"/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/>
      <c r="AF376" s="363"/>
      <c r="AG376" s="363"/>
      <c r="AH376" s="363"/>
      <c r="AI376" s="363"/>
      <c r="AJ376" s="363"/>
      <c r="AK376" s="363"/>
      <c r="AL376" s="363"/>
      <c r="AM376" s="363"/>
    </row>
    <row r="377" spans="2:39" ht="12.75" customHeight="1" x14ac:dyDescent="0.2">
      <c r="B377" s="362"/>
      <c r="C377" s="363"/>
      <c r="D377" s="363"/>
      <c r="E377" s="363"/>
      <c r="F377" s="363"/>
      <c r="G377" s="363"/>
      <c r="H377" s="363"/>
      <c r="I377" s="363"/>
      <c r="J377" s="363"/>
      <c r="K377" s="363"/>
      <c r="L377" s="363"/>
      <c r="M377" s="363"/>
      <c r="N377" s="363"/>
      <c r="O377" s="363"/>
      <c r="P377" s="363"/>
      <c r="Q377" s="363"/>
      <c r="R377" s="363"/>
      <c r="S377" s="363"/>
      <c r="T377" s="363"/>
      <c r="U377" s="363"/>
      <c r="V377" s="363"/>
      <c r="W377" s="363"/>
      <c r="X377" s="363"/>
      <c r="Y377" s="363"/>
      <c r="Z377" s="363"/>
      <c r="AA377" s="363"/>
      <c r="AB377" s="363"/>
      <c r="AC377" s="363"/>
      <c r="AD377" s="363"/>
      <c r="AE377" s="363"/>
      <c r="AF377" s="363"/>
      <c r="AG377" s="363"/>
      <c r="AH377" s="363"/>
      <c r="AI377" s="363"/>
      <c r="AJ377" s="363"/>
      <c r="AK377" s="363"/>
      <c r="AL377" s="363"/>
      <c r="AM377" s="363"/>
    </row>
    <row r="378" spans="2:39" ht="12.75" customHeight="1" x14ac:dyDescent="0.2">
      <c r="B378" s="362"/>
      <c r="C378" s="363"/>
      <c r="D378" s="363"/>
      <c r="E378" s="363"/>
      <c r="F378" s="363"/>
      <c r="G378" s="363"/>
      <c r="H378" s="363"/>
      <c r="I378" s="363"/>
      <c r="J378" s="363"/>
      <c r="K378" s="363"/>
      <c r="L378" s="363"/>
      <c r="M378" s="363"/>
      <c r="N378" s="363"/>
      <c r="O378" s="363"/>
      <c r="P378" s="363"/>
      <c r="Q378" s="363"/>
      <c r="R378" s="363"/>
      <c r="S378" s="363"/>
      <c r="T378" s="363"/>
      <c r="U378" s="363"/>
      <c r="V378" s="363"/>
      <c r="W378" s="363"/>
      <c r="X378" s="363"/>
      <c r="Y378" s="363"/>
      <c r="Z378" s="363"/>
      <c r="AA378" s="363"/>
      <c r="AB378" s="363"/>
      <c r="AC378" s="363"/>
      <c r="AD378" s="363"/>
      <c r="AE378" s="363"/>
      <c r="AF378" s="363"/>
      <c r="AG378" s="363"/>
      <c r="AH378" s="363"/>
      <c r="AI378" s="363"/>
      <c r="AJ378" s="363"/>
      <c r="AK378" s="363"/>
      <c r="AL378" s="363"/>
      <c r="AM378" s="363"/>
    </row>
    <row r="379" spans="2:39" ht="12.75" customHeight="1" x14ac:dyDescent="0.2">
      <c r="B379" s="362"/>
      <c r="C379" s="363"/>
      <c r="D379" s="363"/>
      <c r="E379" s="363"/>
      <c r="F379" s="363"/>
      <c r="G379" s="363"/>
      <c r="H379" s="363"/>
      <c r="I379" s="363"/>
      <c r="J379" s="363"/>
      <c r="K379" s="363"/>
      <c r="L379" s="363"/>
      <c r="M379" s="363"/>
      <c r="N379" s="363"/>
      <c r="O379" s="363"/>
      <c r="P379" s="363"/>
      <c r="Q379" s="363"/>
      <c r="R379" s="363"/>
      <c r="S379" s="363"/>
      <c r="T379" s="363"/>
      <c r="U379" s="363"/>
      <c r="V379" s="363"/>
      <c r="W379" s="363"/>
      <c r="X379" s="363"/>
      <c r="Y379" s="363"/>
      <c r="Z379" s="363"/>
      <c r="AA379" s="363"/>
      <c r="AB379" s="363"/>
      <c r="AC379" s="363"/>
      <c r="AD379" s="363"/>
      <c r="AE379" s="363"/>
      <c r="AF379" s="363"/>
      <c r="AG379" s="363"/>
      <c r="AH379" s="363"/>
      <c r="AI379" s="363"/>
      <c r="AJ379" s="363"/>
      <c r="AK379" s="363"/>
      <c r="AL379" s="363"/>
      <c r="AM379" s="363"/>
    </row>
    <row r="380" spans="2:39" ht="12.75" customHeight="1" x14ac:dyDescent="0.2">
      <c r="B380" s="362"/>
      <c r="C380" s="363"/>
      <c r="D380" s="363"/>
      <c r="E380" s="363"/>
      <c r="F380" s="363"/>
      <c r="G380" s="363"/>
      <c r="H380" s="363"/>
      <c r="I380" s="363"/>
      <c r="J380" s="363"/>
      <c r="K380" s="363"/>
      <c r="L380" s="363"/>
      <c r="M380" s="363"/>
      <c r="N380" s="363"/>
      <c r="O380" s="363"/>
      <c r="P380" s="363"/>
      <c r="Q380" s="363"/>
      <c r="R380" s="363"/>
      <c r="S380" s="363"/>
      <c r="T380" s="363"/>
      <c r="U380" s="363"/>
      <c r="V380" s="363"/>
      <c r="W380" s="363"/>
      <c r="X380" s="363"/>
      <c r="Y380" s="363"/>
      <c r="Z380" s="363"/>
      <c r="AA380" s="363"/>
      <c r="AB380" s="363"/>
      <c r="AC380" s="363"/>
      <c r="AD380" s="363"/>
      <c r="AE380" s="363"/>
      <c r="AF380" s="363"/>
      <c r="AG380" s="363"/>
      <c r="AH380" s="363"/>
      <c r="AI380" s="363"/>
      <c r="AJ380" s="363"/>
      <c r="AK380" s="363"/>
      <c r="AL380" s="363"/>
      <c r="AM380" s="363"/>
    </row>
    <row r="381" spans="2:39" ht="12.75" customHeight="1" x14ac:dyDescent="0.2">
      <c r="B381" s="362"/>
      <c r="C381" s="363"/>
      <c r="D381" s="363"/>
      <c r="E381" s="363"/>
      <c r="F381" s="363"/>
      <c r="G381" s="363"/>
      <c r="H381" s="363"/>
      <c r="I381" s="363"/>
      <c r="J381" s="363"/>
      <c r="K381" s="363"/>
      <c r="L381" s="363"/>
      <c r="M381" s="363"/>
      <c r="N381" s="363"/>
      <c r="O381" s="363"/>
      <c r="P381" s="363"/>
      <c r="Q381" s="363"/>
      <c r="R381" s="363"/>
      <c r="S381" s="363"/>
      <c r="T381" s="363"/>
      <c r="U381" s="363"/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/>
      <c r="AF381" s="363"/>
      <c r="AG381" s="363"/>
      <c r="AH381" s="363"/>
      <c r="AI381" s="363"/>
      <c r="AJ381" s="363"/>
      <c r="AK381" s="363"/>
      <c r="AL381" s="363"/>
      <c r="AM381" s="363"/>
    </row>
    <row r="382" spans="2:39" ht="12.75" customHeight="1" x14ac:dyDescent="0.2">
      <c r="B382" s="362"/>
      <c r="C382" s="363"/>
      <c r="D382" s="363"/>
      <c r="E382" s="363"/>
      <c r="F382" s="363"/>
      <c r="G382" s="363"/>
      <c r="H382" s="363"/>
      <c r="I382" s="363"/>
      <c r="J382" s="363"/>
      <c r="K382" s="363"/>
      <c r="L382" s="363"/>
      <c r="M382" s="363"/>
      <c r="N382" s="363"/>
      <c r="O382" s="363"/>
      <c r="P382" s="363"/>
      <c r="Q382" s="363"/>
      <c r="R382" s="363"/>
      <c r="S382" s="363"/>
      <c r="T382" s="363"/>
      <c r="U382" s="363"/>
      <c r="V382" s="363"/>
      <c r="W382" s="363"/>
      <c r="X382" s="363"/>
      <c r="Y382" s="363"/>
      <c r="Z382" s="363"/>
      <c r="AA382" s="363"/>
      <c r="AB382" s="363"/>
      <c r="AC382" s="363"/>
      <c r="AD382" s="363"/>
      <c r="AE382" s="363"/>
      <c r="AF382" s="363"/>
      <c r="AG382" s="363"/>
      <c r="AH382" s="363"/>
      <c r="AI382" s="363"/>
      <c r="AJ382" s="363"/>
      <c r="AK382" s="363"/>
      <c r="AL382" s="363"/>
      <c r="AM382" s="363"/>
    </row>
    <row r="383" spans="2:39" ht="12.75" customHeight="1" x14ac:dyDescent="0.2">
      <c r="B383" s="362"/>
      <c r="C383" s="363"/>
      <c r="D383" s="363"/>
      <c r="E383" s="363"/>
      <c r="F383" s="363"/>
      <c r="G383" s="363"/>
      <c r="H383" s="363"/>
      <c r="I383" s="363"/>
      <c r="J383" s="363"/>
      <c r="K383" s="363"/>
      <c r="L383" s="363"/>
      <c r="M383" s="363"/>
      <c r="N383" s="363"/>
      <c r="O383" s="363"/>
      <c r="P383" s="363"/>
      <c r="Q383" s="363"/>
      <c r="R383" s="363"/>
      <c r="S383" s="363"/>
      <c r="T383" s="363"/>
      <c r="U383" s="363"/>
      <c r="V383" s="363"/>
      <c r="W383" s="363"/>
      <c r="X383" s="363"/>
      <c r="Y383" s="363"/>
      <c r="Z383" s="363"/>
      <c r="AA383" s="363"/>
      <c r="AB383" s="363"/>
      <c r="AC383" s="363"/>
      <c r="AD383" s="363"/>
      <c r="AE383" s="363"/>
      <c r="AF383" s="363"/>
      <c r="AG383" s="363"/>
      <c r="AH383" s="363"/>
      <c r="AI383" s="363"/>
      <c r="AJ383" s="363"/>
      <c r="AK383" s="363"/>
      <c r="AL383" s="363"/>
      <c r="AM383" s="363"/>
    </row>
    <row r="384" spans="2:39" ht="12.75" customHeight="1" x14ac:dyDescent="0.2">
      <c r="B384" s="362"/>
      <c r="C384" s="363"/>
      <c r="D384" s="363"/>
      <c r="E384" s="363"/>
      <c r="F384" s="363"/>
      <c r="G384" s="363"/>
      <c r="H384" s="363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3"/>
      <c r="T384" s="363"/>
      <c r="U384" s="363"/>
      <c r="V384" s="363"/>
      <c r="W384" s="363"/>
      <c r="X384" s="363"/>
      <c r="Y384" s="363"/>
      <c r="Z384" s="363"/>
      <c r="AA384" s="363"/>
      <c r="AB384" s="363"/>
      <c r="AC384" s="363"/>
      <c r="AD384" s="363"/>
      <c r="AE384" s="363"/>
      <c r="AF384" s="363"/>
      <c r="AG384" s="363"/>
      <c r="AH384" s="363"/>
      <c r="AI384" s="363"/>
      <c r="AJ384" s="363"/>
      <c r="AK384" s="363"/>
      <c r="AL384" s="363"/>
      <c r="AM384" s="363"/>
    </row>
    <row r="385" spans="2:39" ht="12.75" customHeight="1" x14ac:dyDescent="0.2">
      <c r="B385" s="362"/>
      <c r="C385" s="363"/>
      <c r="D385" s="363"/>
      <c r="E385" s="363"/>
      <c r="F385" s="363"/>
      <c r="G385" s="363"/>
      <c r="H385" s="363"/>
      <c r="I385" s="363"/>
      <c r="J385" s="363"/>
      <c r="K385" s="363"/>
      <c r="L385" s="363"/>
      <c r="M385" s="363"/>
      <c r="N385" s="363"/>
      <c r="O385" s="363"/>
      <c r="P385" s="363"/>
      <c r="Q385" s="363"/>
      <c r="R385" s="363"/>
      <c r="S385" s="363"/>
      <c r="T385" s="363"/>
      <c r="U385" s="363"/>
      <c r="V385" s="363"/>
      <c r="W385" s="363"/>
      <c r="X385" s="363"/>
      <c r="Y385" s="363"/>
      <c r="Z385" s="363"/>
      <c r="AA385" s="363"/>
      <c r="AB385" s="363"/>
      <c r="AC385" s="363"/>
      <c r="AD385" s="363"/>
      <c r="AE385" s="363"/>
      <c r="AF385" s="363"/>
      <c r="AG385" s="363"/>
      <c r="AH385" s="363"/>
      <c r="AI385" s="363"/>
      <c r="AJ385" s="363"/>
      <c r="AK385" s="363"/>
      <c r="AL385" s="363"/>
      <c r="AM385" s="363"/>
    </row>
    <row r="386" spans="2:39" ht="12.75" customHeight="1" x14ac:dyDescent="0.2">
      <c r="B386" s="362"/>
      <c r="C386" s="363"/>
      <c r="D386" s="363"/>
      <c r="E386" s="363"/>
      <c r="F386" s="363"/>
      <c r="G386" s="363"/>
      <c r="H386" s="363"/>
      <c r="I386" s="363"/>
      <c r="J386" s="363"/>
      <c r="K386" s="363"/>
      <c r="L386" s="363"/>
      <c r="M386" s="363"/>
      <c r="N386" s="363"/>
      <c r="O386" s="363"/>
      <c r="P386" s="363"/>
      <c r="Q386" s="363"/>
      <c r="R386" s="363"/>
      <c r="S386" s="363"/>
      <c r="T386" s="363"/>
      <c r="U386" s="363"/>
      <c r="V386" s="363"/>
      <c r="W386" s="363"/>
      <c r="X386" s="363"/>
      <c r="Y386" s="363"/>
      <c r="Z386" s="363"/>
      <c r="AA386" s="363"/>
      <c r="AB386" s="363"/>
      <c r="AC386" s="363"/>
      <c r="AD386" s="363"/>
      <c r="AE386" s="363"/>
      <c r="AF386" s="363"/>
      <c r="AG386" s="363"/>
      <c r="AH386" s="363"/>
      <c r="AI386" s="363"/>
      <c r="AJ386" s="363"/>
      <c r="AK386" s="363"/>
      <c r="AL386" s="363"/>
      <c r="AM386" s="363"/>
    </row>
    <row r="387" spans="2:39" ht="12.75" customHeight="1" x14ac:dyDescent="0.2">
      <c r="B387" s="362"/>
      <c r="C387" s="363"/>
      <c r="D387" s="363"/>
      <c r="E387" s="363"/>
      <c r="F387" s="363"/>
      <c r="G387" s="363"/>
      <c r="H387" s="363"/>
      <c r="I387" s="363"/>
      <c r="J387" s="363"/>
      <c r="K387" s="363"/>
      <c r="L387" s="363"/>
      <c r="M387" s="363"/>
      <c r="N387" s="363"/>
      <c r="O387" s="363"/>
      <c r="P387" s="363"/>
      <c r="Q387" s="363"/>
      <c r="R387" s="363"/>
      <c r="S387" s="363"/>
      <c r="T387" s="363"/>
      <c r="U387" s="363"/>
      <c r="V387" s="363"/>
      <c r="W387" s="363"/>
      <c r="X387" s="363"/>
      <c r="Y387" s="363"/>
      <c r="Z387" s="363"/>
      <c r="AA387" s="363"/>
      <c r="AB387" s="363"/>
      <c r="AC387" s="363"/>
      <c r="AD387" s="363"/>
      <c r="AE387" s="363"/>
      <c r="AF387" s="363"/>
      <c r="AG387" s="363"/>
      <c r="AH387" s="363"/>
      <c r="AI387" s="363"/>
      <c r="AJ387" s="363"/>
      <c r="AK387" s="363"/>
      <c r="AL387" s="363"/>
      <c r="AM387" s="363"/>
    </row>
    <row r="388" spans="2:39" ht="12.75" customHeight="1" x14ac:dyDescent="0.2">
      <c r="B388" s="362"/>
      <c r="C388" s="363"/>
      <c r="D388" s="363"/>
      <c r="E388" s="363"/>
      <c r="F388" s="363"/>
      <c r="G388" s="363"/>
      <c r="H388" s="363"/>
      <c r="I388" s="363"/>
      <c r="J388" s="363"/>
      <c r="K388" s="363"/>
      <c r="L388" s="363"/>
      <c r="M388" s="363"/>
      <c r="N388" s="363"/>
      <c r="O388" s="363"/>
      <c r="P388" s="363"/>
      <c r="Q388" s="363"/>
      <c r="R388" s="363"/>
      <c r="S388" s="363"/>
      <c r="T388" s="363"/>
      <c r="U388" s="363"/>
      <c r="V388" s="363"/>
      <c r="W388" s="363"/>
      <c r="X388" s="363"/>
      <c r="Y388" s="363"/>
      <c r="Z388" s="363"/>
      <c r="AA388" s="363"/>
      <c r="AB388" s="363"/>
      <c r="AC388" s="363"/>
      <c r="AD388" s="363"/>
      <c r="AE388" s="363"/>
      <c r="AF388" s="363"/>
      <c r="AG388" s="363"/>
      <c r="AH388" s="363"/>
      <c r="AI388" s="363"/>
      <c r="AJ388" s="363"/>
      <c r="AK388" s="363"/>
      <c r="AL388" s="363"/>
      <c r="AM388" s="363"/>
    </row>
    <row r="389" spans="2:39" ht="12.75" customHeight="1" x14ac:dyDescent="0.2">
      <c r="B389" s="362"/>
      <c r="C389" s="363"/>
      <c r="D389" s="363"/>
      <c r="E389" s="363"/>
      <c r="F389" s="363"/>
      <c r="G389" s="363"/>
      <c r="H389" s="363"/>
      <c r="I389" s="363"/>
      <c r="J389" s="363"/>
      <c r="K389" s="363"/>
      <c r="L389" s="363"/>
      <c r="M389" s="363"/>
      <c r="N389" s="363"/>
      <c r="O389" s="363"/>
      <c r="P389" s="363"/>
      <c r="Q389" s="363"/>
      <c r="R389" s="363"/>
      <c r="S389" s="363"/>
      <c r="T389" s="363"/>
      <c r="U389" s="363"/>
      <c r="V389" s="363"/>
      <c r="W389" s="363"/>
      <c r="X389" s="363"/>
      <c r="Y389" s="363"/>
      <c r="Z389" s="363"/>
      <c r="AA389" s="363"/>
      <c r="AB389" s="363"/>
      <c r="AC389" s="363"/>
      <c r="AD389" s="363"/>
      <c r="AE389" s="363"/>
      <c r="AF389" s="363"/>
      <c r="AG389" s="363"/>
      <c r="AH389" s="363"/>
      <c r="AI389" s="363"/>
      <c r="AJ389" s="363"/>
      <c r="AK389" s="363"/>
      <c r="AL389" s="363"/>
      <c r="AM389" s="363"/>
    </row>
    <row r="390" spans="2:39" ht="12.75" customHeight="1" x14ac:dyDescent="0.2">
      <c r="B390" s="362"/>
      <c r="C390" s="363"/>
      <c r="D390" s="363"/>
      <c r="E390" s="363"/>
      <c r="F390" s="363"/>
      <c r="G390" s="363"/>
      <c r="H390" s="363"/>
      <c r="I390" s="363"/>
      <c r="J390" s="363"/>
      <c r="K390" s="363"/>
      <c r="L390" s="363"/>
      <c r="M390" s="363"/>
      <c r="N390" s="363"/>
      <c r="O390" s="363"/>
      <c r="P390" s="363"/>
      <c r="Q390" s="363"/>
      <c r="R390" s="363"/>
      <c r="S390" s="363"/>
      <c r="T390" s="363"/>
      <c r="U390" s="363"/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/>
      <c r="AF390" s="363"/>
      <c r="AG390" s="363"/>
      <c r="AH390" s="363"/>
      <c r="AI390" s="363"/>
      <c r="AJ390" s="363"/>
      <c r="AK390" s="363"/>
      <c r="AL390" s="363"/>
      <c r="AM390" s="363"/>
    </row>
    <row r="391" spans="2:39" ht="12.75" customHeight="1" x14ac:dyDescent="0.2">
      <c r="B391" s="362"/>
      <c r="C391" s="363"/>
      <c r="D391" s="363"/>
      <c r="E391" s="363"/>
      <c r="F391" s="363"/>
      <c r="G391" s="363"/>
      <c r="H391" s="363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  <c r="Y391" s="363"/>
      <c r="Z391" s="363"/>
      <c r="AA391" s="363"/>
      <c r="AB391" s="363"/>
      <c r="AC391" s="363"/>
      <c r="AD391" s="363"/>
      <c r="AE391" s="363"/>
      <c r="AF391" s="363"/>
      <c r="AG391" s="363"/>
      <c r="AH391" s="363"/>
      <c r="AI391" s="363"/>
      <c r="AJ391" s="363"/>
      <c r="AK391" s="363"/>
      <c r="AL391" s="363"/>
      <c r="AM391" s="363"/>
    </row>
    <row r="392" spans="2:39" ht="12.75" customHeight="1" x14ac:dyDescent="0.2">
      <c r="B392" s="362"/>
      <c r="C392" s="363"/>
      <c r="D392" s="363"/>
      <c r="E392" s="363"/>
      <c r="F392" s="363"/>
      <c r="G392" s="363"/>
      <c r="H392" s="363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3"/>
      <c r="T392" s="363"/>
      <c r="U392" s="363"/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/>
      <c r="AF392" s="363"/>
      <c r="AG392" s="363"/>
      <c r="AH392" s="363"/>
      <c r="AI392" s="363"/>
      <c r="AJ392" s="363"/>
      <c r="AK392" s="363"/>
      <c r="AL392" s="363"/>
      <c r="AM392" s="363"/>
    </row>
    <row r="393" spans="2:39" ht="12.75" customHeight="1" x14ac:dyDescent="0.2">
      <c r="B393" s="362"/>
      <c r="C393" s="363"/>
      <c r="D393" s="363"/>
      <c r="E393" s="363"/>
      <c r="F393" s="363"/>
      <c r="G393" s="363"/>
      <c r="H393" s="363"/>
      <c r="I393" s="363"/>
      <c r="J393" s="363"/>
      <c r="K393" s="363"/>
      <c r="L393" s="363"/>
      <c r="M393" s="363"/>
      <c r="N393" s="363"/>
      <c r="O393" s="363"/>
      <c r="P393" s="363"/>
      <c r="Q393" s="363"/>
      <c r="R393" s="363"/>
      <c r="S393" s="363"/>
      <c r="T393" s="363"/>
      <c r="U393" s="363"/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/>
      <c r="AF393" s="363"/>
      <c r="AG393" s="363"/>
      <c r="AH393" s="363"/>
      <c r="AI393" s="363"/>
      <c r="AJ393" s="363"/>
      <c r="AK393" s="363"/>
      <c r="AL393" s="363"/>
      <c r="AM393" s="363"/>
    </row>
    <row r="394" spans="2:39" ht="12.75" customHeight="1" x14ac:dyDescent="0.2">
      <c r="B394" s="362"/>
      <c r="C394" s="363"/>
      <c r="D394" s="363"/>
      <c r="E394" s="363"/>
      <c r="F394" s="363"/>
      <c r="G394" s="363"/>
      <c r="H394" s="363"/>
      <c r="I394" s="363"/>
      <c r="J394" s="363"/>
      <c r="K394" s="363"/>
      <c r="L394" s="363"/>
      <c r="M394" s="363"/>
      <c r="N394" s="363"/>
      <c r="O394" s="363"/>
      <c r="P394" s="363"/>
      <c r="Q394" s="363"/>
      <c r="R394" s="363"/>
      <c r="S394" s="363"/>
      <c r="T394" s="363"/>
      <c r="U394" s="363"/>
      <c r="V394" s="363"/>
      <c r="W394" s="363"/>
      <c r="X394" s="363"/>
      <c r="Y394" s="363"/>
      <c r="Z394" s="363"/>
      <c r="AA394" s="363"/>
      <c r="AB394" s="363"/>
      <c r="AC394" s="363"/>
      <c r="AD394" s="363"/>
      <c r="AE394" s="363"/>
      <c r="AF394" s="363"/>
      <c r="AG394" s="363"/>
      <c r="AH394" s="363"/>
      <c r="AI394" s="363"/>
      <c r="AJ394" s="363"/>
      <c r="AK394" s="363"/>
      <c r="AL394" s="363"/>
      <c r="AM394" s="363"/>
    </row>
    <row r="395" spans="2:39" ht="12.75" customHeight="1" x14ac:dyDescent="0.2">
      <c r="B395" s="362"/>
      <c r="C395" s="363"/>
      <c r="D395" s="363"/>
      <c r="E395" s="363"/>
      <c r="F395" s="363"/>
      <c r="G395" s="363"/>
      <c r="H395" s="363"/>
      <c r="I395" s="363"/>
      <c r="J395" s="363"/>
      <c r="K395" s="363"/>
      <c r="L395" s="363"/>
      <c r="M395" s="363"/>
      <c r="N395" s="363"/>
      <c r="O395" s="363"/>
      <c r="P395" s="363"/>
      <c r="Q395" s="363"/>
      <c r="R395" s="363"/>
      <c r="S395" s="363"/>
      <c r="T395" s="363"/>
      <c r="U395" s="363"/>
      <c r="V395" s="363"/>
      <c r="W395" s="363"/>
      <c r="X395" s="363"/>
      <c r="Y395" s="363"/>
      <c r="Z395" s="363"/>
      <c r="AA395" s="363"/>
      <c r="AB395" s="363"/>
      <c r="AC395" s="363"/>
      <c r="AD395" s="363"/>
      <c r="AE395" s="363"/>
      <c r="AF395" s="363"/>
      <c r="AG395" s="363"/>
      <c r="AH395" s="363"/>
      <c r="AI395" s="363"/>
      <c r="AJ395" s="363"/>
      <c r="AK395" s="363"/>
      <c r="AL395" s="363"/>
      <c r="AM395" s="363"/>
    </row>
    <row r="396" spans="2:39" ht="12.75" customHeight="1" x14ac:dyDescent="0.2">
      <c r="B396" s="362"/>
      <c r="C396" s="363"/>
      <c r="D396" s="363"/>
      <c r="E396" s="363"/>
      <c r="F396" s="363"/>
      <c r="G396" s="363"/>
      <c r="H396" s="363"/>
      <c r="I396" s="363"/>
      <c r="J396" s="363"/>
      <c r="K396" s="363"/>
      <c r="L396" s="363"/>
      <c r="M396" s="363"/>
      <c r="N396" s="363"/>
      <c r="O396" s="363"/>
      <c r="P396" s="363"/>
      <c r="Q396" s="363"/>
      <c r="R396" s="363"/>
      <c r="S396" s="363"/>
      <c r="T396" s="363"/>
      <c r="U396" s="363"/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/>
      <c r="AF396" s="363"/>
      <c r="AG396" s="363"/>
      <c r="AH396" s="363"/>
      <c r="AI396" s="363"/>
      <c r="AJ396" s="363"/>
      <c r="AK396" s="363"/>
      <c r="AL396" s="363"/>
      <c r="AM396" s="363"/>
    </row>
    <row r="397" spans="2:39" ht="12.75" customHeight="1" x14ac:dyDescent="0.2">
      <c r="B397" s="362"/>
      <c r="C397" s="363"/>
      <c r="D397" s="363"/>
      <c r="E397" s="363"/>
      <c r="F397" s="363"/>
      <c r="G397" s="363"/>
      <c r="H397" s="363"/>
      <c r="I397" s="363"/>
      <c r="J397" s="363"/>
      <c r="K397" s="363"/>
      <c r="L397" s="363"/>
      <c r="M397" s="363"/>
      <c r="N397" s="363"/>
      <c r="O397" s="363"/>
      <c r="P397" s="363"/>
      <c r="Q397" s="363"/>
      <c r="R397" s="363"/>
      <c r="S397" s="363"/>
      <c r="T397" s="363"/>
      <c r="U397" s="363"/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/>
      <c r="AF397" s="363"/>
      <c r="AG397" s="363"/>
      <c r="AH397" s="363"/>
      <c r="AI397" s="363"/>
      <c r="AJ397" s="363"/>
      <c r="AK397" s="363"/>
      <c r="AL397" s="363"/>
      <c r="AM397" s="363"/>
    </row>
    <row r="398" spans="2:39" ht="12.75" customHeight="1" x14ac:dyDescent="0.2">
      <c r="B398" s="362"/>
      <c r="C398" s="363"/>
      <c r="D398" s="363"/>
      <c r="E398" s="363"/>
      <c r="F398" s="363"/>
      <c r="G398" s="363"/>
      <c r="H398" s="363"/>
      <c r="I398" s="363"/>
      <c r="J398" s="363"/>
      <c r="K398" s="363"/>
      <c r="L398" s="363"/>
      <c r="M398" s="363"/>
      <c r="N398" s="363"/>
      <c r="O398" s="363"/>
      <c r="P398" s="363"/>
      <c r="Q398" s="363"/>
      <c r="R398" s="363"/>
      <c r="S398" s="363"/>
      <c r="T398" s="363"/>
      <c r="U398" s="363"/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/>
      <c r="AF398" s="363"/>
      <c r="AG398" s="363"/>
      <c r="AH398" s="363"/>
      <c r="AI398" s="363"/>
      <c r="AJ398" s="363"/>
      <c r="AK398" s="363"/>
      <c r="AL398" s="363"/>
      <c r="AM398" s="363"/>
    </row>
    <row r="399" spans="2:39" ht="12.75" customHeight="1" x14ac:dyDescent="0.2">
      <c r="B399" s="362"/>
      <c r="C399" s="363"/>
      <c r="D399" s="363"/>
      <c r="E399" s="363"/>
      <c r="F399" s="363"/>
      <c r="G399" s="363"/>
      <c r="H399" s="363"/>
      <c r="I399" s="363"/>
      <c r="J399" s="363"/>
      <c r="K399" s="363"/>
      <c r="L399" s="363"/>
      <c r="M399" s="363"/>
      <c r="N399" s="363"/>
      <c r="O399" s="363"/>
      <c r="P399" s="363"/>
      <c r="Q399" s="363"/>
      <c r="R399" s="363"/>
      <c r="S399" s="363"/>
      <c r="T399" s="363"/>
      <c r="U399" s="363"/>
      <c r="V399" s="363"/>
      <c r="W399" s="363"/>
      <c r="X399" s="363"/>
      <c r="Y399" s="363"/>
      <c r="Z399" s="363"/>
      <c r="AA399" s="363"/>
      <c r="AB399" s="363"/>
      <c r="AC399" s="363"/>
      <c r="AD399" s="363"/>
      <c r="AE399" s="363"/>
      <c r="AF399" s="363"/>
      <c r="AG399" s="363"/>
      <c r="AH399" s="363"/>
      <c r="AI399" s="363"/>
      <c r="AJ399" s="363"/>
      <c r="AK399" s="363"/>
      <c r="AL399" s="363"/>
      <c r="AM399" s="363"/>
    </row>
    <row r="400" spans="2:39" ht="12.75" customHeight="1" x14ac:dyDescent="0.2">
      <c r="B400" s="362"/>
      <c r="C400" s="363"/>
      <c r="D400" s="363"/>
      <c r="E400" s="363"/>
      <c r="F400" s="363"/>
      <c r="G400" s="363"/>
      <c r="H400" s="363"/>
      <c r="I400" s="363"/>
      <c r="J400" s="363"/>
      <c r="K400" s="363"/>
      <c r="L400" s="363"/>
      <c r="M400" s="363"/>
      <c r="N400" s="363"/>
      <c r="O400" s="363"/>
      <c r="P400" s="363"/>
      <c r="Q400" s="363"/>
      <c r="R400" s="363"/>
      <c r="S400" s="363"/>
      <c r="T400" s="363"/>
      <c r="U400" s="363"/>
      <c r="V400" s="363"/>
      <c r="W400" s="363"/>
      <c r="X400" s="363"/>
      <c r="Y400" s="363"/>
      <c r="Z400" s="363"/>
      <c r="AA400" s="363"/>
      <c r="AB400" s="363"/>
      <c r="AC400" s="363"/>
      <c r="AD400" s="363"/>
      <c r="AE400" s="363"/>
      <c r="AF400" s="363"/>
      <c r="AG400" s="363"/>
      <c r="AH400" s="363"/>
      <c r="AI400" s="363"/>
      <c r="AJ400" s="363"/>
      <c r="AK400" s="363"/>
      <c r="AL400" s="363"/>
      <c r="AM400" s="363"/>
    </row>
    <row r="401" spans="2:39" ht="12.75" customHeight="1" x14ac:dyDescent="0.2">
      <c r="B401" s="362"/>
      <c r="C401" s="363"/>
      <c r="D401" s="363"/>
      <c r="E401" s="363"/>
      <c r="F401" s="363"/>
      <c r="G401" s="363"/>
      <c r="H401" s="363"/>
      <c r="I401" s="363"/>
      <c r="J401" s="363"/>
      <c r="K401" s="363"/>
      <c r="L401" s="363"/>
      <c r="M401" s="363"/>
      <c r="N401" s="363"/>
      <c r="O401" s="363"/>
      <c r="P401" s="363"/>
      <c r="Q401" s="363"/>
      <c r="R401" s="363"/>
      <c r="S401" s="363"/>
      <c r="T401" s="363"/>
      <c r="U401" s="363"/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/>
      <c r="AF401" s="363"/>
      <c r="AG401" s="363"/>
      <c r="AH401" s="363"/>
      <c r="AI401" s="363"/>
      <c r="AJ401" s="363"/>
      <c r="AK401" s="363"/>
      <c r="AL401" s="363"/>
      <c r="AM401" s="363"/>
    </row>
    <row r="402" spans="2:39" ht="12.75" customHeight="1" x14ac:dyDescent="0.2">
      <c r="B402" s="362"/>
      <c r="C402" s="363"/>
      <c r="D402" s="363"/>
      <c r="E402" s="363"/>
      <c r="F402" s="363"/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3"/>
      <c r="T402" s="363"/>
      <c r="U402" s="363"/>
      <c r="V402" s="363"/>
      <c r="W402" s="363"/>
      <c r="X402" s="363"/>
      <c r="Y402" s="363"/>
      <c r="Z402" s="363"/>
      <c r="AA402" s="363"/>
      <c r="AB402" s="363"/>
      <c r="AC402" s="363"/>
      <c r="AD402" s="363"/>
      <c r="AE402" s="363"/>
      <c r="AF402" s="363"/>
      <c r="AG402" s="363"/>
      <c r="AH402" s="363"/>
      <c r="AI402" s="363"/>
      <c r="AJ402" s="363"/>
      <c r="AK402" s="363"/>
      <c r="AL402" s="363"/>
      <c r="AM402" s="363"/>
    </row>
    <row r="403" spans="2:39" ht="12.75" customHeight="1" x14ac:dyDescent="0.2">
      <c r="B403" s="362"/>
      <c r="C403" s="363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  <c r="X403" s="363"/>
      <c r="Y403" s="363"/>
      <c r="Z403" s="363"/>
      <c r="AA403" s="363"/>
      <c r="AB403" s="363"/>
      <c r="AC403" s="363"/>
      <c r="AD403" s="363"/>
      <c r="AE403" s="363"/>
      <c r="AF403" s="363"/>
      <c r="AG403" s="363"/>
      <c r="AH403" s="363"/>
      <c r="AI403" s="363"/>
      <c r="AJ403" s="363"/>
      <c r="AK403" s="363"/>
      <c r="AL403" s="363"/>
      <c r="AM403" s="363"/>
    </row>
    <row r="404" spans="2:39" ht="12.75" customHeight="1" x14ac:dyDescent="0.2">
      <c r="B404" s="362"/>
      <c r="C404" s="363"/>
      <c r="D404" s="363"/>
      <c r="E404" s="363"/>
      <c r="F404" s="363"/>
      <c r="G404" s="363"/>
      <c r="H404" s="363"/>
      <c r="I404" s="363"/>
      <c r="J404" s="363"/>
      <c r="K404" s="363"/>
      <c r="L404" s="363"/>
      <c r="M404" s="363"/>
      <c r="N404" s="363"/>
      <c r="O404" s="363"/>
      <c r="P404" s="363"/>
      <c r="Q404" s="363"/>
      <c r="R404" s="363"/>
      <c r="S404" s="363"/>
      <c r="T404" s="363"/>
      <c r="U404" s="363"/>
      <c r="V404" s="363"/>
      <c r="W404" s="363"/>
      <c r="X404" s="363"/>
      <c r="Y404" s="363"/>
      <c r="Z404" s="363"/>
      <c r="AA404" s="363"/>
      <c r="AB404" s="363"/>
      <c r="AC404" s="363"/>
      <c r="AD404" s="363"/>
      <c r="AE404" s="363"/>
      <c r="AF404" s="363"/>
      <c r="AG404" s="363"/>
      <c r="AH404" s="363"/>
      <c r="AI404" s="363"/>
      <c r="AJ404" s="363"/>
      <c r="AK404" s="363"/>
      <c r="AL404" s="363"/>
      <c r="AM404" s="363"/>
    </row>
    <row r="405" spans="2:39" ht="12.75" customHeight="1" x14ac:dyDescent="0.2">
      <c r="B405" s="362"/>
      <c r="C405" s="363"/>
      <c r="D405" s="363"/>
      <c r="E405" s="363"/>
      <c r="F405" s="363"/>
      <c r="G405" s="363"/>
      <c r="H405" s="363"/>
      <c r="I405" s="363"/>
      <c r="J405" s="363"/>
      <c r="K405" s="363"/>
      <c r="L405" s="363"/>
      <c r="M405" s="363"/>
      <c r="N405" s="363"/>
      <c r="O405" s="363"/>
      <c r="P405" s="363"/>
      <c r="Q405" s="363"/>
      <c r="R405" s="363"/>
      <c r="S405" s="363"/>
      <c r="T405" s="363"/>
      <c r="U405" s="363"/>
      <c r="V405" s="363"/>
      <c r="W405" s="363"/>
      <c r="X405" s="363"/>
      <c r="Y405" s="363"/>
      <c r="Z405" s="363"/>
      <c r="AA405" s="363"/>
      <c r="AB405" s="363"/>
      <c r="AC405" s="363"/>
      <c r="AD405" s="363"/>
      <c r="AE405" s="363"/>
      <c r="AF405" s="363"/>
      <c r="AG405" s="363"/>
      <c r="AH405" s="363"/>
      <c r="AI405" s="363"/>
      <c r="AJ405" s="363"/>
      <c r="AK405" s="363"/>
      <c r="AL405" s="363"/>
      <c r="AM405" s="363"/>
    </row>
    <row r="406" spans="2:39" ht="12.75" customHeight="1" x14ac:dyDescent="0.2">
      <c r="B406" s="362"/>
      <c r="C406" s="363"/>
      <c r="D406" s="363"/>
      <c r="E406" s="363"/>
      <c r="F406" s="363"/>
      <c r="G406" s="363"/>
      <c r="H406" s="363"/>
      <c r="I406" s="363"/>
      <c r="J406" s="363"/>
      <c r="K406" s="363"/>
      <c r="L406" s="363"/>
      <c r="M406" s="363"/>
      <c r="N406" s="363"/>
      <c r="O406" s="363"/>
      <c r="P406" s="363"/>
      <c r="Q406" s="363"/>
      <c r="R406" s="363"/>
      <c r="S406" s="363"/>
      <c r="T406" s="363"/>
      <c r="U406" s="363"/>
      <c r="V406" s="363"/>
      <c r="W406" s="363"/>
      <c r="X406" s="363"/>
      <c r="Y406" s="363"/>
      <c r="Z406" s="363"/>
      <c r="AA406" s="363"/>
      <c r="AB406" s="363"/>
      <c r="AC406" s="363"/>
      <c r="AD406" s="363"/>
      <c r="AE406" s="363"/>
      <c r="AF406" s="363"/>
      <c r="AG406" s="363"/>
      <c r="AH406" s="363"/>
      <c r="AI406" s="363"/>
      <c r="AJ406" s="363"/>
      <c r="AK406" s="363"/>
      <c r="AL406" s="363"/>
      <c r="AM406" s="363"/>
    </row>
    <row r="407" spans="2:39" ht="12.75" customHeight="1" x14ac:dyDescent="0.2">
      <c r="B407" s="362"/>
      <c r="C407" s="363"/>
      <c r="D407" s="363"/>
      <c r="E407" s="363"/>
      <c r="F407" s="363"/>
      <c r="G407" s="363"/>
      <c r="H407" s="363"/>
      <c r="I407" s="363"/>
      <c r="J407" s="363"/>
      <c r="K407" s="363"/>
      <c r="L407" s="363"/>
      <c r="M407" s="363"/>
      <c r="N407" s="363"/>
      <c r="O407" s="363"/>
      <c r="P407" s="363"/>
      <c r="Q407" s="363"/>
      <c r="R407" s="363"/>
      <c r="S407" s="363"/>
      <c r="T407" s="363"/>
      <c r="U407" s="363"/>
      <c r="V407" s="363"/>
      <c r="W407" s="363"/>
      <c r="X407" s="363"/>
      <c r="Y407" s="363"/>
      <c r="Z407" s="363"/>
      <c r="AA407" s="363"/>
      <c r="AB407" s="363"/>
      <c r="AC407" s="363"/>
      <c r="AD407" s="363"/>
      <c r="AE407" s="363"/>
      <c r="AF407" s="363"/>
      <c r="AG407" s="363"/>
      <c r="AH407" s="363"/>
      <c r="AI407" s="363"/>
      <c r="AJ407" s="363"/>
      <c r="AK407" s="363"/>
      <c r="AL407" s="363"/>
      <c r="AM407" s="363"/>
    </row>
    <row r="408" spans="2:39" ht="12.75" customHeight="1" x14ac:dyDescent="0.2">
      <c r="B408" s="362"/>
      <c r="C408" s="363"/>
      <c r="D408" s="363"/>
      <c r="E408" s="363"/>
      <c r="F408" s="363"/>
      <c r="G408" s="363"/>
      <c r="H408" s="363"/>
      <c r="I408" s="363"/>
      <c r="J408" s="363"/>
      <c r="K408" s="363"/>
      <c r="L408" s="363"/>
      <c r="M408" s="363"/>
      <c r="N408" s="363"/>
      <c r="O408" s="363"/>
      <c r="P408" s="363"/>
      <c r="Q408" s="363"/>
      <c r="R408" s="363"/>
      <c r="S408" s="363"/>
      <c r="T408" s="363"/>
      <c r="U408" s="363"/>
      <c r="V408" s="363"/>
      <c r="W408" s="363"/>
      <c r="X408" s="363"/>
      <c r="Y408" s="363"/>
      <c r="Z408" s="363"/>
      <c r="AA408" s="363"/>
      <c r="AB408" s="363"/>
      <c r="AC408" s="363"/>
      <c r="AD408" s="363"/>
      <c r="AE408" s="363"/>
      <c r="AF408" s="363"/>
      <c r="AG408" s="363"/>
      <c r="AH408" s="363"/>
      <c r="AI408" s="363"/>
      <c r="AJ408" s="363"/>
      <c r="AK408" s="363"/>
      <c r="AL408" s="363"/>
      <c r="AM408" s="363"/>
    </row>
    <row r="409" spans="2:39" ht="12.75" customHeight="1" x14ac:dyDescent="0.2">
      <c r="B409" s="362"/>
      <c r="C409" s="363"/>
      <c r="D409" s="363"/>
      <c r="E409" s="363"/>
      <c r="F409" s="363"/>
      <c r="G409" s="363"/>
      <c r="H409" s="363"/>
      <c r="I409" s="363"/>
      <c r="J409" s="363"/>
      <c r="K409" s="363"/>
      <c r="L409" s="363"/>
      <c r="M409" s="363"/>
      <c r="N409" s="363"/>
      <c r="O409" s="363"/>
      <c r="P409" s="363"/>
      <c r="Q409" s="363"/>
      <c r="R409" s="363"/>
      <c r="S409" s="363"/>
      <c r="T409" s="363"/>
      <c r="U409" s="363"/>
      <c r="V409" s="363"/>
      <c r="W409" s="363"/>
      <c r="X409" s="363"/>
      <c r="Y409" s="363"/>
      <c r="Z409" s="363"/>
      <c r="AA409" s="363"/>
      <c r="AB409" s="363"/>
      <c r="AC409" s="363"/>
      <c r="AD409" s="363"/>
      <c r="AE409" s="363"/>
      <c r="AF409" s="363"/>
      <c r="AG409" s="363"/>
      <c r="AH409" s="363"/>
      <c r="AI409" s="363"/>
      <c r="AJ409" s="363"/>
      <c r="AK409" s="363"/>
      <c r="AL409" s="363"/>
      <c r="AM409" s="363"/>
    </row>
    <row r="410" spans="2:39" ht="12.75" customHeight="1" x14ac:dyDescent="0.2">
      <c r="B410" s="362"/>
      <c r="C410" s="363"/>
      <c r="D410" s="363"/>
      <c r="E410" s="363"/>
      <c r="F410" s="363"/>
      <c r="G410" s="363"/>
      <c r="H410" s="363"/>
      <c r="I410" s="363"/>
      <c r="J410" s="363"/>
      <c r="K410" s="363"/>
      <c r="L410" s="363"/>
      <c r="M410" s="363"/>
      <c r="N410" s="363"/>
      <c r="O410" s="363"/>
      <c r="P410" s="363"/>
      <c r="Q410" s="363"/>
      <c r="R410" s="363"/>
      <c r="S410" s="363"/>
      <c r="T410" s="363"/>
      <c r="U410" s="363"/>
      <c r="V410" s="363"/>
      <c r="W410" s="363"/>
      <c r="X410" s="363"/>
      <c r="Y410" s="363"/>
      <c r="Z410" s="363"/>
      <c r="AA410" s="363"/>
      <c r="AB410" s="363"/>
      <c r="AC410" s="363"/>
      <c r="AD410" s="363"/>
      <c r="AE410" s="363"/>
      <c r="AF410" s="363"/>
      <c r="AG410" s="363"/>
      <c r="AH410" s="363"/>
      <c r="AI410" s="363"/>
      <c r="AJ410" s="363"/>
      <c r="AK410" s="363"/>
      <c r="AL410" s="363"/>
      <c r="AM410" s="363"/>
    </row>
    <row r="411" spans="2:39" ht="12.75" customHeight="1" x14ac:dyDescent="0.2">
      <c r="B411" s="362"/>
      <c r="C411" s="363"/>
      <c r="D411" s="363"/>
      <c r="E411" s="363"/>
      <c r="F411" s="363"/>
      <c r="G411" s="363"/>
      <c r="H411" s="363"/>
      <c r="I411" s="363"/>
      <c r="J411" s="363"/>
      <c r="K411" s="363"/>
      <c r="L411" s="363"/>
      <c r="M411" s="363"/>
      <c r="N411" s="363"/>
      <c r="O411" s="363"/>
      <c r="P411" s="363"/>
      <c r="Q411" s="363"/>
      <c r="R411" s="363"/>
      <c r="S411" s="363"/>
      <c r="T411" s="363"/>
      <c r="U411" s="363"/>
      <c r="V411" s="363"/>
      <c r="W411" s="363"/>
      <c r="X411" s="363"/>
      <c r="Y411" s="363"/>
      <c r="Z411" s="363"/>
      <c r="AA411" s="363"/>
      <c r="AB411" s="363"/>
      <c r="AC411" s="363"/>
      <c r="AD411" s="363"/>
      <c r="AE411" s="363"/>
      <c r="AF411" s="363"/>
      <c r="AG411" s="363"/>
      <c r="AH411" s="363"/>
      <c r="AI411" s="363"/>
      <c r="AJ411" s="363"/>
      <c r="AK411" s="363"/>
      <c r="AL411" s="363"/>
      <c r="AM411" s="363"/>
    </row>
    <row r="412" spans="2:39" ht="12.75" customHeight="1" x14ac:dyDescent="0.2">
      <c r="B412" s="362"/>
      <c r="C412" s="363"/>
      <c r="D412" s="363"/>
      <c r="E412" s="363"/>
      <c r="F412" s="363"/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3"/>
      <c r="T412" s="363"/>
      <c r="U412" s="363"/>
      <c r="V412" s="363"/>
      <c r="W412" s="363"/>
      <c r="X412" s="363"/>
      <c r="Y412" s="363"/>
      <c r="Z412" s="363"/>
      <c r="AA412" s="363"/>
      <c r="AB412" s="363"/>
      <c r="AC412" s="363"/>
      <c r="AD412" s="363"/>
      <c r="AE412" s="363"/>
      <c r="AF412" s="363"/>
      <c r="AG412" s="363"/>
      <c r="AH412" s="363"/>
      <c r="AI412" s="363"/>
      <c r="AJ412" s="363"/>
      <c r="AK412" s="363"/>
      <c r="AL412" s="363"/>
      <c r="AM412" s="363"/>
    </row>
    <row r="413" spans="2:39" ht="12.75" customHeight="1" x14ac:dyDescent="0.2">
      <c r="B413" s="362"/>
      <c r="C413" s="363"/>
      <c r="D413" s="363"/>
      <c r="E413" s="363"/>
      <c r="F413" s="363"/>
      <c r="G413" s="363"/>
      <c r="H413" s="363"/>
      <c r="I413" s="363"/>
      <c r="J413" s="363"/>
      <c r="K413" s="363"/>
      <c r="L413" s="363"/>
      <c r="M413" s="363"/>
      <c r="N413" s="363"/>
      <c r="O413" s="363"/>
      <c r="P413" s="363"/>
      <c r="Q413" s="363"/>
      <c r="R413" s="363"/>
      <c r="S413" s="363"/>
      <c r="T413" s="363"/>
      <c r="U413" s="363"/>
      <c r="V413" s="363"/>
      <c r="W413" s="363"/>
      <c r="X413" s="363"/>
      <c r="Y413" s="363"/>
      <c r="Z413" s="363"/>
      <c r="AA413" s="363"/>
      <c r="AB413" s="363"/>
      <c r="AC413" s="363"/>
      <c r="AD413" s="363"/>
      <c r="AE413" s="363"/>
      <c r="AF413" s="363"/>
      <c r="AG413" s="363"/>
      <c r="AH413" s="363"/>
      <c r="AI413" s="363"/>
      <c r="AJ413" s="363"/>
      <c r="AK413" s="363"/>
      <c r="AL413" s="363"/>
      <c r="AM413" s="363"/>
    </row>
    <row r="414" spans="2:39" ht="12.75" customHeight="1" x14ac:dyDescent="0.2">
      <c r="B414" s="362"/>
      <c r="C414" s="363"/>
      <c r="D414" s="363"/>
      <c r="E414" s="363"/>
      <c r="F414" s="363"/>
      <c r="G414" s="363"/>
      <c r="H414" s="363"/>
      <c r="I414" s="363"/>
      <c r="J414" s="363"/>
      <c r="K414" s="363"/>
      <c r="L414" s="363"/>
      <c r="M414" s="363"/>
      <c r="N414" s="363"/>
      <c r="O414" s="363"/>
      <c r="P414" s="363"/>
      <c r="Q414" s="363"/>
      <c r="R414" s="363"/>
      <c r="S414" s="363"/>
      <c r="T414" s="363"/>
      <c r="U414" s="363"/>
      <c r="V414" s="363"/>
      <c r="W414" s="363"/>
      <c r="X414" s="363"/>
      <c r="Y414" s="363"/>
      <c r="Z414" s="363"/>
      <c r="AA414" s="363"/>
      <c r="AB414" s="363"/>
      <c r="AC414" s="363"/>
      <c r="AD414" s="363"/>
      <c r="AE414" s="363"/>
      <c r="AF414" s="363"/>
      <c r="AG414" s="363"/>
      <c r="AH414" s="363"/>
      <c r="AI414" s="363"/>
      <c r="AJ414" s="363"/>
      <c r="AK414" s="363"/>
      <c r="AL414" s="363"/>
      <c r="AM414" s="363"/>
    </row>
    <row r="415" spans="2:39" ht="12.75" customHeight="1" x14ac:dyDescent="0.2">
      <c r="B415" s="362"/>
      <c r="C415" s="363"/>
      <c r="D415" s="363"/>
      <c r="E415" s="363"/>
      <c r="F415" s="363"/>
      <c r="G415" s="363"/>
      <c r="H415" s="363"/>
      <c r="I415" s="363"/>
      <c r="J415" s="363"/>
      <c r="K415" s="363"/>
      <c r="L415" s="363"/>
      <c r="M415" s="363"/>
      <c r="N415" s="363"/>
      <c r="O415" s="363"/>
      <c r="P415" s="363"/>
      <c r="Q415" s="363"/>
      <c r="R415" s="363"/>
      <c r="S415" s="363"/>
      <c r="T415" s="363"/>
      <c r="U415" s="363"/>
      <c r="V415" s="363"/>
      <c r="W415" s="363"/>
      <c r="X415" s="363"/>
      <c r="Y415" s="363"/>
      <c r="Z415" s="363"/>
      <c r="AA415" s="363"/>
      <c r="AB415" s="363"/>
      <c r="AC415" s="363"/>
      <c r="AD415" s="363"/>
      <c r="AE415" s="363"/>
      <c r="AF415" s="363"/>
      <c r="AG415" s="363"/>
      <c r="AH415" s="363"/>
      <c r="AI415" s="363"/>
      <c r="AJ415" s="363"/>
      <c r="AK415" s="363"/>
      <c r="AL415" s="363"/>
      <c r="AM415" s="363"/>
    </row>
    <row r="416" spans="2:39" ht="12.75" customHeight="1" x14ac:dyDescent="0.2">
      <c r="B416" s="362"/>
      <c r="C416" s="363"/>
      <c r="D416" s="363"/>
      <c r="E416" s="363"/>
      <c r="F416" s="363"/>
      <c r="G416" s="363"/>
      <c r="H416" s="363"/>
      <c r="I416" s="363"/>
      <c r="J416" s="363"/>
      <c r="K416" s="363"/>
      <c r="L416" s="363"/>
      <c r="M416" s="363"/>
      <c r="N416" s="363"/>
      <c r="O416" s="363"/>
      <c r="P416" s="363"/>
      <c r="Q416" s="363"/>
      <c r="R416" s="363"/>
      <c r="S416" s="363"/>
      <c r="T416" s="363"/>
      <c r="U416" s="363"/>
      <c r="V416" s="363"/>
      <c r="W416" s="363"/>
      <c r="X416" s="363"/>
      <c r="Y416" s="363"/>
      <c r="Z416" s="363"/>
      <c r="AA416" s="363"/>
      <c r="AB416" s="363"/>
      <c r="AC416" s="363"/>
      <c r="AD416" s="363"/>
      <c r="AE416" s="363"/>
      <c r="AF416" s="363"/>
      <c r="AG416" s="363"/>
      <c r="AH416" s="363"/>
      <c r="AI416" s="363"/>
      <c r="AJ416" s="363"/>
      <c r="AK416" s="363"/>
      <c r="AL416" s="363"/>
      <c r="AM416" s="363"/>
    </row>
    <row r="417" spans="2:39" ht="12.75" customHeight="1" x14ac:dyDescent="0.2">
      <c r="B417" s="362"/>
      <c r="C417" s="363"/>
      <c r="D417" s="363"/>
      <c r="E417" s="363"/>
      <c r="F417" s="363"/>
      <c r="G417" s="363"/>
      <c r="H417" s="363"/>
      <c r="I417" s="363"/>
      <c r="J417" s="363"/>
      <c r="K417" s="363"/>
      <c r="L417" s="363"/>
      <c r="M417" s="363"/>
      <c r="N417" s="363"/>
      <c r="O417" s="363"/>
      <c r="P417" s="363"/>
      <c r="Q417" s="363"/>
      <c r="R417" s="363"/>
      <c r="S417" s="363"/>
      <c r="T417" s="363"/>
      <c r="U417" s="363"/>
      <c r="V417" s="363"/>
      <c r="W417" s="363"/>
      <c r="X417" s="363"/>
      <c r="Y417" s="363"/>
      <c r="Z417" s="363"/>
      <c r="AA417" s="363"/>
      <c r="AB417" s="363"/>
      <c r="AC417" s="363"/>
      <c r="AD417" s="363"/>
      <c r="AE417" s="363"/>
      <c r="AF417" s="363"/>
      <c r="AG417" s="363"/>
      <c r="AH417" s="363"/>
      <c r="AI417" s="363"/>
      <c r="AJ417" s="363"/>
      <c r="AK417" s="363"/>
      <c r="AL417" s="363"/>
      <c r="AM417" s="363"/>
    </row>
    <row r="418" spans="2:39" ht="12.75" customHeight="1" x14ac:dyDescent="0.2">
      <c r="B418" s="362"/>
      <c r="C418" s="363"/>
      <c r="D418" s="363"/>
      <c r="E418" s="363"/>
      <c r="F418" s="363"/>
      <c r="G418" s="363"/>
      <c r="H418" s="363"/>
      <c r="I418" s="363"/>
      <c r="J418" s="363"/>
      <c r="K418" s="363"/>
      <c r="L418" s="363"/>
      <c r="M418" s="363"/>
      <c r="N418" s="363"/>
      <c r="O418" s="363"/>
      <c r="P418" s="363"/>
      <c r="Q418" s="363"/>
      <c r="R418" s="363"/>
      <c r="S418" s="363"/>
      <c r="T418" s="363"/>
      <c r="U418" s="363"/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/>
      <c r="AF418" s="363"/>
      <c r="AG418" s="363"/>
      <c r="AH418" s="363"/>
      <c r="AI418" s="363"/>
      <c r="AJ418" s="363"/>
      <c r="AK418" s="363"/>
      <c r="AL418" s="363"/>
      <c r="AM418" s="363"/>
    </row>
    <row r="419" spans="2:39" ht="12.75" customHeight="1" x14ac:dyDescent="0.2">
      <c r="B419" s="362"/>
      <c r="C419" s="363"/>
      <c r="D419" s="363"/>
      <c r="E419" s="363"/>
      <c r="F419" s="363"/>
      <c r="G419" s="363"/>
      <c r="H419" s="363"/>
      <c r="I419" s="363"/>
      <c r="J419" s="363"/>
      <c r="K419" s="363"/>
      <c r="L419" s="363"/>
      <c r="M419" s="363"/>
      <c r="N419" s="363"/>
      <c r="O419" s="363"/>
      <c r="P419" s="363"/>
      <c r="Q419" s="363"/>
      <c r="R419" s="363"/>
      <c r="S419" s="363"/>
      <c r="T419" s="363"/>
      <c r="U419" s="363"/>
      <c r="V419" s="363"/>
      <c r="W419" s="363"/>
      <c r="X419" s="363"/>
      <c r="Y419" s="363"/>
      <c r="Z419" s="363"/>
      <c r="AA419" s="363"/>
      <c r="AB419" s="363"/>
      <c r="AC419" s="363"/>
      <c r="AD419" s="363"/>
      <c r="AE419" s="363"/>
      <c r="AF419" s="363"/>
      <c r="AG419" s="363"/>
      <c r="AH419" s="363"/>
      <c r="AI419" s="363"/>
      <c r="AJ419" s="363"/>
      <c r="AK419" s="363"/>
      <c r="AL419" s="363"/>
      <c r="AM419" s="363"/>
    </row>
    <row r="420" spans="2:39" ht="12.75" customHeight="1" x14ac:dyDescent="0.2">
      <c r="B420" s="362"/>
      <c r="C420" s="363"/>
      <c r="D420" s="363"/>
      <c r="E420" s="363"/>
      <c r="F420" s="363"/>
      <c r="G420" s="363"/>
      <c r="H420" s="363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3"/>
      <c r="T420" s="363"/>
      <c r="U420" s="363"/>
      <c r="V420" s="363"/>
      <c r="W420" s="363"/>
      <c r="X420" s="363"/>
      <c r="Y420" s="363"/>
      <c r="Z420" s="363"/>
      <c r="AA420" s="363"/>
      <c r="AB420" s="363"/>
      <c r="AC420" s="363"/>
      <c r="AD420" s="363"/>
      <c r="AE420" s="363"/>
      <c r="AF420" s="363"/>
      <c r="AG420" s="363"/>
      <c r="AH420" s="363"/>
      <c r="AI420" s="363"/>
      <c r="AJ420" s="363"/>
      <c r="AK420" s="363"/>
      <c r="AL420" s="363"/>
      <c r="AM420" s="363"/>
    </row>
    <row r="421" spans="2:39" ht="12.75" customHeight="1" x14ac:dyDescent="0.2">
      <c r="B421" s="362"/>
      <c r="C421" s="363"/>
      <c r="D421" s="363"/>
      <c r="E421" s="363"/>
      <c r="F421" s="363"/>
      <c r="G421" s="363"/>
      <c r="H421" s="363"/>
      <c r="I421" s="363"/>
      <c r="J421" s="363"/>
      <c r="K421" s="363"/>
      <c r="L421" s="363"/>
      <c r="M421" s="363"/>
      <c r="N421" s="363"/>
      <c r="O421" s="363"/>
      <c r="P421" s="363"/>
      <c r="Q421" s="363"/>
      <c r="R421" s="363"/>
      <c r="S421" s="363"/>
      <c r="T421" s="363"/>
      <c r="U421" s="363"/>
      <c r="V421" s="363"/>
      <c r="W421" s="363"/>
      <c r="X421" s="363"/>
      <c r="Y421" s="363"/>
      <c r="Z421" s="363"/>
      <c r="AA421" s="363"/>
      <c r="AB421" s="363"/>
      <c r="AC421" s="363"/>
      <c r="AD421" s="363"/>
      <c r="AE421" s="363"/>
      <c r="AF421" s="363"/>
      <c r="AG421" s="363"/>
      <c r="AH421" s="363"/>
      <c r="AI421" s="363"/>
      <c r="AJ421" s="363"/>
      <c r="AK421" s="363"/>
      <c r="AL421" s="363"/>
      <c r="AM421" s="363"/>
    </row>
    <row r="422" spans="2:39" ht="12.75" customHeight="1" x14ac:dyDescent="0.2">
      <c r="B422" s="362"/>
      <c r="C422" s="363"/>
      <c r="D422" s="363"/>
      <c r="E422" s="363"/>
      <c r="F422" s="363"/>
      <c r="G422" s="363"/>
      <c r="H422" s="363"/>
      <c r="I422" s="363"/>
      <c r="J422" s="363"/>
      <c r="K422" s="363"/>
      <c r="L422" s="363"/>
      <c r="M422" s="363"/>
      <c r="N422" s="363"/>
      <c r="O422" s="363"/>
      <c r="P422" s="363"/>
      <c r="Q422" s="363"/>
      <c r="R422" s="363"/>
      <c r="S422" s="363"/>
      <c r="T422" s="363"/>
      <c r="U422" s="363"/>
      <c r="V422" s="363"/>
      <c r="W422" s="363"/>
      <c r="X422" s="363"/>
      <c r="Y422" s="363"/>
      <c r="Z422" s="363"/>
      <c r="AA422" s="363"/>
      <c r="AB422" s="363"/>
      <c r="AC422" s="363"/>
      <c r="AD422" s="363"/>
      <c r="AE422" s="363"/>
      <c r="AF422" s="363"/>
      <c r="AG422" s="363"/>
      <c r="AH422" s="363"/>
      <c r="AI422" s="363"/>
      <c r="AJ422" s="363"/>
      <c r="AK422" s="363"/>
      <c r="AL422" s="363"/>
      <c r="AM422" s="363"/>
    </row>
    <row r="423" spans="2:39" ht="12.75" customHeight="1" x14ac:dyDescent="0.2">
      <c r="B423" s="362"/>
      <c r="C423" s="363"/>
      <c r="D423" s="363"/>
      <c r="E423" s="363"/>
      <c r="F423" s="363"/>
      <c r="G423" s="363"/>
      <c r="H423" s="363"/>
      <c r="I423" s="363"/>
      <c r="J423" s="363"/>
      <c r="K423" s="363"/>
      <c r="L423" s="363"/>
      <c r="M423" s="363"/>
      <c r="N423" s="363"/>
      <c r="O423" s="363"/>
      <c r="P423" s="363"/>
      <c r="Q423" s="363"/>
      <c r="R423" s="363"/>
      <c r="S423" s="363"/>
      <c r="T423" s="363"/>
      <c r="U423" s="363"/>
      <c r="V423" s="363"/>
      <c r="W423" s="363"/>
      <c r="X423" s="363"/>
      <c r="Y423" s="363"/>
      <c r="Z423" s="363"/>
      <c r="AA423" s="363"/>
      <c r="AB423" s="363"/>
      <c r="AC423" s="363"/>
      <c r="AD423" s="363"/>
      <c r="AE423" s="363"/>
      <c r="AF423" s="363"/>
      <c r="AG423" s="363"/>
      <c r="AH423" s="363"/>
      <c r="AI423" s="363"/>
      <c r="AJ423" s="363"/>
      <c r="AK423" s="363"/>
      <c r="AL423" s="363"/>
      <c r="AM423" s="363"/>
    </row>
    <row r="424" spans="2:39" ht="12.75" customHeight="1" x14ac:dyDescent="0.2">
      <c r="B424" s="362"/>
      <c r="C424" s="363"/>
      <c r="D424" s="363"/>
      <c r="E424" s="363"/>
      <c r="F424" s="363"/>
      <c r="G424" s="363"/>
      <c r="H424" s="363"/>
      <c r="I424" s="363"/>
      <c r="J424" s="363"/>
      <c r="K424" s="363"/>
      <c r="L424" s="363"/>
      <c r="M424" s="363"/>
      <c r="N424" s="363"/>
      <c r="O424" s="363"/>
      <c r="P424" s="363"/>
      <c r="Q424" s="363"/>
      <c r="R424" s="363"/>
      <c r="S424" s="363"/>
      <c r="T424" s="363"/>
      <c r="U424" s="363"/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/>
      <c r="AF424" s="363"/>
      <c r="AG424" s="363"/>
      <c r="AH424" s="363"/>
      <c r="AI424" s="363"/>
      <c r="AJ424" s="363"/>
      <c r="AK424" s="363"/>
      <c r="AL424" s="363"/>
      <c r="AM424" s="363"/>
    </row>
    <row r="425" spans="2:39" ht="12.75" customHeight="1" x14ac:dyDescent="0.2">
      <c r="B425" s="362"/>
      <c r="C425" s="363"/>
      <c r="D425" s="363"/>
      <c r="E425" s="363"/>
      <c r="F425" s="363"/>
      <c r="G425" s="363"/>
      <c r="H425" s="363"/>
      <c r="I425" s="363"/>
      <c r="J425" s="363"/>
      <c r="K425" s="363"/>
      <c r="L425" s="363"/>
      <c r="M425" s="363"/>
      <c r="N425" s="363"/>
      <c r="O425" s="363"/>
      <c r="P425" s="363"/>
      <c r="Q425" s="363"/>
      <c r="R425" s="363"/>
      <c r="S425" s="363"/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/>
      <c r="AF425" s="363"/>
      <c r="AG425" s="363"/>
      <c r="AH425" s="363"/>
      <c r="AI425" s="363"/>
      <c r="AJ425" s="363"/>
      <c r="AK425" s="363"/>
      <c r="AL425" s="363"/>
      <c r="AM425" s="363"/>
    </row>
    <row r="426" spans="2:39" ht="12.75" customHeight="1" x14ac:dyDescent="0.2">
      <c r="B426" s="362"/>
      <c r="C426" s="363"/>
      <c r="D426" s="363"/>
      <c r="E426" s="363"/>
      <c r="F426" s="363"/>
      <c r="G426" s="363"/>
      <c r="H426" s="363"/>
      <c r="I426" s="363"/>
      <c r="J426" s="363"/>
      <c r="K426" s="363"/>
      <c r="L426" s="363"/>
      <c r="M426" s="363"/>
      <c r="N426" s="363"/>
      <c r="O426" s="363"/>
      <c r="P426" s="363"/>
      <c r="Q426" s="363"/>
      <c r="R426" s="363"/>
      <c r="S426" s="363"/>
      <c r="T426" s="363"/>
      <c r="U426" s="363"/>
      <c r="V426" s="363"/>
      <c r="W426" s="363"/>
      <c r="X426" s="363"/>
      <c r="Y426" s="363"/>
      <c r="Z426" s="363"/>
      <c r="AA426" s="363"/>
      <c r="AB426" s="363"/>
      <c r="AC426" s="363"/>
      <c r="AD426" s="363"/>
      <c r="AE426" s="363"/>
      <c r="AF426" s="363"/>
      <c r="AG426" s="363"/>
      <c r="AH426" s="363"/>
      <c r="AI426" s="363"/>
      <c r="AJ426" s="363"/>
      <c r="AK426" s="363"/>
      <c r="AL426" s="363"/>
      <c r="AM426" s="363"/>
    </row>
    <row r="427" spans="2:39" ht="12.75" customHeight="1" x14ac:dyDescent="0.2">
      <c r="B427" s="362"/>
      <c r="C427" s="363"/>
      <c r="D427" s="363"/>
      <c r="E427" s="363"/>
      <c r="F427" s="363"/>
      <c r="G427" s="363"/>
      <c r="H427" s="363"/>
      <c r="I427" s="363"/>
      <c r="J427" s="363"/>
      <c r="K427" s="363"/>
      <c r="L427" s="363"/>
      <c r="M427" s="363"/>
      <c r="N427" s="363"/>
      <c r="O427" s="363"/>
      <c r="P427" s="363"/>
      <c r="Q427" s="363"/>
      <c r="R427" s="363"/>
      <c r="S427" s="363"/>
      <c r="T427" s="363"/>
      <c r="U427" s="363"/>
      <c r="V427" s="363"/>
      <c r="W427" s="363"/>
      <c r="X427" s="363"/>
      <c r="Y427" s="363"/>
      <c r="Z427" s="363"/>
      <c r="AA427" s="363"/>
      <c r="AB427" s="363"/>
      <c r="AC427" s="363"/>
      <c r="AD427" s="363"/>
      <c r="AE427" s="363"/>
      <c r="AF427" s="363"/>
      <c r="AG427" s="363"/>
      <c r="AH427" s="363"/>
      <c r="AI427" s="363"/>
      <c r="AJ427" s="363"/>
      <c r="AK427" s="363"/>
      <c r="AL427" s="363"/>
      <c r="AM427" s="363"/>
    </row>
    <row r="428" spans="2:39" ht="12.75" customHeight="1" x14ac:dyDescent="0.2">
      <c r="B428" s="362"/>
      <c r="C428" s="363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  <c r="X428" s="363"/>
      <c r="Y428" s="363"/>
      <c r="Z428" s="363"/>
      <c r="AA428" s="363"/>
      <c r="AB428" s="363"/>
      <c r="AC428" s="363"/>
      <c r="AD428" s="363"/>
      <c r="AE428" s="363"/>
      <c r="AF428" s="363"/>
      <c r="AG428" s="363"/>
      <c r="AH428" s="363"/>
      <c r="AI428" s="363"/>
      <c r="AJ428" s="363"/>
      <c r="AK428" s="363"/>
      <c r="AL428" s="363"/>
      <c r="AM428" s="363"/>
    </row>
    <row r="429" spans="2:39" ht="12.75" customHeight="1" x14ac:dyDescent="0.2">
      <c r="B429" s="362"/>
      <c r="C429" s="363"/>
      <c r="D429" s="363"/>
      <c r="E429" s="363"/>
      <c r="F429" s="363"/>
      <c r="G429" s="363"/>
      <c r="H429" s="363"/>
      <c r="I429" s="363"/>
      <c r="J429" s="363"/>
      <c r="K429" s="363"/>
      <c r="L429" s="363"/>
      <c r="M429" s="363"/>
      <c r="N429" s="363"/>
      <c r="O429" s="363"/>
      <c r="P429" s="363"/>
      <c r="Q429" s="363"/>
      <c r="R429" s="363"/>
      <c r="S429" s="363"/>
      <c r="T429" s="363"/>
      <c r="U429" s="363"/>
      <c r="V429" s="363"/>
      <c r="W429" s="363"/>
      <c r="X429" s="363"/>
      <c r="Y429" s="363"/>
      <c r="Z429" s="363"/>
      <c r="AA429" s="363"/>
      <c r="AB429" s="363"/>
      <c r="AC429" s="363"/>
      <c r="AD429" s="363"/>
      <c r="AE429" s="363"/>
      <c r="AF429" s="363"/>
      <c r="AG429" s="363"/>
      <c r="AH429" s="363"/>
      <c r="AI429" s="363"/>
      <c r="AJ429" s="363"/>
      <c r="AK429" s="363"/>
      <c r="AL429" s="363"/>
      <c r="AM429" s="363"/>
    </row>
    <row r="430" spans="2:39" ht="12.75" customHeight="1" x14ac:dyDescent="0.2">
      <c r="B430" s="362"/>
      <c r="C430" s="363"/>
      <c r="D430" s="363"/>
      <c r="E430" s="363"/>
      <c r="F430" s="363"/>
      <c r="G430" s="363"/>
      <c r="H430" s="363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  <c r="Y430" s="363"/>
      <c r="Z430" s="363"/>
      <c r="AA430" s="363"/>
      <c r="AB430" s="363"/>
      <c r="AC430" s="363"/>
      <c r="AD430" s="363"/>
      <c r="AE430" s="363"/>
      <c r="AF430" s="363"/>
      <c r="AG430" s="363"/>
      <c r="AH430" s="363"/>
      <c r="AI430" s="363"/>
      <c r="AJ430" s="363"/>
      <c r="AK430" s="363"/>
      <c r="AL430" s="363"/>
      <c r="AM430" s="363"/>
    </row>
    <row r="431" spans="2:39" ht="12.75" customHeight="1" x14ac:dyDescent="0.2">
      <c r="B431" s="362"/>
      <c r="C431" s="363"/>
      <c r="D431" s="363"/>
      <c r="E431" s="363"/>
      <c r="F431" s="363"/>
      <c r="G431" s="363"/>
      <c r="H431" s="363"/>
      <c r="I431" s="363"/>
      <c r="J431" s="363"/>
      <c r="K431" s="363"/>
      <c r="L431" s="363"/>
      <c r="M431" s="363"/>
      <c r="N431" s="363"/>
      <c r="O431" s="363"/>
      <c r="P431" s="363"/>
      <c r="Q431" s="363"/>
      <c r="R431" s="363"/>
      <c r="S431" s="363"/>
      <c r="T431" s="363"/>
      <c r="U431" s="363"/>
      <c r="V431" s="363"/>
      <c r="W431" s="363"/>
      <c r="X431" s="363"/>
      <c r="Y431" s="363"/>
      <c r="Z431" s="363"/>
      <c r="AA431" s="363"/>
      <c r="AB431" s="363"/>
      <c r="AC431" s="363"/>
      <c r="AD431" s="363"/>
      <c r="AE431" s="363"/>
      <c r="AF431" s="363"/>
      <c r="AG431" s="363"/>
      <c r="AH431" s="363"/>
      <c r="AI431" s="363"/>
      <c r="AJ431" s="363"/>
      <c r="AK431" s="363"/>
      <c r="AL431" s="363"/>
      <c r="AM431" s="363"/>
    </row>
    <row r="432" spans="2:39" ht="12.75" customHeight="1" x14ac:dyDescent="0.2">
      <c r="B432" s="362"/>
      <c r="C432" s="363"/>
      <c r="D432" s="363"/>
      <c r="E432" s="363"/>
      <c r="F432" s="363"/>
      <c r="G432" s="363"/>
      <c r="H432" s="363"/>
      <c r="I432" s="363"/>
      <c r="J432" s="363"/>
      <c r="K432" s="363"/>
      <c r="L432" s="363"/>
      <c r="M432" s="363"/>
      <c r="N432" s="363"/>
      <c r="O432" s="363"/>
      <c r="P432" s="363"/>
      <c r="Q432" s="363"/>
      <c r="R432" s="363"/>
      <c r="S432" s="363"/>
      <c r="T432" s="363"/>
      <c r="U432" s="363"/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/>
      <c r="AF432" s="363"/>
      <c r="AG432" s="363"/>
      <c r="AH432" s="363"/>
      <c r="AI432" s="363"/>
      <c r="AJ432" s="363"/>
      <c r="AK432" s="363"/>
      <c r="AL432" s="363"/>
      <c r="AM432" s="363"/>
    </row>
    <row r="433" spans="2:39" ht="12.75" customHeight="1" x14ac:dyDescent="0.2">
      <c r="B433" s="362"/>
      <c r="C433" s="363"/>
      <c r="D433" s="363"/>
      <c r="E433" s="363"/>
      <c r="F433" s="363"/>
      <c r="G433" s="363"/>
      <c r="H433" s="363"/>
      <c r="I433" s="363"/>
      <c r="J433" s="363"/>
      <c r="K433" s="363"/>
      <c r="L433" s="363"/>
      <c r="M433" s="363"/>
      <c r="N433" s="363"/>
      <c r="O433" s="363"/>
      <c r="P433" s="363"/>
      <c r="Q433" s="363"/>
      <c r="R433" s="363"/>
      <c r="S433" s="363"/>
      <c r="T433" s="363"/>
      <c r="U433" s="363"/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/>
      <c r="AF433" s="363"/>
      <c r="AG433" s="363"/>
      <c r="AH433" s="363"/>
      <c r="AI433" s="363"/>
      <c r="AJ433" s="363"/>
      <c r="AK433" s="363"/>
      <c r="AL433" s="363"/>
      <c r="AM433" s="363"/>
    </row>
    <row r="434" spans="2:39" ht="12.75" customHeight="1" x14ac:dyDescent="0.2">
      <c r="B434" s="362"/>
      <c r="C434" s="363"/>
      <c r="D434" s="363"/>
      <c r="E434" s="363"/>
      <c r="F434" s="363"/>
      <c r="G434" s="363"/>
      <c r="H434" s="363"/>
      <c r="I434" s="363"/>
      <c r="J434" s="363"/>
      <c r="K434" s="363"/>
      <c r="L434" s="363"/>
      <c r="M434" s="363"/>
      <c r="N434" s="363"/>
      <c r="O434" s="363"/>
      <c r="P434" s="363"/>
      <c r="Q434" s="363"/>
      <c r="R434" s="363"/>
      <c r="S434" s="363"/>
      <c r="T434" s="363"/>
      <c r="U434" s="363"/>
      <c r="V434" s="363"/>
      <c r="W434" s="363"/>
      <c r="X434" s="363"/>
      <c r="Y434" s="363"/>
      <c r="Z434" s="363"/>
      <c r="AA434" s="363"/>
      <c r="AB434" s="363"/>
      <c r="AC434" s="363"/>
      <c r="AD434" s="363"/>
      <c r="AE434" s="363"/>
      <c r="AF434" s="363"/>
      <c r="AG434" s="363"/>
      <c r="AH434" s="363"/>
      <c r="AI434" s="363"/>
      <c r="AJ434" s="363"/>
      <c r="AK434" s="363"/>
      <c r="AL434" s="363"/>
      <c r="AM434" s="363"/>
    </row>
    <row r="435" spans="2:39" ht="12.75" customHeight="1" x14ac:dyDescent="0.2">
      <c r="B435" s="362"/>
      <c r="C435" s="363"/>
      <c r="D435" s="363"/>
      <c r="E435" s="363"/>
      <c r="F435" s="363"/>
      <c r="G435" s="363"/>
      <c r="H435" s="363"/>
      <c r="I435" s="363"/>
      <c r="J435" s="363"/>
      <c r="K435" s="363"/>
      <c r="L435" s="363"/>
      <c r="M435" s="363"/>
      <c r="N435" s="363"/>
      <c r="O435" s="363"/>
      <c r="P435" s="363"/>
      <c r="Q435" s="363"/>
      <c r="R435" s="363"/>
      <c r="S435" s="363"/>
      <c r="T435" s="363"/>
      <c r="U435" s="363"/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/>
      <c r="AF435" s="363"/>
      <c r="AG435" s="363"/>
      <c r="AH435" s="363"/>
      <c r="AI435" s="363"/>
      <c r="AJ435" s="363"/>
      <c r="AK435" s="363"/>
      <c r="AL435" s="363"/>
      <c r="AM435" s="363"/>
    </row>
    <row r="436" spans="2:39" ht="12.75" customHeight="1" x14ac:dyDescent="0.2">
      <c r="B436" s="362"/>
      <c r="C436" s="363"/>
      <c r="D436" s="363"/>
      <c r="E436" s="363"/>
      <c r="F436" s="363"/>
      <c r="G436" s="363"/>
      <c r="H436" s="363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3"/>
      <c r="T436" s="363"/>
      <c r="U436" s="363"/>
      <c r="V436" s="363"/>
      <c r="W436" s="363"/>
      <c r="X436" s="363"/>
      <c r="Y436" s="363"/>
      <c r="Z436" s="363"/>
      <c r="AA436" s="363"/>
      <c r="AB436" s="363"/>
      <c r="AC436" s="363"/>
      <c r="AD436" s="363"/>
      <c r="AE436" s="363"/>
      <c r="AF436" s="363"/>
      <c r="AG436" s="363"/>
      <c r="AH436" s="363"/>
      <c r="AI436" s="363"/>
      <c r="AJ436" s="363"/>
      <c r="AK436" s="363"/>
      <c r="AL436" s="363"/>
      <c r="AM436" s="363"/>
    </row>
    <row r="437" spans="2:39" ht="12.75" customHeight="1" x14ac:dyDescent="0.2">
      <c r="B437" s="362"/>
      <c r="C437" s="363"/>
      <c r="D437" s="363"/>
      <c r="E437" s="363"/>
      <c r="F437" s="363"/>
      <c r="G437" s="363"/>
      <c r="H437" s="363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3"/>
      <c r="T437" s="363"/>
      <c r="U437" s="363"/>
      <c r="V437" s="363"/>
      <c r="W437" s="363"/>
      <c r="X437" s="363"/>
      <c r="Y437" s="363"/>
      <c r="Z437" s="363"/>
      <c r="AA437" s="363"/>
      <c r="AB437" s="363"/>
      <c r="AC437" s="363"/>
      <c r="AD437" s="363"/>
      <c r="AE437" s="363"/>
      <c r="AF437" s="363"/>
      <c r="AG437" s="363"/>
      <c r="AH437" s="363"/>
      <c r="AI437" s="363"/>
      <c r="AJ437" s="363"/>
      <c r="AK437" s="363"/>
      <c r="AL437" s="363"/>
      <c r="AM437" s="363"/>
    </row>
    <row r="438" spans="2:39" ht="12.75" customHeight="1" x14ac:dyDescent="0.2">
      <c r="B438" s="362"/>
      <c r="C438" s="363"/>
      <c r="D438" s="363"/>
      <c r="E438" s="363"/>
      <c r="F438" s="363"/>
      <c r="G438" s="363"/>
      <c r="H438" s="363"/>
      <c r="I438" s="363"/>
      <c r="J438" s="363"/>
      <c r="K438" s="363"/>
      <c r="L438" s="363"/>
      <c r="M438" s="363"/>
      <c r="N438" s="363"/>
      <c r="O438" s="363"/>
      <c r="P438" s="363"/>
      <c r="Q438" s="363"/>
      <c r="R438" s="363"/>
      <c r="S438" s="363"/>
      <c r="T438" s="363"/>
      <c r="U438" s="363"/>
      <c r="V438" s="363"/>
      <c r="W438" s="363"/>
      <c r="X438" s="363"/>
      <c r="Y438" s="363"/>
      <c r="Z438" s="363"/>
      <c r="AA438" s="363"/>
      <c r="AB438" s="363"/>
      <c r="AC438" s="363"/>
      <c r="AD438" s="363"/>
      <c r="AE438" s="363"/>
      <c r="AF438" s="363"/>
      <c r="AG438" s="363"/>
      <c r="AH438" s="363"/>
      <c r="AI438" s="363"/>
      <c r="AJ438" s="363"/>
      <c r="AK438" s="363"/>
      <c r="AL438" s="363"/>
      <c r="AM438" s="363"/>
    </row>
    <row r="439" spans="2:39" ht="12.75" customHeight="1" x14ac:dyDescent="0.2">
      <c r="B439" s="362"/>
      <c r="C439" s="363"/>
      <c r="D439" s="363"/>
      <c r="E439" s="363"/>
      <c r="F439" s="363"/>
      <c r="G439" s="363"/>
      <c r="H439" s="363"/>
      <c r="I439" s="363"/>
      <c r="J439" s="363"/>
      <c r="K439" s="363"/>
      <c r="L439" s="363"/>
      <c r="M439" s="363"/>
      <c r="N439" s="363"/>
      <c r="O439" s="363"/>
      <c r="P439" s="363"/>
      <c r="Q439" s="363"/>
      <c r="R439" s="363"/>
      <c r="S439" s="363"/>
      <c r="T439" s="363"/>
      <c r="U439" s="363"/>
      <c r="V439" s="363"/>
      <c r="W439" s="363"/>
      <c r="X439" s="363"/>
      <c r="Y439" s="363"/>
      <c r="Z439" s="363"/>
      <c r="AA439" s="363"/>
      <c r="AB439" s="363"/>
      <c r="AC439" s="363"/>
      <c r="AD439" s="363"/>
      <c r="AE439" s="363"/>
      <c r="AF439" s="363"/>
      <c r="AG439" s="363"/>
      <c r="AH439" s="363"/>
      <c r="AI439" s="363"/>
      <c r="AJ439" s="363"/>
      <c r="AK439" s="363"/>
      <c r="AL439" s="363"/>
      <c r="AM439" s="363"/>
    </row>
    <row r="440" spans="2:39" ht="12.75" customHeight="1" x14ac:dyDescent="0.2">
      <c r="B440" s="362"/>
      <c r="C440" s="363"/>
      <c r="D440" s="363"/>
      <c r="E440" s="363"/>
      <c r="F440" s="363"/>
      <c r="G440" s="363"/>
      <c r="H440" s="363"/>
      <c r="I440" s="363"/>
      <c r="J440" s="363"/>
      <c r="K440" s="363"/>
      <c r="L440" s="363"/>
      <c r="M440" s="363"/>
      <c r="N440" s="363"/>
      <c r="O440" s="363"/>
      <c r="P440" s="363"/>
      <c r="Q440" s="363"/>
      <c r="R440" s="363"/>
      <c r="S440" s="363"/>
      <c r="T440" s="363"/>
      <c r="U440" s="363"/>
      <c r="V440" s="363"/>
      <c r="W440" s="363"/>
      <c r="X440" s="363"/>
      <c r="Y440" s="363"/>
      <c r="Z440" s="363"/>
      <c r="AA440" s="363"/>
      <c r="AB440" s="363"/>
      <c r="AC440" s="363"/>
      <c r="AD440" s="363"/>
      <c r="AE440" s="363"/>
      <c r="AF440" s="363"/>
      <c r="AG440" s="363"/>
      <c r="AH440" s="363"/>
      <c r="AI440" s="363"/>
      <c r="AJ440" s="363"/>
      <c r="AK440" s="363"/>
      <c r="AL440" s="363"/>
      <c r="AM440" s="363"/>
    </row>
    <row r="441" spans="2:39" ht="12.75" customHeight="1" x14ac:dyDescent="0.2">
      <c r="B441" s="362"/>
      <c r="C441" s="363"/>
      <c r="D441" s="363"/>
      <c r="E441" s="363"/>
      <c r="F441" s="363"/>
      <c r="G441" s="363"/>
      <c r="H441" s="363"/>
      <c r="I441" s="363"/>
      <c r="J441" s="363"/>
      <c r="K441" s="363"/>
      <c r="L441" s="363"/>
      <c r="M441" s="363"/>
      <c r="N441" s="363"/>
      <c r="O441" s="363"/>
      <c r="P441" s="363"/>
      <c r="Q441" s="363"/>
      <c r="R441" s="363"/>
      <c r="S441" s="363"/>
      <c r="T441" s="363"/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/>
      <c r="AF441" s="363"/>
      <c r="AG441" s="363"/>
      <c r="AH441" s="363"/>
      <c r="AI441" s="363"/>
      <c r="AJ441" s="363"/>
      <c r="AK441" s="363"/>
      <c r="AL441" s="363"/>
      <c r="AM441" s="363"/>
    </row>
    <row r="442" spans="2:39" ht="12.75" customHeight="1" x14ac:dyDescent="0.2">
      <c r="B442" s="362"/>
      <c r="C442" s="363"/>
      <c r="D442" s="363"/>
      <c r="E442" s="363"/>
      <c r="F442" s="363"/>
      <c r="G442" s="363"/>
      <c r="H442" s="363"/>
      <c r="I442" s="363"/>
      <c r="J442" s="363"/>
      <c r="K442" s="363"/>
      <c r="L442" s="363"/>
      <c r="M442" s="363"/>
      <c r="N442" s="363"/>
      <c r="O442" s="363"/>
      <c r="P442" s="363"/>
      <c r="Q442" s="363"/>
      <c r="R442" s="363"/>
      <c r="S442" s="363"/>
      <c r="T442" s="363"/>
      <c r="U442" s="363"/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/>
      <c r="AF442" s="363"/>
      <c r="AG442" s="363"/>
      <c r="AH442" s="363"/>
      <c r="AI442" s="363"/>
      <c r="AJ442" s="363"/>
      <c r="AK442" s="363"/>
      <c r="AL442" s="363"/>
      <c r="AM442" s="363"/>
    </row>
    <row r="443" spans="2:39" ht="12.75" customHeight="1" x14ac:dyDescent="0.2">
      <c r="B443" s="362"/>
      <c r="C443" s="363"/>
      <c r="D443" s="363"/>
      <c r="E443" s="363"/>
      <c r="F443" s="363"/>
      <c r="G443" s="363"/>
      <c r="H443" s="363"/>
      <c r="I443" s="363"/>
      <c r="J443" s="363"/>
      <c r="K443" s="363"/>
      <c r="L443" s="363"/>
      <c r="M443" s="363"/>
      <c r="N443" s="363"/>
      <c r="O443" s="363"/>
      <c r="P443" s="363"/>
      <c r="Q443" s="363"/>
      <c r="R443" s="363"/>
      <c r="S443" s="363"/>
      <c r="T443" s="363"/>
      <c r="U443" s="363"/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/>
      <c r="AF443" s="363"/>
      <c r="AG443" s="363"/>
      <c r="AH443" s="363"/>
      <c r="AI443" s="363"/>
      <c r="AJ443" s="363"/>
      <c r="AK443" s="363"/>
      <c r="AL443" s="363"/>
      <c r="AM443" s="363"/>
    </row>
    <row r="444" spans="2:39" ht="12.75" customHeight="1" x14ac:dyDescent="0.2">
      <c r="B444" s="362"/>
      <c r="C444" s="363"/>
      <c r="D444" s="363"/>
      <c r="E444" s="363"/>
      <c r="F444" s="363"/>
      <c r="G444" s="363"/>
      <c r="H444" s="363"/>
      <c r="I444" s="363"/>
      <c r="J444" s="363"/>
      <c r="K444" s="363"/>
      <c r="L444" s="363"/>
      <c r="M444" s="363"/>
      <c r="N444" s="363"/>
      <c r="O444" s="363"/>
      <c r="P444" s="363"/>
      <c r="Q444" s="363"/>
      <c r="R444" s="363"/>
      <c r="S444" s="363"/>
      <c r="T444" s="363"/>
      <c r="U444" s="363"/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/>
      <c r="AF444" s="363"/>
      <c r="AG444" s="363"/>
      <c r="AH444" s="363"/>
      <c r="AI444" s="363"/>
      <c r="AJ444" s="363"/>
      <c r="AK444" s="363"/>
      <c r="AL444" s="363"/>
      <c r="AM444" s="363"/>
    </row>
    <row r="445" spans="2:39" ht="12.75" customHeight="1" x14ac:dyDescent="0.2">
      <c r="B445" s="362"/>
      <c r="C445" s="363"/>
      <c r="D445" s="363"/>
      <c r="E445" s="363"/>
      <c r="F445" s="363"/>
      <c r="G445" s="363"/>
      <c r="H445" s="363"/>
      <c r="I445" s="363"/>
      <c r="J445" s="363"/>
      <c r="K445" s="363"/>
      <c r="L445" s="363"/>
      <c r="M445" s="363"/>
      <c r="N445" s="363"/>
      <c r="O445" s="363"/>
      <c r="P445" s="363"/>
      <c r="Q445" s="363"/>
      <c r="R445" s="363"/>
      <c r="S445" s="363"/>
      <c r="T445" s="363"/>
      <c r="U445" s="363"/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/>
      <c r="AF445" s="363"/>
      <c r="AG445" s="363"/>
      <c r="AH445" s="363"/>
      <c r="AI445" s="363"/>
      <c r="AJ445" s="363"/>
      <c r="AK445" s="363"/>
      <c r="AL445" s="363"/>
      <c r="AM445" s="363"/>
    </row>
    <row r="446" spans="2:39" ht="12.75" customHeight="1" x14ac:dyDescent="0.2">
      <c r="B446" s="362"/>
      <c r="C446" s="363"/>
      <c r="D446" s="363"/>
      <c r="E446" s="363"/>
      <c r="F446" s="363"/>
      <c r="G446" s="363"/>
      <c r="H446" s="363"/>
      <c r="I446" s="363"/>
      <c r="J446" s="363"/>
      <c r="K446" s="363"/>
      <c r="L446" s="363"/>
      <c r="M446" s="363"/>
      <c r="N446" s="363"/>
      <c r="O446" s="363"/>
      <c r="P446" s="363"/>
      <c r="Q446" s="363"/>
      <c r="R446" s="363"/>
      <c r="S446" s="363"/>
      <c r="T446" s="363"/>
      <c r="U446" s="363"/>
      <c r="V446" s="363"/>
      <c r="W446" s="363"/>
      <c r="X446" s="363"/>
      <c r="Y446" s="363"/>
      <c r="Z446" s="363"/>
      <c r="AA446" s="363"/>
      <c r="AB446" s="363"/>
      <c r="AC446" s="363"/>
      <c r="AD446" s="363"/>
      <c r="AE446" s="363"/>
      <c r="AF446" s="363"/>
      <c r="AG446" s="363"/>
      <c r="AH446" s="363"/>
      <c r="AI446" s="363"/>
      <c r="AJ446" s="363"/>
      <c r="AK446" s="363"/>
      <c r="AL446" s="363"/>
      <c r="AM446" s="363"/>
    </row>
    <row r="447" spans="2:39" ht="12.75" customHeight="1" x14ac:dyDescent="0.2">
      <c r="B447" s="362"/>
      <c r="C447" s="363"/>
      <c r="D447" s="363"/>
      <c r="E447" s="363"/>
      <c r="F447" s="363"/>
      <c r="G447" s="363"/>
      <c r="H447" s="363"/>
      <c r="I447" s="363"/>
      <c r="J447" s="363"/>
      <c r="K447" s="363"/>
      <c r="L447" s="363"/>
      <c r="M447" s="363"/>
      <c r="N447" s="363"/>
      <c r="O447" s="363"/>
      <c r="P447" s="363"/>
      <c r="Q447" s="363"/>
      <c r="R447" s="363"/>
      <c r="S447" s="363"/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/>
      <c r="AF447" s="363"/>
      <c r="AG447" s="363"/>
      <c r="AH447" s="363"/>
      <c r="AI447" s="363"/>
      <c r="AJ447" s="363"/>
      <c r="AK447" s="363"/>
      <c r="AL447" s="363"/>
      <c r="AM447" s="363"/>
    </row>
    <row r="448" spans="2:39" ht="12.75" customHeight="1" x14ac:dyDescent="0.2">
      <c r="B448" s="362"/>
      <c r="C448" s="363"/>
      <c r="D448" s="363"/>
      <c r="E448" s="363"/>
      <c r="F448" s="363"/>
      <c r="G448" s="363"/>
      <c r="H448" s="363"/>
      <c r="I448" s="363"/>
      <c r="J448" s="363"/>
      <c r="K448" s="363"/>
      <c r="L448" s="363"/>
      <c r="M448" s="363"/>
      <c r="N448" s="363"/>
      <c r="O448" s="363"/>
      <c r="P448" s="363"/>
      <c r="Q448" s="363"/>
      <c r="R448" s="363"/>
      <c r="S448" s="363"/>
      <c r="T448" s="363"/>
      <c r="U448" s="363"/>
      <c r="V448" s="363"/>
      <c r="W448" s="363"/>
      <c r="X448" s="363"/>
      <c r="Y448" s="363"/>
      <c r="Z448" s="363"/>
      <c r="AA448" s="363"/>
      <c r="AB448" s="363"/>
      <c r="AC448" s="363"/>
      <c r="AD448" s="363"/>
      <c r="AE448" s="363"/>
      <c r="AF448" s="363"/>
      <c r="AG448" s="363"/>
      <c r="AH448" s="363"/>
      <c r="AI448" s="363"/>
      <c r="AJ448" s="363"/>
      <c r="AK448" s="363"/>
      <c r="AL448" s="363"/>
      <c r="AM448" s="363"/>
    </row>
    <row r="449" spans="2:39" ht="12.75" customHeight="1" x14ac:dyDescent="0.2">
      <c r="B449" s="362"/>
      <c r="C449" s="363"/>
      <c r="D449" s="363"/>
      <c r="E449" s="363"/>
      <c r="F449" s="363"/>
      <c r="G449" s="363"/>
      <c r="H449" s="363"/>
      <c r="I449" s="363"/>
      <c r="J449" s="363"/>
      <c r="K449" s="363"/>
      <c r="L449" s="363"/>
      <c r="M449" s="363"/>
      <c r="N449" s="363"/>
      <c r="O449" s="363"/>
      <c r="P449" s="363"/>
      <c r="Q449" s="363"/>
      <c r="R449" s="363"/>
      <c r="S449" s="363"/>
      <c r="T449" s="363"/>
      <c r="U449" s="363"/>
      <c r="V449" s="363"/>
      <c r="W449" s="363"/>
      <c r="X449" s="363"/>
      <c r="Y449" s="363"/>
      <c r="Z449" s="363"/>
      <c r="AA449" s="363"/>
      <c r="AB449" s="363"/>
      <c r="AC449" s="363"/>
      <c r="AD449" s="363"/>
      <c r="AE449" s="363"/>
      <c r="AF449" s="363"/>
      <c r="AG449" s="363"/>
      <c r="AH449" s="363"/>
      <c r="AI449" s="363"/>
      <c r="AJ449" s="363"/>
      <c r="AK449" s="363"/>
      <c r="AL449" s="363"/>
      <c r="AM449" s="363"/>
    </row>
    <row r="450" spans="2:39" ht="12.75" customHeight="1" x14ac:dyDescent="0.2">
      <c r="B450" s="362"/>
      <c r="C450" s="363"/>
      <c r="D450" s="363"/>
      <c r="E450" s="363"/>
      <c r="F450" s="363"/>
      <c r="G450" s="363"/>
      <c r="H450" s="363"/>
      <c r="I450" s="363"/>
      <c r="J450" s="363"/>
      <c r="K450" s="363"/>
      <c r="L450" s="363"/>
      <c r="M450" s="363"/>
      <c r="N450" s="363"/>
      <c r="O450" s="363"/>
      <c r="P450" s="363"/>
      <c r="Q450" s="363"/>
      <c r="R450" s="363"/>
      <c r="S450" s="363"/>
      <c r="T450" s="363"/>
      <c r="U450" s="363"/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/>
      <c r="AF450" s="363"/>
      <c r="AG450" s="363"/>
      <c r="AH450" s="363"/>
      <c r="AI450" s="363"/>
      <c r="AJ450" s="363"/>
      <c r="AK450" s="363"/>
      <c r="AL450" s="363"/>
      <c r="AM450" s="363"/>
    </row>
    <row r="451" spans="2:39" ht="12.75" customHeight="1" x14ac:dyDescent="0.2">
      <c r="B451" s="362"/>
      <c r="C451" s="363"/>
      <c r="D451" s="363"/>
      <c r="E451" s="363"/>
      <c r="F451" s="363"/>
      <c r="G451" s="363"/>
      <c r="H451" s="363"/>
      <c r="I451" s="363"/>
      <c r="J451" s="363"/>
      <c r="K451" s="363"/>
      <c r="L451" s="363"/>
      <c r="M451" s="363"/>
      <c r="N451" s="363"/>
      <c r="O451" s="363"/>
      <c r="P451" s="363"/>
      <c r="Q451" s="363"/>
      <c r="R451" s="363"/>
      <c r="S451" s="363"/>
      <c r="T451" s="363"/>
      <c r="U451" s="363"/>
      <c r="V451" s="363"/>
      <c r="W451" s="363"/>
      <c r="X451" s="363"/>
      <c r="Y451" s="363"/>
      <c r="Z451" s="363"/>
      <c r="AA451" s="363"/>
      <c r="AB451" s="363"/>
      <c r="AC451" s="363"/>
      <c r="AD451" s="363"/>
      <c r="AE451" s="363"/>
      <c r="AF451" s="363"/>
      <c r="AG451" s="363"/>
      <c r="AH451" s="363"/>
      <c r="AI451" s="363"/>
      <c r="AJ451" s="363"/>
      <c r="AK451" s="363"/>
      <c r="AL451" s="363"/>
      <c r="AM451" s="363"/>
    </row>
    <row r="452" spans="2:39" ht="12.75" customHeight="1" x14ac:dyDescent="0.2">
      <c r="B452" s="362"/>
      <c r="C452" s="363"/>
      <c r="D452" s="363"/>
      <c r="E452" s="363"/>
      <c r="F452" s="363"/>
      <c r="G452" s="363"/>
      <c r="H452" s="363"/>
      <c r="I452" s="363"/>
      <c r="J452" s="363"/>
      <c r="K452" s="363"/>
      <c r="L452" s="363"/>
      <c r="M452" s="363"/>
      <c r="N452" s="363"/>
      <c r="O452" s="363"/>
      <c r="P452" s="363"/>
      <c r="Q452" s="363"/>
      <c r="R452" s="363"/>
      <c r="S452" s="363"/>
      <c r="T452" s="363"/>
      <c r="U452" s="363"/>
      <c r="V452" s="363"/>
      <c r="W452" s="363"/>
      <c r="X452" s="363"/>
      <c r="Y452" s="363"/>
      <c r="Z452" s="363"/>
      <c r="AA452" s="363"/>
      <c r="AB452" s="363"/>
      <c r="AC452" s="363"/>
      <c r="AD452" s="363"/>
      <c r="AE452" s="363"/>
      <c r="AF452" s="363"/>
      <c r="AG452" s="363"/>
      <c r="AH452" s="363"/>
      <c r="AI452" s="363"/>
      <c r="AJ452" s="363"/>
      <c r="AK452" s="363"/>
      <c r="AL452" s="363"/>
      <c r="AM452" s="363"/>
    </row>
    <row r="453" spans="2:39" ht="12.75" customHeight="1" x14ac:dyDescent="0.2">
      <c r="B453" s="362"/>
      <c r="C453" s="363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  <c r="X453" s="363"/>
      <c r="Y453" s="363"/>
      <c r="Z453" s="363"/>
      <c r="AA453" s="363"/>
      <c r="AB453" s="363"/>
      <c r="AC453" s="363"/>
      <c r="AD453" s="363"/>
      <c r="AE453" s="363"/>
      <c r="AF453" s="363"/>
      <c r="AG453" s="363"/>
      <c r="AH453" s="363"/>
      <c r="AI453" s="363"/>
      <c r="AJ453" s="363"/>
      <c r="AK453" s="363"/>
      <c r="AL453" s="363"/>
      <c r="AM453" s="363"/>
    </row>
    <row r="454" spans="2:39" ht="12.75" customHeight="1" x14ac:dyDescent="0.2">
      <c r="B454" s="362"/>
      <c r="C454" s="363"/>
      <c r="D454" s="363"/>
      <c r="E454" s="363"/>
      <c r="F454" s="363"/>
      <c r="G454" s="363"/>
      <c r="H454" s="363"/>
      <c r="I454" s="363"/>
      <c r="J454" s="363"/>
      <c r="K454" s="363"/>
      <c r="L454" s="363"/>
      <c r="M454" s="363"/>
      <c r="N454" s="363"/>
      <c r="O454" s="363"/>
      <c r="P454" s="363"/>
      <c r="Q454" s="363"/>
      <c r="R454" s="363"/>
      <c r="S454" s="363"/>
      <c r="T454" s="363"/>
      <c r="U454" s="363"/>
      <c r="V454" s="363"/>
      <c r="W454" s="363"/>
      <c r="X454" s="363"/>
      <c r="Y454" s="363"/>
      <c r="Z454" s="363"/>
      <c r="AA454" s="363"/>
      <c r="AB454" s="363"/>
      <c r="AC454" s="363"/>
      <c r="AD454" s="363"/>
      <c r="AE454" s="363"/>
      <c r="AF454" s="363"/>
      <c r="AG454" s="363"/>
      <c r="AH454" s="363"/>
      <c r="AI454" s="363"/>
      <c r="AJ454" s="363"/>
      <c r="AK454" s="363"/>
      <c r="AL454" s="363"/>
      <c r="AM454" s="363"/>
    </row>
    <row r="455" spans="2:39" ht="12.75" customHeight="1" x14ac:dyDescent="0.2">
      <c r="B455" s="362"/>
      <c r="C455" s="363"/>
      <c r="D455" s="363"/>
      <c r="E455" s="363"/>
      <c r="F455" s="363"/>
      <c r="G455" s="363"/>
      <c r="H455" s="363"/>
      <c r="I455" s="363"/>
      <c r="J455" s="363"/>
      <c r="K455" s="363"/>
      <c r="L455" s="363"/>
      <c r="M455" s="363"/>
      <c r="N455" s="363"/>
      <c r="O455" s="363"/>
      <c r="P455" s="363"/>
      <c r="Q455" s="363"/>
      <c r="R455" s="363"/>
      <c r="S455" s="363"/>
      <c r="T455" s="363"/>
      <c r="U455" s="363"/>
      <c r="V455" s="363"/>
      <c r="W455" s="363"/>
      <c r="X455" s="363"/>
      <c r="Y455" s="363"/>
      <c r="Z455" s="363"/>
      <c r="AA455" s="363"/>
      <c r="AB455" s="363"/>
      <c r="AC455" s="363"/>
      <c r="AD455" s="363"/>
      <c r="AE455" s="363"/>
      <c r="AF455" s="363"/>
      <c r="AG455" s="363"/>
      <c r="AH455" s="363"/>
      <c r="AI455" s="363"/>
      <c r="AJ455" s="363"/>
      <c r="AK455" s="363"/>
      <c r="AL455" s="363"/>
      <c r="AM455" s="363"/>
    </row>
    <row r="456" spans="2:39" ht="12.75" customHeight="1" x14ac:dyDescent="0.2">
      <c r="B456" s="362"/>
      <c r="C456" s="363"/>
      <c r="D456" s="363"/>
      <c r="E456" s="363"/>
      <c r="F456" s="363"/>
      <c r="G456" s="363"/>
      <c r="H456" s="363"/>
      <c r="I456" s="363"/>
      <c r="J456" s="363"/>
      <c r="K456" s="363"/>
      <c r="L456" s="363"/>
      <c r="M456" s="363"/>
      <c r="N456" s="363"/>
      <c r="O456" s="363"/>
      <c r="P456" s="363"/>
      <c r="Q456" s="363"/>
      <c r="R456" s="363"/>
      <c r="S456" s="363"/>
      <c r="T456" s="363"/>
      <c r="U456" s="363"/>
      <c r="V456" s="363"/>
      <c r="W456" s="363"/>
      <c r="X456" s="363"/>
      <c r="Y456" s="363"/>
      <c r="Z456" s="363"/>
      <c r="AA456" s="363"/>
      <c r="AB456" s="363"/>
      <c r="AC456" s="363"/>
      <c r="AD456" s="363"/>
      <c r="AE456" s="363"/>
      <c r="AF456" s="363"/>
      <c r="AG456" s="363"/>
      <c r="AH456" s="363"/>
      <c r="AI456" s="363"/>
      <c r="AJ456" s="363"/>
      <c r="AK456" s="363"/>
      <c r="AL456" s="363"/>
      <c r="AM456" s="363"/>
    </row>
    <row r="457" spans="2:39" ht="12.75" customHeight="1" x14ac:dyDescent="0.2">
      <c r="B457" s="362"/>
      <c r="C457" s="363"/>
      <c r="D457" s="363"/>
      <c r="E457" s="363"/>
      <c r="F457" s="363"/>
      <c r="G457" s="363"/>
      <c r="H457" s="363"/>
      <c r="I457" s="363"/>
      <c r="J457" s="363"/>
      <c r="K457" s="363"/>
      <c r="L457" s="363"/>
      <c r="M457" s="363"/>
      <c r="N457" s="363"/>
      <c r="O457" s="363"/>
      <c r="P457" s="363"/>
      <c r="Q457" s="363"/>
      <c r="R457" s="363"/>
      <c r="S457" s="363"/>
      <c r="T457" s="363"/>
      <c r="U457" s="363"/>
      <c r="V457" s="363"/>
      <c r="W457" s="363"/>
      <c r="X457" s="363"/>
      <c r="Y457" s="363"/>
      <c r="Z457" s="363"/>
      <c r="AA457" s="363"/>
      <c r="AB457" s="363"/>
      <c r="AC457" s="363"/>
      <c r="AD457" s="363"/>
      <c r="AE457" s="363"/>
      <c r="AF457" s="363"/>
      <c r="AG457" s="363"/>
      <c r="AH457" s="363"/>
      <c r="AI457" s="363"/>
      <c r="AJ457" s="363"/>
      <c r="AK457" s="363"/>
      <c r="AL457" s="363"/>
      <c r="AM457" s="363"/>
    </row>
    <row r="458" spans="2:39" ht="12.75" customHeight="1" x14ac:dyDescent="0.2">
      <c r="B458" s="362"/>
      <c r="C458" s="363"/>
      <c r="D458" s="363"/>
      <c r="E458" s="363"/>
      <c r="F458" s="363"/>
      <c r="G458" s="363"/>
      <c r="H458" s="363"/>
      <c r="I458" s="363"/>
      <c r="J458" s="363"/>
      <c r="K458" s="363"/>
      <c r="L458" s="363"/>
      <c r="M458" s="363"/>
      <c r="N458" s="363"/>
      <c r="O458" s="363"/>
      <c r="P458" s="363"/>
      <c r="Q458" s="363"/>
      <c r="R458" s="363"/>
      <c r="S458" s="363"/>
      <c r="T458" s="363"/>
      <c r="U458" s="363"/>
      <c r="V458" s="363"/>
      <c r="W458" s="363"/>
      <c r="X458" s="363"/>
      <c r="Y458" s="363"/>
      <c r="Z458" s="363"/>
      <c r="AA458" s="363"/>
      <c r="AB458" s="363"/>
      <c r="AC458" s="363"/>
      <c r="AD458" s="363"/>
      <c r="AE458" s="363"/>
      <c r="AF458" s="363"/>
      <c r="AG458" s="363"/>
      <c r="AH458" s="363"/>
      <c r="AI458" s="363"/>
      <c r="AJ458" s="363"/>
      <c r="AK458" s="363"/>
      <c r="AL458" s="363"/>
      <c r="AM458" s="363"/>
    </row>
    <row r="459" spans="2:39" ht="12.75" customHeight="1" x14ac:dyDescent="0.2">
      <c r="B459" s="362"/>
      <c r="C459" s="363"/>
      <c r="D459" s="363"/>
      <c r="E459" s="363"/>
      <c r="F459" s="363"/>
      <c r="G459" s="363"/>
      <c r="H459" s="363"/>
      <c r="I459" s="363"/>
      <c r="J459" s="363"/>
      <c r="K459" s="363"/>
      <c r="L459" s="363"/>
      <c r="M459" s="363"/>
      <c r="N459" s="363"/>
      <c r="O459" s="363"/>
      <c r="P459" s="363"/>
      <c r="Q459" s="363"/>
      <c r="R459" s="363"/>
      <c r="S459" s="363"/>
      <c r="T459" s="363"/>
      <c r="U459" s="363"/>
      <c r="V459" s="363"/>
      <c r="W459" s="363"/>
      <c r="X459" s="363"/>
      <c r="Y459" s="363"/>
      <c r="Z459" s="363"/>
      <c r="AA459" s="363"/>
      <c r="AB459" s="363"/>
      <c r="AC459" s="363"/>
      <c r="AD459" s="363"/>
      <c r="AE459" s="363"/>
      <c r="AF459" s="363"/>
      <c r="AG459" s="363"/>
      <c r="AH459" s="363"/>
      <c r="AI459" s="363"/>
      <c r="AJ459" s="363"/>
      <c r="AK459" s="363"/>
      <c r="AL459" s="363"/>
      <c r="AM459" s="363"/>
    </row>
    <row r="460" spans="2:39" ht="12.75" customHeight="1" x14ac:dyDescent="0.2">
      <c r="B460" s="362"/>
      <c r="C460" s="363"/>
      <c r="D460" s="363"/>
      <c r="E460" s="363"/>
      <c r="F460" s="363"/>
      <c r="G460" s="363"/>
      <c r="H460" s="363"/>
      <c r="I460" s="363"/>
      <c r="J460" s="363"/>
      <c r="K460" s="363"/>
      <c r="L460" s="363"/>
      <c r="M460" s="363"/>
      <c r="N460" s="363"/>
      <c r="O460" s="363"/>
      <c r="P460" s="363"/>
      <c r="Q460" s="363"/>
      <c r="R460" s="363"/>
      <c r="S460" s="363"/>
      <c r="T460" s="363"/>
      <c r="U460" s="363"/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/>
      <c r="AF460" s="363"/>
      <c r="AG460" s="363"/>
      <c r="AH460" s="363"/>
      <c r="AI460" s="363"/>
      <c r="AJ460" s="363"/>
      <c r="AK460" s="363"/>
      <c r="AL460" s="363"/>
      <c r="AM460" s="363"/>
    </row>
    <row r="461" spans="2:39" ht="12.75" customHeight="1" x14ac:dyDescent="0.2">
      <c r="B461" s="362"/>
      <c r="C461" s="363"/>
      <c r="D461" s="363"/>
      <c r="E461" s="363"/>
      <c r="F461" s="363"/>
      <c r="G461" s="363"/>
      <c r="H461" s="363"/>
      <c r="I461" s="363"/>
      <c r="J461" s="363"/>
      <c r="K461" s="363"/>
      <c r="L461" s="363"/>
      <c r="M461" s="363"/>
      <c r="N461" s="363"/>
      <c r="O461" s="363"/>
      <c r="P461" s="363"/>
      <c r="Q461" s="363"/>
      <c r="R461" s="363"/>
      <c r="S461" s="363"/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/>
      <c r="AF461" s="363"/>
      <c r="AG461" s="363"/>
      <c r="AH461" s="363"/>
      <c r="AI461" s="363"/>
      <c r="AJ461" s="363"/>
      <c r="AK461" s="363"/>
      <c r="AL461" s="363"/>
      <c r="AM461" s="363"/>
    </row>
    <row r="462" spans="2:39" ht="12.75" customHeight="1" x14ac:dyDescent="0.2">
      <c r="B462" s="362"/>
      <c r="C462" s="363"/>
      <c r="D462" s="363"/>
      <c r="E462" s="363"/>
      <c r="F462" s="363"/>
      <c r="G462" s="363"/>
      <c r="H462" s="363"/>
      <c r="I462" s="363"/>
      <c r="J462" s="363"/>
      <c r="K462" s="363"/>
      <c r="L462" s="363"/>
      <c r="M462" s="363"/>
      <c r="N462" s="363"/>
      <c r="O462" s="363"/>
      <c r="P462" s="363"/>
      <c r="Q462" s="363"/>
      <c r="R462" s="363"/>
      <c r="S462" s="363"/>
      <c r="T462" s="363"/>
      <c r="U462" s="363"/>
      <c r="V462" s="363"/>
      <c r="W462" s="363"/>
      <c r="X462" s="363"/>
      <c r="Y462" s="363"/>
      <c r="Z462" s="363"/>
      <c r="AA462" s="363"/>
      <c r="AB462" s="363"/>
      <c r="AC462" s="363"/>
      <c r="AD462" s="363"/>
      <c r="AE462" s="363"/>
      <c r="AF462" s="363"/>
      <c r="AG462" s="363"/>
      <c r="AH462" s="363"/>
      <c r="AI462" s="363"/>
      <c r="AJ462" s="363"/>
      <c r="AK462" s="363"/>
      <c r="AL462" s="363"/>
      <c r="AM462" s="363"/>
    </row>
    <row r="463" spans="2:39" ht="12.75" customHeight="1" x14ac:dyDescent="0.2">
      <c r="B463" s="362"/>
      <c r="C463" s="363"/>
      <c r="D463" s="363"/>
      <c r="E463" s="363"/>
      <c r="F463" s="363"/>
      <c r="G463" s="363"/>
      <c r="H463" s="363"/>
      <c r="I463" s="363"/>
      <c r="J463" s="363"/>
      <c r="K463" s="363"/>
      <c r="L463" s="363"/>
      <c r="M463" s="363"/>
      <c r="N463" s="363"/>
      <c r="O463" s="363"/>
      <c r="P463" s="363"/>
      <c r="Q463" s="363"/>
      <c r="R463" s="363"/>
      <c r="S463" s="363"/>
      <c r="T463" s="363"/>
      <c r="U463" s="363"/>
      <c r="V463" s="363"/>
      <c r="W463" s="363"/>
      <c r="X463" s="363"/>
      <c r="Y463" s="363"/>
      <c r="Z463" s="363"/>
      <c r="AA463" s="363"/>
      <c r="AB463" s="363"/>
      <c r="AC463" s="363"/>
      <c r="AD463" s="363"/>
      <c r="AE463" s="363"/>
      <c r="AF463" s="363"/>
      <c r="AG463" s="363"/>
      <c r="AH463" s="363"/>
      <c r="AI463" s="363"/>
      <c r="AJ463" s="363"/>
      <c r="AK463" s="363"/>
      <c r="AL463" s="363"/>
      <c r="AM463" s="363"/>
    </row>
    <row r="464" spans="2:39" ht="12.75" customHeight="1" x14ac:dyDescent="0.2">
      <c r="B464" s="362"/>
      <c r="C464" s="363"/>
      <c r="D464" s="363"/>
      <c r="E464" s="363"/>
      <c r="F464" s="363"/>
      <c r="G464" s="363"/>
      <c r="H464" s="363"/>
      <c r="I464" s="363"/>
      <c r="J464" s="363"/>
      <c r="K464" s="363"/>
      <c r="L464" s="363"/>
      <c r="M464" s="363"/>
      <c r="N464" s="363"/>
      <c r="O464" s="363"/>
      <c r="P464" s="363"/>
      <c r="Q464" s="363"/>
      <c r="R464" s="363"/>
      <c r="S464" s="363"/>
      <c r="T464" s="363"/>
      <c r="U464" s="363"/>
      <c r="V464" s="363"/>
      <c r="W464" s="363"/>
      <c r="X464" s="363"/>
      <c r="Y464" s="363"/>
      <c r="Z464" s="363"/>
      <c r="AA464" s="363"/>
      <c r="AB464" s="363"/>
      <c r="AC464" s="363"/>
      <c r="AD464" s="363"/>
      <c r="AE464" s="363"/>
      <c r="AF464" s="363"/>
      <c r="AG464" s="363"/>
      <c r="AH464" s="363"/>
      <c r="AI464" s="363"/>
      <c r="AJ464" s="363"/>
      <c r="AK464" s="363"/>
      <c r="AL464" s="363"/>
      <c r="AM464" s="363"/>
    </row>
    <row r="465" spans="2:39" ht="12.75" customHeight="1" x14ac:dyDescent="0.2">
      <c r="B465" s="362"/>
      <c r="C465" s="363"/>
      <c r="D465" s="363"/>
      <c r="E465" s="363"/>
      <c r="F465" s="363"/>
      <c r="G465" s="363"/>
      <c r="H465" s="363"/>
      <c r="I465" s="363"/>
      <c r="J465" s="363"/>
      <c r="K465" s="363"/>
      <c r="L465" s="363"/>
      <c r="M465" s="363"/>
      <c r="N465" s="363"/>
      <c r="O465" s="363"/>
      <c r="P465" s="363"/>
      <c r="Q465" s="363"/>
      <c r="R465" s="363"/>
      <c r="S465" s="363"/>
      <c r="T465" s="363"/>
      <c r="U465" s="363"/>
      <c r="V465" s="363"/>
      <c r="W465" s="363"/>
      <c r="X465" s="363"/>
      <c r="Y465" s="363"/>
      <c r="Z465" s="363"/>
      <c r="AA465" s="363"/>
      <c r="AB465" s="363"/>
      <c r="AC465" s="363"/>
      <c r="AD465" s="363"/>
      <c r="AE465" s="363"/>
      <c r="AF465" s="363"/>
      <c r="AG465" s="363"/>
      <c r="AH465" s="363"/>
      <c r="AI465" s="363"/>
      <c r="AJ465" s="363"/>
      <c r="AK465" s="363"/>
      <c r="AL465" s="363"/>
      <c r="AM465" s="363"/>
    </row>
    <row r="466" spans="2:39" ht="12.75" customHeight="1" x14ac:dyDescent="0.2">
      <c r="B466" s="362"/>
      <c r="C466" s="363"/>
      <c r="D466" s="363"/>
      <c r="E466" s="363"/>
      <c r="F466" s="363"/>
      <c r="G466" s="363"/>
      <c r="H466" s="363"/>
      <c r="I466" s="363"/>
      <c r="J466" s="363"/>
      <c r="K466" s="363"/>
      <c r="L466" s="363"/>
      <c r="M466" s="363"/>
      <c r="N466" s="363"/>
      <c r="O466" s="363"/>
      <c r="P466" s="363"/>
      <c r="Q466" s="363"/>
      <c r="R466" s="363"/>
      <c r="S466" s="363"/>
      <c r="T466" s="363"/>
      <c r="U466" s="363"/>
      <c r="V466" s="363"/>
      <c r="W466" s="363"/>
      <c r="X466" s="363"/>
      <c r="Y466" s="363"/>
      <c r="Z466" s="363"/>
      <c r="AA466" s="363"/>
      <c r="AB466" s="363"/>
      <c r="AC466" s="363"/>
      <c r="AD466" s="363"/>
      <c r="AE466" s="363"/>
      <c r="AF466" s="363"/>
      <c r="AG466" s="363"/>
      <c r="AH466" s="363"/>
      <c r="AI466" s="363"/>
      <c r="AJ466" s="363"/>
      <c r="AK466" s="363"/>
      <c r="AL466" s="363"/>
      <c r="AM466" s="363"/>
    </row>
    <row r="467" spans="2:39" ht="12.75" customHeight="1" x14ac:dyDescent="0.2">
      <c r="B467" s="362"/>
      <c r="C467" s="363"/>
      <c r="D467" s="363"/>
      <c r="E467" s="363"/>
      <c r="F467" s="363"/>
      <c r="G467" s="363"/>
      <c r="H467" s="363"/>
      <c r="I467" s="363"/>
      <c r="J467" s="363"/>
      <c r="K467" s="363"/>
      <c r="L467" s="363"/>
      <c r="M467" s="363"/>
      <c r="N467" s="363"/>
      <c r="O467" s="363"/>
      <c r="P467" s="363"/>
      <c r="Q467" s="363"/>
      <c r="R467" s="363"/>
      <c r="S467" s="363"/>
      <c r="T467" s="363"/>
      <c r="U467" s="363"/>
      <c r="V467" s="363"/>
      <c r="W467" s="363"/>
      <c r="X467" s="363"/>
      <c r="Y467" s="363"/>
      <c r="Z467" s="363"/>
      <c r="AA467" s="363"/>
      <c r="AB467" s="363"/>
      <c r="AC467" s="363"/>
      <c r="AD467" s="363"/>
      <c r="AE467" s="363"/>
      <c r="AF467" s="363"/>
      <c r="AG467" s="363"/>
      <c r="AH467" s="363"/>
      <c r="AI467" s="363"/>
      <c r="AJ467" s="363"/>
      <c r="AK467" s="363"/>
      <c r="AL467" s="363"/>
      <c r="AM467" s="363"/>
    </row>
    <row r="468" spans="2:39" ht="12.75" customHeight="1" x14ac:dyDescent="0.2">
      <c r="B468" s="362"/>
      <c r="C468" s="363"/>
      <c r="D468" s="363"/>
      <c r="E468" s="363"/>
      <c r="F468" s="363"/>
      <c r="G468" s="363"/>
      <c r="H468" s="363"/>
      <c r="I468" s="363"/>
      <c r="J468" s="363"/>
      <c r="K468" s="363"/>
      <c r="L468" s="363"/>
      <c r="M468" s="363"/>
      <c r="N468" s="363"/>
      <c r="O468" s="363"/>
      <c r="P468" s="363"/>
      <c r="Q468" s="363"/>
      <c r="R468" s="363"/>
      <c r="S468" s="363"/>
      <c r="T468" s="363"/>
      <c r="U468" s="363"/>
      <c r="V468" s="363"/>
      <c r="W468" s="363"/>
      <c r="X468" s="363"/>
      <c r="Y468" s="363"/>
      <c r="Z468" s="363"/>
      <c r="AA468" s="363"/>
      <c r="AB468" s="363"/>
      <c r="AC468" s="363"/>
      <c r="AD468" s="363"/>
      <c r="AE468" s="363"/>
      <c r="AF468" s="363"/>
      <c r="AG468" s="363"/>
      <c r="AH468" s="363"/>
      <c r="AI468" s="363"/>
      <c r="AJ468" s="363"/>
      <c r="AK468" s="363"/>
      <c r="AL468" s="363"/>
      <c r="AM468" s="363"/>
    </row>
    <row r="469" spans="2:39" ht="12.75" customHeight="1" x14ac:dyDescent="0.2">
      <c r="B469" s="362"/>
      <c r="C469" s="363"/>
      <c r="D469" s="363"/>
      <c r="E469" s="363"/>
      <c r="F469" s="363"/>
      <c r="G469" s="363"/>
      <c r="H469" s="363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  <c r="Y469" s="363"/>
      <c r="Z469" s="363"/>
      <c r="AA469" s="363"/>
      <c r="AB469" s="363"/>
      <c r="AC469" s="363"/>
      <c r="AD469" s="363"/>
      <c r="AE469" s="363"/>
      <c r="AF469" s="363"/>
      <c r="AG469" s="363"/>
      <c r="AH469" s="363"/>
      <c r="AI469" s="363"/>
      <c r="AJ469" s="363"/>
      <c r="AK469" s="363"/>
      <c r="AL469" s="363"/>
      <c r="AM469" s="363"/>
    </row>
    <row r="470" spans="2:39" ht="12.75" customHeight="1" x14ac:dyDescent="0.2">
      <c r="B470" s="362"/>
      <c r="C470" s="363"/>
      <c r="D470" s="363"/>
      <c r="E470" s="363"/>
      <c r="F470" s="363"/>
      <c r="G470" s="363"/>
      <c r="H470" s="363"/>
      <c r="I470" s="363"/>
      <c r="J470" s="363"/>
      <c r="K470" s="363"/>
      <c r="L470" s="363"/>
      <c r="M470" s="363"/>
      <c r="N470" s="363"/>
      <c r="O470" s="363"/>
      <c r="P470" s="363"/>
      <c r="Q470" s="363"/>
      <c r="R470" s="363"/>
      <c r="S470" s="363"/>
      <c r="T470" s="363"/>
      <c r="U470" s="363"/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/>
      <c r="AF470" s="363"/>
      <c r="AG470" s="363"/>
      <c r="AH470" s="363"/>
      <c r="AI470" s="363"/>
      <c r="AJ470" s="363"/>
      <c r="AK470" s="363"/>
      <c r="AL470" s="363"/>
      <c r="AM470" s="363"/>
    </row>
    <row r="471" spans="2:39" ht="12.75" customHeight="1" x14ac:dyDescent="0.2">
      <c r="B471" s="362"/>
      <c r="C471" s="363"/>
      <c r="D471" s="363"/>
      <c r="E471" s="363"/>
      <c r="F471" s="363"/>
      <c r="G471" s="363"/>
      <c r="H471" s="363"/>
      <c r="I471" s="363"/>
      <c r="J471" s="363"/>
      <c r="K471" s="363"/>
      <c r="L471" s="363"/>
      <c r="M471" s="363"/>
      <c r="N471" s="363"/>
      <c r="O471" s="363"/>
      <c r="P471" s="363"/>
      <c r="Q471" s="363"/>
      <c r="R471" s="363"/>
      <c r="S471" s="363"/>
      <c r="T471" s="363"/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/>
      <c r="AF471" s="363"/>
      <c r="AG471" s="363"/>
      <c r="AH471" s="363"/>
      <c r="AI471" s="363"/>
      <c r="AJ471" s="363"/>
      <c r="AK471" s="363"/>
      <c r="AL471" s="363"/>
      <c r="AM471" s="363"/>
    </row>
    <row r="472" spans="2:39" ht="12.75" customHeight="1" x14ac:dyDescent="0.2">
      <c r="B472" s="362"/>
      <c r="C472" s="363"/>
      <c r="D472" s="363"/>
      <c r="E472" s="363"/>
      <c r="F472" s="363"/>
      <c r="G472" s="363"/>
      <c r="H472" s="363"/>
      <c r="I472" s="363"/>
      <c r="J472" s="363"/>
      <c r="K472" s="363"/>
      <c r="L472" s="363"/>
      <c r="M472" s="363"/>
      <c r="N472" s="363"/>
      <c r="O472" s="363"/>
      <c r="P472" s="363"/>
      <c r="Q472" s="363"/>
      <c r="R472" s="363"/>
      <c r="S472" s="363"/>
      <c r="T472" s="363"/>
      <c r="U472" s="363"/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/>
      <c r="AF472" s="363"/>
      <c r="AG472" s="363"/>
      <c r="AH472" s="363"/>
      <c r="AI472" s="363"/>
      <c r="AJ472" s="363"/>
      <c r="AK472" s="363"/>
      <c r="AL472" s="363"/>
      <c r="AM472" s="363"/>
    </row>
    <row r="473" spans="2:39" ht="12.75" customHeight="1" x14ac:dyDescent="0.2">
      <c r="B473" s="362"/>
      <c r="C473" s="363"/>
      <c r="D473" s="363"/>
      <c r="E473" s="363"/>
      <c r="F473" s="363"/>
      <c r="G473" s="363"/>
      <c r="H473" s="363"/>
      <c r="I473" s="363"/>
      <c r="J473" s="363"/>
      <c r="K473" s="363"/>
      <c r="L473" s="363"/>
      <c r="M473" s="363"/>
      <c r="N473" s="363"/>
      <c r="O473" s="363"/>
      <c r="P473" s="363"/>
      <c r="Q473" s="363"/>
      <c r="R473" s="363"/>
      <c r="S473" s="363"/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/>
      <c r="AF473" s="363"/>
      <c r="AG473" s="363"/>
      <c r="AH473" s="363"/>
      <c r="AI473" s="363"/>
      <c r="AJ473" s="363"/>
      <c r="AK473" s="363"/>
      <c r="AL473" s="363"/>
      <c r="AM473" s="363"/>
    </row>
    <row r="474" spans="2:39" ht="12.75" customHeight="1" x14ac:dyDescent="0.2">
      <c r="B474" s="362"/>
      <c r="C474" s="363"/>
      <c r="D474" s="363"/>
      <c r="E474" s="363"/>
      <c r="F474" s="363"/>
      <c r="G474" s="363"/>
      <c r="H474" s="363"/>
      <c r="I474" s="363"/>
      <c r="J474" s="363"/>
      <c r="K474" s="363"/>
      <c r="L474" s="363"/>
      <c r="M474" s="363"/>
      <c r="N474" s="363"/>
      <c r="O474" s="363"/>
      <c r="P474" s="363"/>
      <c r="Q474" s="363"/>
      <c r="R474" s="363"/>
      <c r="S474" s="363"/>
      <c r="T474" s="363"/>
      <c r="U474" s="363"/>
      <c r="V474" s="363"/>
      <c r="W474" s="363"/>
      <c r="X474" s="363"/>
      <c r="Y474" s="363"/>
      <c r="Z474" s="363"/>
      <c r="AA474" s="363"/>
      <c r="AB474" s="363"/>
      <c r="AC474" s="363"/>
      <c r="AD474" s="363"/>
      <c r="AE474" s="363"/>
      <c r="AF474" s="363"/>
      <c r="AG474" s="363"/>
      <c r="AH474" s="363"/>
      <c r="AI474" s="363"/>
      <c r="AJ474" s="363"/>
      <c r="AK474" s="363"/>
      <c r="AL474" s="363"/>
      <c r="AM474" s="363"/>
    </row>
    <row r="475" spans="2:39" ht="12.75" customHeight="1" x14ac:dyDescent="0.2">
      <c r="B475" s="362"/>
      <c r="C475" s="363"/>
      <c r="D475" s="363"/>
      <c r="E475" s="363"/>
      <c r="F475" s="363"/>
      <c r="G475" s="363"/>
      <c r="H475" s="363"/>
      <c r="I475" s="363"/>
      <c r="J475" s="363"/>
      <c r="K475" s="363"/>
      <c r="L475" s="363"/>
      <c r="M475" s="363"/>
      <c r="N475" s="363"/>
      <c r="O475" s="363"/>
      <c r="P475" s="363"/>
      <c r="Q475" s="363"/>
      <c r="R475" s="363"/>
      <c r="S475" s="363"/>
      <c r="T475" s="363"/>
      <c r="U475" s="363"/>
      <c r="V475" s="363"/>
      <c r="W475" s="363"/>
      <c r="X475" s="363"/>
      <c r="Y475" s="363"/>
      <c r="Z475" s="363"/>
      <c r="AA475" s="363"/>
      <c r="AB475" s="363"/>
      <c r="AC475" s="363"/>
      <c r="AD475" s="363"/>
      <c r="AE475" s="363"/>
      <c r="AF475" s="363"/>
      <c r="AG475" s="363"/>
      <c r="AH475" s="363"/>
      <c r="AI475" s="363"/>
      <c r="AJ475" s="363"/>
      <c r="AK475" s="363"/>
      <c r="AL475" s="363"/>
      <c r="AM475" s="363"/>
    </row>
    <row r="476" spans="2:39" ht="12.75" customHeight="1" x14ac:dyDescent="0.2">
      <c r="B476" s="362"/>
      <c r="C476" s="363"/>
      <c r="D476" s="363"/>
      <c r="E476" s="363"/>
      <c r="F476" s="363"/>
      <c r="G476" s="363"/>
      <c r="H476" s="363"/>
      <c r="I476" s="363"/>
      <c r="J476" s="363"/>
      <c r="K476" s="363"/>
      <c r="L476" s="363"/>
      <c r="M476" s="363"/>
      <c r="N476" s="363"/>
      <c r="O476" s="363"/>
      <c r="P476" s="363"/>
      <c r="Q476" s="363"/>
      <c r="R476" s="363"/>
      <c r="S476" s="363"/>
      <c r="T476" s="363"/>
      <c r="U476" s="363"/>
      <c r="V476" s="363"/>
      <c r="W476" s="363"/>
      <c r="X476" s="363"/>
      <c r="Y476" s="363"/>
      <c r="Z476" s="363"/>
      <c r="AA476" s="363"/>
      <c r="AB476" s="363"/>
      <c r="AC476" s="363"/>
      <c r="AD476" s="363"/>
      <c r="AE476" s="363"/>
      <c r="AF476" s="363"/>
      <c r="AG476" s="363"/>
      <c r="AH476" s="363"/>
      <c r="AI476" s="363"/>
      <c r="AJ476" s="363"/>
      <c r="AK476" s="363"/>
      <c r="AL476" s="363"/>
      <c r="AM476" s="363"/>
    </row>
    <row r="477" spans="2:39" ht="12.75" customHeight="1" x14ac:dyDescent="0.2">
      <c r="B477" s="362"/>
      <c r="C477" s="363"/>
      <c r="D477" s="363"/>
      <c r="E477" s="363"/>
      <c r="F477" s="363"/>
      <c r="G477" s="363"/>
      <c r="H477" s="363"/>
      <c r="I477" s="363"/>
      <c r="J477" s="363"/>
      <c r="K477" s="363"/>
      <c r="L477" s="363"/>
      <c r="M477" s="363"/>
      <c r="N477" s="363"/>
      <c r="O477" s="363"/>
      <c r="P477" s="363"/>
      <c r="Q477" s="363"/>
      <c r="R477" s="363"/>
      <c r="S477" s="363"/>
      <c r="T477" s="363"/>
      <c r="U477" s="363"/>
      <c r="V477" s="363"/>
      <c r="W477" s="363"/>
      <c r="X477" s="363"/>
      <c r="Y477" s="363"/>
      <c r="Z477" s="363"/>
      <c r="AA477" s="363"/>
      <c r="AB477" s="363"/>
      <c r="AC477" s="363"/>
      <c r="AD477" s="363"/>
      <c r="AE477" s="363"/>
      <c r="AF477" s="363"/>
      <c r="AG477" s="363"/>
      <c r="AH477" s="363"/>
      <c r="AI477" s="363"/>
      <c r="AJ477" s="363"/>
      <c r="AK477" s="363"/>
      <c r="AL477" s="363"/>
      <c r="AM477" s="363"/>
    </row>
    <row r="478" spans="2:39" ht="12.75" customHeight="1" x14ac:dyDescent="0.2">
      <c r="B478" s="362"/>
      <c r="C478" s="363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  <c r="X478" s="363"/>
      <c r="Y478" s="363"/>
      <c r="Z478" s="363"/>
      <c r="AA478" s="363"/>
      <c r="AB478" s="363"/>
      <c r="AC478" s="363"/>
      <c r="AD478" s="363"/>
      <c r="AE478" s="363"/>
      <c r="AF478" s="363"/>
      <c r="AG478" s="363"/>
      <c r="AH478" s="363"/>
      <c r="AI478" s="363"/>
      <c r="AJ478" s="363"/>
      <c r="AK478" s="363"/>
      <c r="AL478" s="363"/>
      <c r="AM478" s="363"/>
    </row>
    <row r="479" spans="2:39" ht="12.75" customHeight="1" x14ac:dyDescent="0.2">
      <c r="B479" s="362"/>
      <c r="C479" s="363"/>
      <c r="D479" s="363"/>
      <c r="E479" s="363"/>
      <c r="F479" s="363"/>
      <c r="G479" s="363"/>
      <c r="H479" s="363"/>
      <c r="I479" s="363"/>
      <c r="J479" s="363"/>
      <c r="K479" s="363"/>
      <c r="L479" s="363"/>
      <c r="M479" s="363"/>
      <c r="N479" s="363"/>
      <c r="O479" s="363"/>
      <c r="P479" s="363"/>
      <c r="Q479" s="363"/>
      <c r="R479" s="363"/>
      <c r="S479" s="363"/>
      <c r="T479" s="363"/>
      <c r="U479" s="363"/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/>
      <c r="AF479" s="363"/>
      <c r="AG479" s="363"/>
      <c r="AH479" s="363"/>
      <c r="AI479" s="363"/>
      <c r="AJ479" s="363"/>
      <c r="AK479" s="363"/>
      <c r="AL479" s="363"/>
      <c r="AM479" s="363"/>
    </row>
    <row r="480" spans="2:39" ht="12.75" customHeight="1" x14ac:dyDescent="0.2">
      <c r="B480" s="362"/>
      <c r="C480" s="363"/>
      <c r="D480" s="363"/>
      <c r="E480" s="363"/>
      <c r="F480" s="363"/>
      <c r="G480" s="363"/>
      <c r="H480" s="363"/>
      <c r="I480" s="363"/>
      <c r="J480" s="363"/>
      <c r="K480" s="363"/>
      <c r="L480" s="363"/>
      <c r="M480" s="363"/>
      <c r="N480" s="363"/>
      <c r="O480" s="363"/>
      <c r="P480" s="363"/>
      <c r="Q480" s="363"/>
      <c r="R480" s="363"/>
      <c r="S480" s="363"/>
      <c r="T480" s="363"/>
      <c r="U480" s="363"/>
      <c r="V480" s="363"/>
      <c r="W480" s="363"/>
      <c r="X480" s="363"/>
      <c r="Y480" s="363"/>
      <c r="Z480" s="363"/>
      <c r="AA480" s="363"/>
      <c r="AB480" s="363"/>
      <c r="AC480" s="363"/>
      <c r="AD480" s="363"/>
      <c r="AE480" s="363"/>
      <c r="AF480" s="363"/>
      <c r="AG480" s="363"/>
      <c r="AH480" s="363"/>
      <c r="AI480" s="363"/>
      <c r="AJ480" s="363"/>
      <c r="AK480" s="363"/>
      <c r="AL480" s="363"/>
      <c r="AM480" s="363"/>
    </row>
    <row r="481" spans="2:39" ht="12.75" customHeight="1" x14ac:dyDescent="0.2">
      <c r="B481" s="362"/>
      <c r="C481" s="363"/>
      <c r="D481" s="363"/>
      <c r="E481" s="363"/>
      <c r="F481" s="363"/>
      <c r="G481" s="363"/>
      <c r="H481" s="363"/>
      <c r="I481" s="363"/>
      <c r="J481" s="363"/>
      <c r="K481" s="363"/>
      <c r="L481" s="363"/>
      <c r="M481" s="363"/>
      <c r="N481" s="363"/>
      <c r="O481" s="363"/>
      <c r="P481" s="363"/>
      <c r="Q481" s="363"/>
      <c r="R481" s="363"/>
      <c r="S481" s="363"/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/>
      <c r="AF481" s="363"/>
      <c r="AG481" s="363"/>
      <c r="AH481" s="363"/>
      <c r="AI481" s="363"/>
      <c r="AJ481" s="363"/>
      <c r="AK481" s="363"/>
      <c r="AL481" s="363"/>
      <c r="AM481" s="363"/>
    </row>
    <row r="482" spans="2:39" ht="12.75" customHeight="1" x14ac:dyDescent="0.2">
      <c r="B482" s="362"/>
      <c r="C482" s="363"/>
      <c r="D482" s="363"/>
      <c r="E482" s="363"/>
      <c r="F482" s="363"/>
      <c r="G482" s="363"/>
      <c r="H482" s="363"/>
      <c r="I482" s="363"/>
      <c r="J482" s="363"/>
      <c r="K482" s="363"/>
      <c r="L482" s="363"/>
      <c r="M482" s="363"/>
      <c r="N482" s="363"/>
      <c r="O482" s="363"/>
      <c r="P482" s="363"/>
      <c r="Q482" s="363"/>
      <c r="R482" s="363"/>
      <c r="S482" s="363"/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/>
      <c r="AF482" s="363"/>
      <c r="AG482" s="363"/>
      <c r="AH482" s="363"/>
      <c r="AI482" s="363"/>
      <c r="AJ482" s="363"/>
      <c r="AK482" s="363"/>
      <c r="AL482" s="363"/>
      <c r="AM482" s="363"/>
    </row>
    <row r="483" spans="2:39" ht="12.75" customHeight="1" x14ac:dyDescent="0.2">
      <c r="B483" s="362"/>
      <c r="C483" s="363"/>
      <c r="D483" s="363"/>
      <c r="E483" s="363"/>
      <c r="F483" s="363"/>
      <c r="G483" s="363"/>
      <c r="H483" s="363"/>
      <c r="I483" s="363"/>
      <c r="J483" s="363"/>
      <c r="K483" s="363"/>
      <c r="L483" s="363"/>
      <c r="M483" s="363"/>
      <c r="N483" s="363"/>
      <c r="O483" s="363"/>
      <c r="P483" s="363"/>
      <c r="Q483" s="363"/>
      <c r="R483" s="363"/>
      <c r="S483" s="363"/>
      <c r="T483" s="363"/>
      <c r="U483" s="363"/>
      <c r="V483" s="363"/>
      <c r="W483" s="363"/>
      <c r="X483" s="363"/>
      <c r="Y483" s="363"/>
      <c r="Z483" s="363"/>
      <c r="AA483" s="363"/>
      <c r="AB483" s="363"/>
      <c r="AC483" s="363"/>
      <c r="AD483" s="363"/>
      <c r="AE483" s="363"/>
      <c r="AF483" s="363"/>
      <c r="AG483" s="363"/>
      <c r="AH483" s="363"/>
      <c r="AI483" s="363"/>
      <c r="AJ483" s="363"/>
      <c r="AK483" s="363"/>
      <c r="AL483" s="363"/>
      <c r="AM483" s="363"/>
    </row>
    <row r="484" spans="2:39" ht="12.75" customHeight="1" x14ac:dyDescent="0.2">
      <c r="B484" s="362"/>
      <c r="C484" s="363"/>
      <c r="D484" s="363"/>
      <c r="E484" s="363"/>
      <c r="F484" s="363"/>
      <c r="G484" s="363"/>
      <c r="H484" s="363"/>
      <c r="I484" s="363"/>
      <c r="J484" s="363"/>
      <c r="K484" s="363"/>
      <c r="L484" s="363"/>
      <c r="M484" s="363"/>
      <c r="N484" s="363"/>
      <c r="O484" s="363"/>
      <c r="P484" s="363"/>
      <c r="Q484" s="363"/>
      <c r="R484" s="363"/>
      <c r="S484" s="363"/>
      <c r="T484" s="363"/>
      <c r="U484" s="363"/>
      <c r="V484" s="363"/>
      <c r="W484" s="363"/>
      <c r="X484" s="363"/>
      <c r="Y484" s="363"/>
      <c r="Z484" s="363"/>
      <c r="AA484" s="363"/>
      <c r="AB484" s="363"/>
      <c r="AC484" s="363"/>
      <c r="AD484" s="363"/>
      <c r="AE484" s="363"/>
      <c r="AF484" s="363"/>
      <c r="AG484" s="363"/>
      <c r="AH484" s="363"/>
      <c r="AI484" s="363"/>
      <c r="AJ484" s="363"/>
      <c r="AK484" s="363"/>
      <c r="AL484" s="363"/>
      <c r="AM484" s="363"/>
    </row>
    <row r="485" spans="2:39" ht="12.75" customHeight="1" x14ac:dyDescent="0.2">
      <c r="B485" s="362"/>
      <c r="C485" s="363"/>
      <c r="D485" s="363"/>
      <c r="E485" s="363"/>
      <c r="F485" s="363"/>
      <c r="G485" s="363"/>
      <c r="H485" s="363"/>
      <c r="I485" s="363"/>
      <c r="J485" s="363"/>
      <c r="K485" s="363"/>
      <c r="L485" s="363"/>
      <c r="M485" s="363"/>
      <c r="N485" s="363"/>
      <c r="O485" s="363"/>
      <c r="P485" s="363"/>
      <c r="Q485" s="363"/>
      <c r="R485" s="363"/>
      <c r="S485" s="363"/>
      <c r="T485" s="363"/>
      <c r="U485" s="363"/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/>
      <c r="AF485" s="363"/>
      <c r="AG485" s="363"/>
      <c r="AH485" s="363"/>
      <c r="AI485" s="363"/>
      <c r="AJ485" s="363"/>
      <c r="AK485" s="363"/>
      <c r="AL485" s="363"/>
      <c r="AM485" s="363"/>
    </row>
    <row r="486" spans="2:39" ht="12.75" customHeight="1" x14ac:dyDescent="0.2">
      <c r="B486" s="362"/>
      <c r="C486" s="363"/>
      <c r="D486" s="363"/>
      <c r="E486" s="363"/>
      <c r="F486" s="363"/>
      <c r="G486" s="363"/>
      <c r="H486" s="363"/>
      <c r="I486" s="363"/>
      <c r="J486" s="363"/>
      <c r="K486" s="363"/>
      <c r="L486" s="363"/>
      <c r="M486" s="363"/>
      <c r="N486" s="363"/>
      <c r="O486" s="363"/>
      <c r="P486" s="363"/>
      <c r="Q486" s="363"/>
      <c r="R486" s="363"/>
      <c r="S486" s="363"/>
      <c r="T486" s="363"/>
      <c r="U486" s="363"/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/>
      <c r="AF486" s="363"/>
      <c r="AG486" s="363"/>
      <c r="AH486" s="363"/>
      <c r="AI486" s="363"/>
      <c r="AJ486" s="363"/>
      <c r="AK486" s="363"/>
      <c r="AL486" s="363"/>
      <c r="AM486" s="363"/>
    </row>
    <row r="487" spans="2:39" ht="12.75" customHeight="1" x14ac:dyDescent="0.2">
      <c r="B487" s="362"/>
      <c r="C487" s="363"/>
      <c r="D487" s="363"/>
      <c r="E487" s="363"/>
      <c r="F487" s="363"/>
      <c r="G487" s="363"/>
      <c r="H487" s="363"/>
      <c r="I487" s="363"/>
      <c r="J487" s="363"/>
      <c r="K487" s="363"/>
      <c r="L487" s="363"/>
      <c r="M487" s="363"/>
      <c r="N487" s="363"/>
      <c r="O487" s="363"/>
      <c r="P487" s="363"/>
      <c r="Q487" s="363"/>
      <c r="R487" s="363"/>
      <c r="S487" s="363"/>
      <c r="T487" s="363"/>
      <c r="U487" s="363"/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/>
      <c r="AF487" s="363"/>
      <c r="AG487" s="363"/>
      <c r="AH487" s="363"/>
      <c r="AI487" s="363"/>
      <c r="AJ487" s="363"/>
      <c r="AK487" s="363"/>
      <c r="AL487" s="363"/>
      <c r="AM487" s="363"/>
    </row>
    <row r="488" spans="2:39" ht="12.75" customHeight="1" x14ac:dyDescent="0.2">
      <c r="B488" s="362"/>
      <c r="C488" s="363"/>
      <c r="D488" s="363"/>
      <c r="E488" s="363"/>
      <c r="F488" s="363"/>
      <c r="G488" s="363"/>
      <c r="H488" s="363"/>
      <c r="I488" s="363"/>
      <c r="J488" s="363"/>
      <c r="K488" s="363"/>
      <c r="L488" s="363"/>
      <c r="M488" s="363"/>
      <c r="N488" s="363"/>
      <c r="O488" s="363"/>
      <c r="P488" s="363"/>
      <c r="Q488" s="363"/>
      <c r="R488" s="363"/>
      <c r="S488" s="363"/>
      <c r="T488" s="363"/>
      <c r="U488" s="363"/>
      <c r="V488" s="363"/>
      <c r="W488" s="363"/>
      <c r="X488" s="363"/>
      <c r="Y488" s="363"/>
      <c r="Z488" s="363"/>
      <c r="AA488" s="363"/>
      <c r="AB488" s="363"/>
      <c r="AC488" s="363"/>
      <c r="AD488" s="363"/>
      <c r="AE488" s="363"/>
      <c r="AF488" s="363"/>
      <c r="AG488" s="363"/>
      <c r="AH488" s="363"/>
      <c r="AI488" s="363"/>
      <c r="AJ488" s="363"/>
      <c r="AK488" s="363"/>
      <c r="AL488" s="363"/>
      <c r="AM488" s="363"/>
    </row>
    <row r="489" spans="2:39" ht="12.75" customHeight="1" x14ac:dyDescent="0.2">
      <c r="B489" s="362"/>
      <c r="C489" s="363"/>
      <c r="D489" s="363"/>
      <c r="E489" s="363"/>
      <c r="F489" s="363"/>
      <c r="G489" s="363"/>
      <c r="H489" s="363"/>
      <c r="I489" s="363"/>
      <c r="J489" s="363"/>
      <c r="K489" s="363"/>
      <c r="L489" s="363"/>
      <c r="M489" s="363"/>
      <c r="N489" s="363"/>
      <c r="O489" s="363"/>
      <c r="P489" s="363"/>
      <c r="Q489" s="363"/>
      <c r="R489" s="363"/>
      <c r="S489" s="363"/>
      <c r="T489" s="363"/>
      <c r="U489" s="363"/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/>
      <c r="AF489" s="363"/>
      <c r="AG489" s="363"/>
      <c r="AH489" s="363"/>
      <c r="AI489" s="363"/>
      <c r="AJ489" s="363"/>
      <c r="AK489" s="363"/>
      <c r="AL489" s="363"/>
      <c r="AM489" s="363"/>
    </row>
    <row r="490" spans="2:39" ht="12.75" customHeight="1" x14ac:dyDescent="0.2">
      <c r="B490" s="362"/>
      <c r="C490" s="363"/>
      <c r="D490" s="363"/>
      <c r="E490" s="363"/>
      <c r="F490" s="363"/>
      <c r="G490" s="363"/>
      <c r="H490" s="363"/>
      <c r="I490" s="363"/>
      <c r="J490" s="363"/>
      <c r="K490" s="363"/>
      <c r="L490" s="363"/>
      <c r="M490" s="363"/>
      <c r="N490" s="363"/>
      <c r="O490" s="363"/>
      <c r="P490" s="363"/>
      <c r="Q490" s="363"/>
      <c r="R490" s="363"/>
      <c r="S490" s="363"/>
      <c r="T490" s="363"/>
      <c r="U490" s="363"/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/>
      <c r="AF490" s="363"/>
      <c r="AG490" s="363"/>
      <c r="AH490" s="363"/>
      <c r="AI490" s="363"/>
      <c r="AJ490" s="363"/>
      <c r="AK490" s="363"/>
      <c r="AL490" s="363"/>
      <c r="AM490" s="363"/>
    </row>
    <row r="491" spans="2:39" ht="12.75" customHeight="1" x14ac:dyDescent="0.2">
      <c r="B491" s="362"/>
      <c r="C491" s="363"/>
      <c r="D491" s="363"/>
      <c r="E491" s="363"/>
      <c r="F491" s="363"/>
      <c r="G491" s="363"/>
      <c r="H491" s="363"/>
      <c r="I491" s="363"/>
      <c r="J491" s="363"/>
      <c r="K491" s="363"/>
      <c r="L491" s="363"/>
      <c r="M491" s="363"/>
      <c r="N491" s="363"/>
      <c r="O491" s="363"/>
      <c r="P491" s="363"/>
      <c r="Q491" s="363"/>
      <c r="R491" s="363"/>
      <c r="S491" s="363"/>
      <c r="T491" s="363"/>
      <c r="U491" s="363"/>
      <c r="V491" s="363"/>
      <c r="W491" s="363"/>
      <c r="X491" s="363"/>
      <c r="Y491" s="363"/>
      <c r="Z491" s="363"/>
      <c r="AA491" s="363"/>
      <c r="AB491" s="363"/>
      <c r="AC491" s="363"/>
      <c r="AD491" s="363"/>
      <c r="AE491" s="363"/>
      <c r="AF491" s="363"/>
      <c r="AG491" s="363"/>
      <c r="AH491" s="363"/>
      <c r="AI491" s="363"/>
      <c r="AJ491" s="363"/>
      <c r="AK491" s="363"/>
      <c r="AL491" s="363"/>
      <c r="AM491" s="363"/>
    </row>
    <row r="492" spans="2:39" ht="12.75" customHeight="1" x14ac:dyDescent="0.2">
      <c r="B492" s="362"/>
      <c r="C492" s="363"/>
      <c r="D492" s="363"/>
      <c r="E492" s="363"/>
      <c r="F492" s="363"/>
      <c r="G492" s="363"/>
      <c r="H492" s="363"/>
      <c r="I492" s="363"/>
      <c r="J492" s="363"/>
      <c r="K492" s="363"/>
      <c r="L492" s="363"/>
      <c r="M492" s="363"/>
      <c r="N492" s="363"/>
      <c r="O492" s="363"/>
      <c r="P492" s="363"/>
      <c r="Q492" s="363"/>
      <c r="R492" s="363"/>
      <c r="S492" s="363"/>
      <c r="T492" s="363"/>
      <c r="U492" s="363"/>
      <c r="V492" s="363"/>
      <c r="W492" s="363"/>
      <c r="X492" s="363"/>
      <c r="Y492" s="363"/>
      <c r="Z492" s="363"/>
      <c r="AA492" s="363"/>
      <c r="AB492" s="363"/>
      <c r="AC492" s="363"/>
      <c r="AD492" s="363"/>
      <c r="AE492" s="363"/>
      <c r="AF492" s="363"/>
      <c r="AG492" s="363"/>
      <c r="AH492" s="363"/>
      <c r="AI492" s="363"/>
      <c r="AJ492" s="363"/>
      <c r="AK492" s="363"/>
      <c r="AL492" s="363"/>
      <c r="AM492" s="363"/>
    </row>
    <row r="493" spans="2:39" ht="12.75" customHeight="1" x14ac:dyDescent="0.2">
      <c r="B493" s="362"/>
      <c r="C493" s="363"/>
      <c r="D493" s="363"/>
      <c r="E493" s="363"/>
      <c r="F493" s="363"/>
      <c r="G493" s="363"/>
      <c r="H493" s="363"/>
      <c r="I493" s="363"/>
      <c r="J493" s="363"/>
      <c r="K493" s="363"/>
      <c r="L493" s="363"/>
      <c r="M493" s="363"/>
      <c r="N493" s="363"/>
      <c r="O493" s="363"/>
      <c r="P493" s="363"/>
      <c r="Q493" s="363"/>
      <c r="R493" s="363"/>
      <c r="S493" s="363"/>
      <c r="T493" s="363"/>
      <c r="U493" s="363"/>
      <c r="V493" s="363"/>
      <c r="W493" s="363"/>
      <c r="X493" s="363"/>
      <c r="Y493" s="363"/>
      <c r="Z493" s="363"/>
      <c r="AA493" s="363"/>
      <c r="AB493" s="363"/>
      <c r="AC493" s="363"/>
      <c r="AD493" s="363"/>
      <c r="AE493" s="363"/>
      <c r="AF493" s="363"/>
      <c r="AG493" s="363"/>
      <c r="AH493" s="363"/>
      <c r="AI493" s="363"/>
      <c r="AJ493" s="363"/>
      <c r="AK493" s="363"/>
      <c r="AL493" s="363"/>
      <c r="AM493" s="363"/>
    </row>
    <row r="494" spans="2:39" ht="12.75" customHeight="1" x14ac:dyDescent="0.2">
      <c r="B494" s="362"/>
      <c r="C494" s="363"/>
      <c r="D494" s="363"/>
      <c r="E494" s="363"/>
      <c r="F494" s="363"/>
      <c r="G494" s="363"/>
      <c r="H494" s="363"/>
      <c r="I494" s="363"/>
      <c r="J494" s="363"/>
      <c r="K494" s="363"/>
      <c r="L494" s="363"/>
      <c r="M494" s="363"/>
      <c r="N494" s="363"/>
      <c r="O494" s="363"/>
      <c r="P494" s="363"/>
      <c r="Q494" s="363"/>
      <c r="R494" s="363"/>
      <c r="S494" s="363"/>
      <c r="T494" s="363"/>
      <c r="U494" s="363"/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/>
      <c r="AF494" s="363"/>
      <c r="AG494" s="363"/>
      <c r="AH494" s="363"/>
      <c r="AI494" s="363"/>
      <c r="AJ494" s="363"/>
      <c r="AK494" s="363"/>
      <c r="AL494" s="363"/>
      <c r="AM494" s="363"/>
    </row>
    <row r="495" spans="2:39" ht="12.75" customHeight="1" x14ac:dyDescent="0.2">
      <c r="B495" s="362"/>
      <c r="C495" s="363"/>
      <c r="D495" s="363"/>
      <c r="E495" s="363"/>
      <c r="F495" s="363"/>
      <c r="G495" s="363"/>
      <c r="H495" s="363"/>
      <c r="I495" s="363"/>
      <c r="J495" s="363"/>
      <c r="K495" s="363"/>
      <c r="L495" s="363"/>
      <c r="M495" s="363"/>
      <c r="N495" s="363"/>
      <c r="O495" s="363"/>
      <c r="P495" s="363"/>
      <c r="Q495" s="363"/>
      <c r="R495" s="363"/>
      <c r="S495" s="363"/>
      <c r="T495" s="363"/>
      <c r="U495" s="363"/>
      <c r="V495" s="363"/>
      <c r="W495" s="363"/>
      <c r="X495" s="363"/>
      <c r="Y495" s="363"/>
      <c r="Z495" s="363"/>
      <c r="AA495" s="363"/>
      <c r="AB495" s="363"/>
      <c r="AC495" s="363"/>
      <c r="AD495" s="363"/>
      <c r="AE495" s="363"/>
      <c r="AF495" s="363"/>
      <c r="AG495" s="363"/>
      <c r="AH495" s="363"/>
      <c r="AI495" s="363"/>
      <c r="AJ495" s="363"/>
      <c r="AK495" s="363"/>
      <c r="AL495" s="363"/>
      <c r="AM495" s="363"/>
    </row>
    <row r="496" spans="2:39" ht="12.75" customHeight="1" x14ac:dyDescent="0.2">
      <c r="B496" s="362"/>
      <c r="C496" s="363"/>
      <c r="D496" s="363"/>
      <c r="E496" s="363"/>
      <c r="F496" s="363"/>
      <c r="G496" s="363"/>
      <c r="H496" s="363"/>
      <c r="I496" s="363"/>
      <c r="J496" s="363"/>
      <c r="K496" s="363"/>
      <c r="L496" s="363"/>
      <c r="M496" s="363"/>
      <c r="N496" s="363"/>
      <c r="O496" s="363"/>
      <c r="P496" s="363"/>
      <c r="Q496" s="363"/>
      <c r="R496" s="363"/>
      <c r="S496" s="363"/>
      <c r="T496" s="363"/>
      <c r="U496" s="363"/>
      <c r="V496" s="363"/>
      <c r="W496" s="363"/>
      <c r="X496" s="363"/>
      <c r="Y496" s="363"/>
      <c r="Z496" s="363"/>
      <c r="AA496" s="363"/>
      <c r="AB496" s="363"/>
      <c r="AC496" s="363"/>
      <c r="AD496" s="363"/>
      <c r="AE496" s="363"/>
      <c r="AF496" s="363"/>
      <c r="AG496" s="363"/>
      <c r="AH496" s="363"/>
      <c r="AI496" s="363"/>
      <c r="AJ496" s="363"/>
      <c r="AK496" s="363"/>
      <c r="AL496" s="363"/>
      <c r="AM496" s="363"/>
    </row>
    <row r="497" spans="2:39" ht="12.75" customHeight="1" x14ac:dyDescent="0.2">
      <c r="B497" s="362"/>
      <c r="C497" s="363"/>
      <c r="D497" s="363"/>
      <c r="E497" s="363"/>
      <c r="F497" s="363"/>
      <c r="G497" s="363"/>
      <c r="H497" s="363"/>
      <c r="I497" s="363"/>
      <c r="J497" s="363"/>
      <c r="K497" s="363"/>
      <c r="L497" s="363"/>
      <c r="M497" s="363"/>
      <c r="N497" s="363"/>
      <c r="O497" s="363"/>
      <c r="P497" s="363"/>
      <c r="Q497" s="363"/>
      <c r="R497" s="363"/>
      <c r="S497" s="363"/>
      <c r="T497" s="363"/>
      <c r="U497" s="363"/>
      <c r="V497" s="363"/>
      <c r="W497" s="363"/>
      <c r="X497" s="363"/>
      <c r="Y497" s="363"/>
      <c r="Z497" s="363"/>
      <c r="AA497" s="363"/>
      <c r="AB497" s="363"/>
      <c r="AC497" s="363"/>
      <c r="AD497" s="363"/>
      <c r="AE497" s="363"/>
      <c r="AF497" s="363"/>
      <c r="AG497" s="363"/>
      <c r="AH497" s="363"/>
      <c r="AI497" s="363"/>
      <c r="AJ497" s="363"/>
      <c r="AK497" s="363"/>
      <c r="AL497" s="363"/>
      <c r="AM497" s="363"/>
    </row>
    <row r="498" spans="2:39" ht="12.75" customHeight="1" x14ac:dyDescent="0.2">
      <c r="B498" s="362"/>
      <c r="C498" s="363"/>
      <c r="D498" s="363"/>
      <c r="E498" s="363"/>
      <c r="F498" s="363"/>
      <c r="G498" s="363"/>
      <c r="H498" s="363"/>
      <c r="I498" s="363"/>
      <c r="J498" s="363"/>
      <c r="K498" s="363"/>
      <c r="L498" s="363"/>
      <c r="M498" s="363"/>
      <c r="N498" s="363"/>
      <c r="O498" s="363"/>
      <c r="P498" s="363"/>
      <c r="Q498" s="363"/>
      <c r="R498" s="363"/>
      <c r="S498" s="363"/>
      <c r="T498" s="363"/>
      <c r="U498" s="363"/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/>
      <c r="AF498" s="363"/>
      <c r="AG498" s="363"/>
      <c r="AH498" s="363"/>
      <c r="AI498" s="363"/>
      <c r="AJ498" s="363"/>
      <c r="AK498" s="363"/>
      <c r="AL498" s="363"/>
      <c r="AM498" s="363"/>
    </row>
    <row r="499" spans="2:39" ht="12.75" customHeight="1" x14ac:dyDescent="0.2">
      <c r="B499" s="362"/>
      <c r="C499" s="363"/>
      <c r="D499" s="363"/>
      <c r="E499" s="363"/>
      <c r="F499" s="363"/>
      <c r="G499" s="363"/>
      <c r="H499" s="363"/>
      <c r="I499" s="363"/>
      <c r="J499" s="363"/>
      <c r="K499" s="363"/>
      <c r="L499" s="363"/>
      <c r="M499" s="363"/>
      <c r="N499" s="363"/>
      <c r="O499" s="363"/>
      <c r="P499" s="363"/>
      <c r="Q499" s="363"/>
      <c r="R499" s="363"/>
      <c r="S499" s="363"/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/>
      <c r="AF499" s="363"/>
      <c r="AG499" s="363"/>
      <c r="AH499" s="363"/>
      <c r="AI499" s="363"/>
      <c r="AJ499" s="363"/>
      <c r="AK499" s="363"/>
      <c r="AL499" s="363"/>
      <c r="AM499" s="363"/>
    </row>
    <row r="500" spans="2:39" ht="12.75" customHeight="1" x14ac:dyDescent="0.2">
      <c r="B500" s="362"/>
      <c r="C500" s="363"/>
      <c r="D500" s="363"/>
      <c r="E500" s="363"/>
      <c r="F500" s="363"/>
      <c r="G500" s="363"/>
      <c r="H500" s="363"/>
      <c r="I500" s="363"/>
      <c r="J500" s="363"/>
      <c r="K500" s="363"/>
      <c r="L500" s="363"/>
      <c r="M500" s="363"/>
      <c r="N500" s="363"/>
      <c r="O500" s="363"/>
      <c r="P500" s="363"/>
      <c r="Q500" s="363"/>
      <c r="R500" s="363"/>
      <c r="S500" s="363"/>
      <c r="T500" s="363"/>
      <c r="U500" s="363"/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/>
      <c r="AF500" s="363"/>
      <c r="AG500" s="363"/>
      <c r="AH500" s="363"/>
      <c r="AI500" s="363"/>
      <c r="AJ500" s="363"/>
      <c r="AK500" s="363"/>
      <c r="AL500" s="363"/>
      <c r="AM500" s="363"/>
    </row>
    <row r="501" spans="2:39" ht="12.75" customHeight="1" x14ac:dyDescent="0.2">
      <c r="B501" s="362"/>
      <c r="C501" s="363"/>
      <c r="D501" s="363"/>
      <c r="E501" s="363"/>
      <c r="F501" s="363"/>
      <c r="G501" s="363"/>
      <c r="H501" s="363"/>
      <c r="I501" s="363"/>
      <c r="J501" s="363"/>
      <c r="K501" s="363"/>
      <c r="L501" s="363"/>
      <c r="M501" s="363"/>
      <c r="N501" s="363"/>
      <c r="O501" s="363"/>
      <c r="P501" s="363"/>
      <c r="Q501" s="363"/>
      <c r="R501" s="363"/>
      <c r="S501" s="363"/>
      <c r="T501" s="363"/>
      <c r="U501" s="363"/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/>
      <c r="AF501" s="363"/>
      <c r="AG501" s="363"/>
      <c r="AH501" s="363"/>
      <c r="AI501" s="363"/>
      <c r="AJ501" s="363"/>
      <c r="AK501" s="363"/>
      <c r="AL501" s="363"/>
      <c r="AM501" s="363"/>
    </row>
    <row r="502" spans="2:39" ht="12.75" customHeight="1" x14ac:dyDescent="0.2">
      <c r="B502" s="362"/>
      <c r="C502" s="363"/>
      <c r="D502" s="363"/>
      <c r="E502" s="363"/>
      <c r="F502" s="363"/>
      <c r="G502" s="363"/>
      <c r="H502" s="363"/>
      <c r="I502" s="363"/>
      <c r="J502" s="363"/>
      <c r="K502" s="363"/>
      <c r="L502" s="363"/>
      <c r="M502" s="363"/>
      <c r="N502" s="363"/>
      <c r="O502" s="363"/>
      <c r="P502" s="363"/>
      <c r="Q502" s="363"/>
      <c r="R502" s="363"/>
      <c r="S502" s="363"/>
      <c r="T502" s="363"/>
      <c r="U502" s="363"/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/>
      <c r="AF502" s="363"/>
      <c r="AG502" s="363"/>
      <c r="AH502" s="363"/>
      <c r="AI502" s="363"/>
      <c r="AJ502" s="363"/>
      <c r="AK502" s="363"/>
      <c r="AL502" s="363"/>
      <c r="AM502" s="363"/>
    </row>
    <row r="503" spans="2:39" ht="12.75" customHeight="1" x14ac:dyDescent="0.2">
      <c r="B503" s="362"/>
      <c r="C503" s="363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  <c r="X503" s="363"/>
      <c r="Y503" s="363"/>
      <c r="Z503" s="363"/>
      <c r="AA503" s="363"/>
      <c r="AB503" s="363"/>
      <c r="AC503" s="363"/>
      <c r="AD503" s="363"/>
      <c r="AE503" s="363"/>
      <c r="AF503" s="363"/>
      <c r="AG503" s="363"/>
      <c r="AH503" s="363"/>
      <c r="AI503" s="363"/>
      <c r="AJ503" s="363"/>
      <c r="AK503" s="363"/>
      <c r="AL503" s="363"/>
      <c r="AM503" s="363"/>
    </row>
    <row r="504" spans="2:39" ht="12.75" customHeight="1" x14ac:dyDescent="0.2">
      <c r="B504" s="362"/>
      <c r="C504" s="363"/>
      <c r="D504" s="363"/>
      <c r="E504" s="363"/>
      <c r="F504" s="363"/>
      <c r="G504" s="363"/>
      <c r="H504" s="363"/>
      <c r="I504" s="363"/>
      <c r="J504" s="363"/>
      <c r="K504" s="363"/>
      <c r="L504" s="363"/>
      <c r="M504" s="363"/>
      <c r="N504" s="363"/>
      <c r="O504" s="363"/>
      <c r="P504" s="363"/>
      <c r="Q504" s="363"/>
      <c r="R504" s="363"/>
      <c r="S504" s="363"/>
      <c r="T504" s="363"/>
      <c r="U504" s="363"/>
      <c r="V504" s="363"/>
      <c r="W504" s="363"/>
      <c r="X504" s="363"/>
      <c r="Y504" s="363"/>
      <c r="Z504" s="363"/>
      <c r="AA504" s="363"/>
      <c r="AB504" s="363"/>
      <c r="AC504" s="363"/>
      <c r="AD504" s="363"/>
      <c r="AE504" s="363"/>
      <c r="AF504" s="363"/>
      <c r="AG504" s="363"/>
      <c r="AH504" s="363"/>
      <c r="AI504" s="363"/>
      <c r="AJ504" s="363"/>
      <c r="AK504" s="363"/>
      <c r="AL504" s="363"/>
      <c r="AM504" s="363"/>
    </row>
    <row r="505" spans="2:39" ht="12.75" customHeight="1" x14ac:dyDescent="0.2">
      <c r="B505" s="362"/>
      <c r="C505" s="363"/>
      <c r="D505" s="363"/>
      <c r="E505" s="363"/>
      <c r="F505" s="363"/>
      <c r="G505" s="363"/>
      <c r="H505" s="363"/>
      <c r="I505" s="363"/>
      <c r="J505" s="363"/>
      <c r="K505" s="363"/>
      <c r="L505" s="363"/>
      <c r="M505" s="363"/>
      <c r="N505" s="363"/>
      <c r="O505" s="363"/>
      <c r="P505" s="363"/>
      <c r="Q505" s="363"/>
      <c r="R505" s="363"/>
      <c r="S505" s="363"/>
      <c r="T505" s="363"/>
      <c r="U505" s="363"/>
      <c r="V505" s="363"/>
      <c r="W505" s="363"/>
      <c r="X505" s="363"/>
      <c r="Y505" s="363"/>
      <c r="Z505" s="363"/>
      <c r="AA505" s="363"/>
      <c r="AB505" s="363"/>
      <c r="AC505" s="363"/>
      <c r="AD505" s="363"/>
      <c r="AE505" s="363"/>
      <c r="AF505" s="363"/>
      <c r="AG505" s="363"/>
      <c r="AH505" s="363"/>
      <c r="AI505" s="363"/>
      <c r="AJ505" s="363"/>
      <c r="AK505" s="363"/>
      <c r="AL505" s="363"/>
      <c r="AM505" s="363"/>
    </row>
    <row r="506" spans="2:39" ht="12.75" customHeight="1" x14ac:dyDescent="0.2">
      <c r="B506" s="362"/>
      <c r="C506" s="363"/>
      <c r="D506" s="363"/>
      <c r="E506" s="363"/>
      <c r="F506" s="363"/>
      <c r="G506" s="363"/>
      <c r="H506" s="363"/>
      <c r="I506" s="363"/>
      <c r="J506" s="363"/>
      <c r="K506" s="363"/>
      <c r="L506" s="363"/>
      <c r="M506" s="363"/>
      <c r="N506" s="363"/>
      <c r="O506" s="363"/>
      <c r="P506" s="363"/>
      <c r="Q506" s="363"/>
      <c r="R506" s="363"/>
      <c r="S506" s="363"/>
      <c r="T506" s="363"/>
      <c r="U506" s="363"/>
      <c r="V506" s="363"/>
      <c r="W506" s="363"/>
      <c r="X506" s="363"/>
      <c r="Y506" s="363"/>
      <c r="Z506" s="363"/>
      <c r="AA506" s="363"/>
      <c r="AB506" s="363"/>
      <c r="AC506" s="363"/>
      <c r="AD506" s="363"/>
      <c r="AE506" s="363"/>
      <c r="AF506" s="363"/>
      <c r="AG506" s="363"/>
      <c r="AH506" s="363"/>
      <c r="AI506" s="363"/>
      <c r="AJ506" s="363"/>
      <c r="AK506" s="363"/>
      <c r="AL506" s="363"/>
      <c r="AM506" s="363"/>
    </row>
    <row r="507" spans="2:39" ht="12.75" customHeight="1" x14ac:dyDescent="0.2">
      <c r="B507" s="362"/>
      <c r="C507" s="363"/>
      <c r="D507" s="363"/>
      <c r="E507" s="363"/>
      <c r="F507" s="363"/>
      <c r="G507" s="363"/>
      <c r="H507" s="363"/>
      <c r="I507" s="363"/>
      <c r="J507" s="363"/>
      <c r="K507" s="363"/>
      <c r="L507" s="363"/>
      <c r="M507" s="363"/>
      <c r="N507" s="363"/>
      <c r="O507" s="363"/>
      <c r="P507" s="363"/>
      <c r="Q507" s="363"/>
      <c r="R507" s="363"/>
      <c r="S507" s="363"/>
      <c r="T507" s="363"/>
      <c r="U507" s="363"/>
      <c r="V507" s="363"/>
      <c r="W507" s="363"/>
      <c r="X507" s="363"/>
      <c r="Y507" s="363"/>
      <c r="Z507" s="363"/>
      <c r="AA507" s="363"/>
      <c r="AB507" s="363"/>
      <c r="AC507" s="363"/>
      <c r="AD507" s="363"/>
      <c r="AE507" s="363"/>
      <c r="AF507" s="363"/>
      <c r="AG507" s="363"/>
      <c r="AH507" s="363"/>
      <c r="AI507" s="363"/>
      <c r="AJ507" s="363"/>
      <c r="AK507" s="363"/>
      <c r="AL507" s="363"/>
      <c r="AM507" s="363"/>
    </row>
    <row r="508" spans="2:39" ht="12.75" customHeight="1" x14ac:dyDescent="0.2">
      <c r="B508" s="362"/>
      <c r="C508" s="363"/>
      <c r="D508" s="363"/>
      <c r="E508" s="363"/>
      <c r="F508" s="363"/>
      <c r="G508" s="363"/>
      <c r="H508" s="363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/>
      <c r="AF508" s="363"/>
      <c r="AG508" s="363"/>
      <c r="AH508" s="363"/>
      <c r="AI508" s="363"/>
      <c r="AJ508" s="363"/>
      <c r="AK508" s="363"/>
      <c r="AL508" s="363"/>
      <c r="AM508" s="363"/>
    </row>
    <row r="509" spans="2:39" ht="12.75" customHeight="1" x14ac:dyDescent="0.2">
      <c r="B509" s="362"/>
      <c r="C509" s="363"/>
      <c r="D509" s="363"/>
      <c r="E509" s="363"/>
      <c r="F509" s="363"/>
      <c r="G509" s="363"/>
      <c r="H509" s="363"/>
      <c r="I509" s="363"/>
      <c r="J509" s="363"/>
      <c r="K509" s="363"/>
      <c r="L509" s="363"/>
      <c r="M509" s="363"/>
      <c r="N509" s="363"/>
      <c r="O509" s="363"/>
      <c r="P509" s="363"/>
      <c r="Q509" s="363"/>
      <c r="R509" s="363"/>
      <c r="S509" s="363"/>
      <c r="T509" s="363"/>
      <c r="U509" s="363"/>
      <c r="V509" s="363"/>
      <c r="W509" s="363"/>
      <c r="X509" s="363"/>
      <c r="Y509" s="363"/>
      <c r="Z509" s="363"/>
      <c r="AA509" s="363"/>
      <c r="AB509" s="363"/>
      <c r="AC509" s="363"/>
      <c r="AD509" s="363"/>
      <c r="AE509" s="363"/>
      <c r="AF509" s="363"/>
      <c r="AG509" s="363"/>
      <c r="AH509" s="363"/>
      <c r="AI509" s="363"/>
      <c r="AJ509" s="363"/>
      <c r="AK509" s="363"/>
      <c r="AL509" s="363"/>
      <c r="AM509" s="363"/>
    </row>
    <row r="510" spans="2:39" ht="12.75" customHeight="1" x14ac:dyDescent="0.2">
      <c r="B510" s="362"/>
      <c r="C510" s="363"/>
      <c r="D510" s="363"/>
      <c r="E510" s="363"/>
      <c r="F510" s="363"/>
      <c r="G510" s="363"/>
      <c r="H510" s="363"/>
      <c r="I510" s="363"/>
      <c r="J510" s="363"/>
      <c r="K510" s="363"/>
      <c r="L510" s="363"/>
      <c r="M510" s="363"/>
      <c r="N510" s="363"/>
      <c r="O510" s="363"/>
      <c r="P510" s="363"/>
      <c r="Q510" s="363"/>
      <c r="R510" s="363"/>
      <c r="S510" s="363"/>
      <c r="T510" s="363"/>
      <c r="U510" s="363"/>
      <c r="V510" s="363"/>
      <c r="W510" s="363"/>
      <c r="X510" s="363"/>
      <c r="Y510" s="363"/>
      <c r="Z510" s="363"/>
      <c r="AA510" s="363"/>
      <c r="AB510" s="363"/>
      <c r="AC510" s="363"/>
      <c r="AD510" s="363"/>
      <c r="AE510" s="363"/>
      <c r="AF510" s="363"/>
      <c r="AG510" s="363"/>
      <c r="AH510" s="363"/>
      <c r="AI510" s="363"/>
      <c r="AJ510" s="363"/>
      <c r="AK510" s="363"/>
      <c r="AL510" s="363"/>
      <c r="AM510" s="363"/>
    </row>
    <row r="511" spans="2:39" ht="12.75" customHeight="1" x14ac:dyDescent="0.2">
      <c r="B511" s="362"/>
      <c r="C511" s="363"/>
      <c r="D511" s="363"/>
      <c r="E511" s="363"/>
      <c r="F511" s="363"/>
      <c r="G511" s="363"/>
      <c r="H511" s="363"/>
      <c r="I511" s="363"/>
      <c r="J511" s="363"/>
      <c r="K511" s="363"/>
      <c r="L511" s="363"/>
      <c r="M511" s="363"/>
      <c r="N511" s="363"/>
      <c r="O511" s="363"/>
      <c r="P511" s="363"/>
      <c r="Q511" s="363"/>
      <c r="R511" s="363"/>
      <c r="S511" s="363"/>
      <c r="T511" s="363"/>
      <c r="U511" s="363"/>
      <c r="V511" s="363"/>
      <c r="W511" s="363"/>
      <c r="X511" s="363"/>
      <c r="Y511" s="363"/>
      <c r="Z511" s="363"/>
      <c r="AA511" s="363"/>
      <c r="AB511" s="363"/>
      <c r="AC511" s="363"/>
      <c r="AD511" s="363"/>
      <c r="AE511" s="363"/>
      <c r="AF511" s="363"/>
      <c r="AG511" s="363"/>
      <c r="AH511" s="363"/>
      <c r="AI511" s="363"/>
      <c r="AJ511" s="363"/>
      <c r="AK511" s="363"/>
      <c r="AL511" s="363"/>
      <c r="AM511" s="363"/>
    </row>
    <row r="512" spans="2:39" ht="12.75" customHeight="1" x14ac:dyDescent="0.2">
      <c r="B512" s="362"/>
      <c r="C512" s="363"/>
      <c r="D512" s="363"/>
      <c r="E512" s="363"/>
      <c r="F512" s="363"/>
      <c r="G512" s="363"/>
      <c r="H512" s="363"/>
      <c r="I512" s="363"/>
      <c r="J512" s="363"/>
      <c r="K512" s="363"/>
      <c r="L512" s="363"/>
      <c r="M512" s="363"/>
      <c r="N512" s="363"/>
      <c r="O512" s="363"/>
      <c r="P512" s="363"/>
      <c r="Q512" s="363"/>
      <c r="R512" s="363"/>
      <c r="S512" s="363"/>
      <c r="T512" s="363"/>
      <c r="U512" s="363"/>
      <c r="V512" s="363"/>
      <c r="W512" s="363"/>
      <c r="X512" s="363"/>
      <c r="Y512" s="363"/>
      <c r="Z512" s="363"/>
      <c r="AA512" s="363"/>
      <c r="AB512" s="363"/>
      <c r="AC512" s="363"/>
      <c r="AD512" s="363"/>
      <c r="AE512" s="363"/>
      <c r="AF512" s="363"/>
      <c r="AG512" s="363"/>
      <c r="AH512" s="363"/>
      <c r="AI512" s="363"/>
      <c r="AJ512" s="363"/>
      <c r="AK512" s="363"/>
      <c r="AL512" s="363"/>
      <c r="AM512" s="363"/>
    </row>
    <row r="513" spans="2:39" ht="12.75" customHeight="1" x14ac:dyDescent="0.2">
      <c r="B513" s="362"/>
      <c r="C513" s="363"/>
      <c r="D513" s="363"/>
      <c r="E513" s="363"/>
      <c r="F513" s="363"/>
      <c r="G513" s="363"/>
      <c r="H513" s="363"/>
      <c r="I513" s="363"/>
      <c r="J513" s="363"/>
      <c r="K513" s="363"/>
      <c r="L513" s="363"/>
      <c r="M513" s="363"/>
      <c r="N513" s="363"/>
      <c r="O513" s="363"/>
      <c r="P513" s="363"/>
      <c r="Q513" s="363"/>
      <c r="R513" s="363"/>
      <c r="S513" s="363"/>
      <c r="T513" s="363"/>
      <c r="U513" s="363"/>
      <c r="V513" s="363"/>
      <c r="W513" s="363"/>
      <c r="X513" s="363"/>
      <c r="Y513" s="363"/>
      <c r="Z513" s="363"/>
      <c r="AA513" s="363"/>
      <c r="AB513" s="363"/>
      <c r="AC513" s="363"/>
      <c r="AD513" s="363"/>
      <c r="AE513" s="363"/>
      <c r="AF513" s="363"/>
      <c r="AG513" s="363"/>
      <c r="AH513" s="363"/>
      <c r="AI513" s="363"/>
      <c r="AJ513" s="363"/>
      <c r="AK513" s="363"/>
      <c r="AL513" s="363"/>
      <c r="AM513" s="363"/>
    </row>
    <row r="514" spans="2:39" ht="12.75" customHeight="1" x14ac:dyDescent="0.2">
      <c r="B514" s="362"/>
      <c r="C514" s="363"/>
      <c r="D514" s="363"/>
      <c r="E514" s="363"/>
      <c r="F514" s="363"/>
      <c r="G514" s="363"/>
      <c r="H514" s="363"/>
      <c r="I514" s="363"/>
      <c r="J514" s="363"/>
      <c r="K514" s="363"/>
      <c r="L514" s="363"/>
      <c r="M514" s="363"/>
      <c r="N514" s="363"/>
      <c r="O514" s="363"/>
      <c r="P514" s="363"/>
      <c r="Q514" s="363"/>
      <c r="R514" s="363"/>
      <c r="S514" s="363"/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/>
      <c r="AF514" s="363"/>
      <c r="AG514" s="363"/>
      <c r="AH514" s="363"/>
      <c r="AI514" s="363"/>
      <c r="AJ514" s="363"/>
      <c r="AK514" s="363"/>
      <c r="AL514" s="363"/>
      <c r="AM514" s="363"/>
    </row>
    <row r="515" spans="2:39" ht="12.75" customHeight="1" x14ac:dyDescent="0.2">
      <c r="B515" s="362"/>
      <c r="C515" s="363"/>
      <c r="D515" s="363"/>
      <c r="E515" s="363"/>
      <c r="F515" s="363"/>
      <c r="G515" s="363"/>
      <c r="H515" s="363"/>
      <c r="I515" s="363"/>
      <c r="J515" s="363"/>
      <c r="K515" s="363"/>
      <c r="L515" s="363"/>
      <c r="M515" s="363"/>
      <c r="N515" s="363"/>
      <c r="O515" s="363"/>
      <c r="P515" s="363"/>
      <c r="Q515" s="363"/>
      <c r="R515" s="363"/>
      <c r="S515" s="363"/>
      <c r="T515" s="363"/>
      <c r="U515" s="363"/>
      <c r="V515" s="363"/>
      <c r="W515" s="363"/>
      <c r="X515" s="363"/>
      <c r="Y515" s="363"/>
      <c r="Z515" s="363"/>
      <c r="AA515" s="363"/>
      <c r="AB515" s="363"/>
      <c r="AC515" s="363"/>
      <c r="AD515" s="363"/>
      <c r="AE515" s="363"/>
      <c r="AF515" s="363"/>
      <c r="AG515" s="363"/>
      <c r="AH515" s="363"/>
      <c r="AI515" s="363"/>
      <c r="AJ515" s="363"/>
      <c r="AK515" s="363"/>
      <c r="AL515" s="363"/>
      <c r="AM515" s="363"/>
    </row>
    <row r="516" spans="2:39" ht="12.75" customHeight="1" x14ac:dyDescent="0.2">
      <c r="B516" s="362"/>
      <c r="C516" s="363"/>
      <c r="D516" s="363"/>
      <c r="E516" s="363"/>
      <c r="F516" s="363"/>
      <c r="G516" s="363"/>
      <c r="H516" s="363"/>
      <c r="I516" s="363"/>
      <c r="J516" s="363"/>
      <c r="K516" s="363"/>
      <c r="L516" s="363"/>
      <c r="M516" s="363"/>
      <c r="N516" s="363"/>
      <c r="O516" s="363"/>
      <c r="P516" s="363"/>
      <c r="Q516" s="363"/>
      <c r="R516" s="363"/>
      <c r="S516" s="363"/>
      <c r="T516" s="363"/>
      <c r="U516" s="363"/>
      <c r="V516" s="363"/>
      <c r="W516" s="363"/>
      <c r="X516" s="363"/>
      <c r="Y516" s="363"/>
      <c r="Z516" s="363"/>
      <c r="AA516" s="363"/>
      <c r="AB516" s="363"/>
      <c r="AC516" s="363"/>
      <c r="AD516" s="363"/>
      <c r="AE516" s="363"/>
      <c r="AF516" s="363"/>
      <c r="AG516" s="363"/>
      <c r="AH516" s="363"/>
      <c r="AI516" s="363"/>
      <c r="AJ516" s="363"/>
      <c r="AK516" s="363"/>
      <c r="AL516" s="363"/>
      <c r="AM516" s="363"/>
    </row>
    <row r="517" spans="2:39" ht="12.75" customHeight="1" x14ac:dyDescent="0.2">
      <c r="B517" s="362"/>
      <c r="C517" s="363"/>
      <c r="D517" s="363"/>
      <c r="E517" s="363"/>
      <c r="F517" s="363"/>
      <c r="G517" s="363"/>
      <c r="H517" s="363"/>
      <c r="I517" s="363"/>
      <c r="J517" s="363"/>
      <c r="K517" s="363"/>
      <c r="L517" s="363"/>
      <c r="M517" s="363"/>
      <c r="N517" s="363"/>
      <c r="O517" s="363"/>
      <c r="P517" s="363"/>
      <c r="Q517" s="363"/>
      <c r="R517" s="363"/>
      <c r="S517" s="363"/>
      <c r="T517" s="363"/>
      <c r="U517" s="363"/>
      <c r="V517" s="363"/>
      <c r="W517" s="363"/>
      <c r="X517" s="363"/>
      <c r="Y517" s="363"/>
      <c r="Z517" s="363"/>
      <c r="AA517" s="363"/>
      <c r="AB517" s="363"/>
      <c r="AC517" s="363"/>
      <c r="AD517" s="363"/>
      <c r="AE517" s="363"/>
      <c r="AF517" s="363"/>
      <c r="AG517" s="363"/>
      <c r="AH517" s="363"/>
      <c r="AI517" s="363"/>
      <c r="AJ517" s="363"/>
      <c r="AK517" s="363"/>
      <c r="AL517" s="363"/>
      <c r="AM517" s="363"/>
    </row>
    <row r="518" spans="2:39" ht="12.75" customHeight="1" x14ac:dyDescent="0.2">
      <c r="B518" s="362"/>
      <c r="C518" s="363"/>
      <c r="D518" s="363"/>
      <c r="E518" s="363"/>
      <c r="F518" s="363"/>
      <c r="G518" s="363"/>
      <c r="H518" s="363"/>
      <c r="I518" s="363"/>
      <c r="J518" s="363"/>
      <c r="K518" s="363"/>
      <c r="L518" s="363"/>
      <c r="M518" s="363"/>
      <c r="N518" s="363"/>
      <c r="O518" s="363"/>
      <c r="P518" s="363"/>
      <c r="Q518" s="363"/>
      <c r="R518" s="363"/>
      <c r="S518" s="363"/>
      <c r="T518" s="363"/>
      <c r="U518" s="363"/>
      <c r="V518" s="363"/>
      <c r="W518" s="363"/>
      <c r="X518" s="363"/>
      <c r="Y518" s="363"/>
      <c r="Z518" s="363"/>
      <c r="AA518" s="363"/>
      <c r="AB518" s="363"/>
      <c r="AC518" s="363"/>
      <c r="AD518" s="363"/>
      <c r="AE518" s="363"/>
      <c r="AF518" s="363"/>
      <c r="AG518" s="363"/>
      <c r="AH518" s="363"/>
      <c r="AI518" s="363"/>
      <c r="AJ518" s="363"/>
      <c r="AK518" s="363"/>
      <c r="AL518" s="363"/>
      <c r="AM518" s="363"/>
    </row>
    <row r="519" spans="2:39" ht="12.75" customHeight="1" x14ac:dyDescent="0.2">
      <c r="B519" s="362"/>
      <c r="C519" s="363"/>
      <c r="D519" s="363"/>
      <c r="E519" s="363"/>
      <c r="F519" s="363"/>
      <c r="G519" s="363"/>
      <c r="H519" s="363"/>
      <c r="I519" s="363"/>
      <c r="J519" s="363"/>
      <c r="K519" s="363"/>
      <c r="L519" s="363"/>
      <c r="M519" s="363"/>
      <c r="N519" s="363"/>
      <c r="O519" s="363"/>
      <c r="P519" s="363"/>
      <c r="Q519" s="363"/>
      <c r="R519" s="363"/>
      <c r="S519" s="363"/>
      <c r="T519" s="363"/>
      <c r="U519" s="363"/>
      <c r="V519" s="363"/>
      <c r="W519" s="363"/>
      <c r="X519" s="363"/>
      <c r="Y519" s="363"/>
      <c r="Z519" s="363"/>
      <c r="AA519" s="363"/>
      <c r="AB519" s="363"/>
      <c r="AC519" s="363"/>
      <c r="AD519" s="363"/>
      <c r="AE519" s="363"/>
      <c r="AF519" s="363"/>
      <c r="AG519" s="363"/>
      <c r="AH519" s="363"/>
      <c r="AI519" s="363"/>
      <c r="AJ519" s="363"/>
      <c r="AK519" s="363"/>
      <c r="AL519" s="363"/>
      <c r="AM519" s="363"/>
    </row>
    <row r="520" spans="2:39" ht="12.75" customHeight="1" x14ac:dyDescent="0.2">
      <c r="B520" s="362"/>
      <c r="C520" s="363"/>
      <c r="D520" s="363"/>
      <c r="E520" s="363"/>
      <c r="F520" s="363"/>
      <c r="G520" s="363"/>
      <c r="H520" s="363"/>
      <c r="I520" s="363"/>
      <c r="J520" s="363"/>
      <c r="K520" s="363"/>
      <c r="L520" s="363"/>
      <c r="M520" s="363"/>
      <c r="N520" s="363"/>
      <c r="O520" s="363"/>
      <c r="P520" s="363"/>
      <c r="Q520" s="363"/>
      <c r="R520" s="363"/>
      <c r="S520" s="363"/>
      <c r="T520" s="363"/>
      <c r="U520" s="363"/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/>
      <c r="AF520" s="363"/>
      <c r="AG520" s="363"/>
      <c r="AH520" s="363"/>
      <c r="AI520" s="363"/>
      <c r="AJ520" s="363"/>
      <c r="AK520" s="363"/>
      <c r="AL520" s="363"/>
      <c r="AM520" s="363"/>
    </row>
    <row r="521" spans="2:39" ht="12.75" customHeight="1" x14ac:dyDescent="0.2">
      <c r="B521" s="362"/>
      <c r="C521" s="363"/>
      <c r="D521" s="363"/>
      <c r="E521" s="363"/>
      <c r="F521" s="363"/>
      <c r="G521" s="363"/>
      <c r="H521" s="363"/>
      <c r="I521" s="363"/>
      <c r="J521" s="363"/>
      <c r="K521" s="363"/>
      <c r="L521" s="363"/>
      <c r="M521" s="363"/>
      <c r="N521" s="363"/>
      <c r="O521" s="363"/>
      <c r="P521" s="363"/>
      <c r="Q521" s="363"/>
      <c r="R521" s="363"/>
      <c r="S521" s="363"/>
      <c r="T521" s="363"/>
      <c r="U521" s="363"/>
      <c r="V521" s="363"/>
      <c r="W521" s="363"/>
      <c r="X521" s="363"/>
      <c r="Y521" s="363"/>
      <c r="Z521" s="363"/>
      <c r="AA521" s="363"/>
      <c r="AB521" s="363"/>
      <c r="AC521" s="363"/>
      <c r="AD521" s="363"/>
      <c r="AE521" s="363"/>
      <c r="AF521" s="363"/>
      <c r="AG521" s="363"/>
      <c r="AH521" s="363"/>
      <c r="AI521" s="363"/>
      <c r="AJ521" s="363"/>
      <c r="AK521" s="363"/>
      <c r="AL521" s="363"/>
      <c r="AM521" s="363"/>
    </row>
    <row r="522" spans="2:39" ht="12.75" customHeight="1" x14ac:dyDescent="0.2">
      <c r="B522" s="362"/>
      <c r="C522" s="363"/>
      <c r="D522" s="363"/>
      <c r="E522" s="363"/>
      <c r="F522" s="363"/>
      <c r="G522" s="363"/>
      <c r="H522" s="363"/>
      <c r="I522" s="363"/>
      <c r="J522" s="363"/>
      <c r="K522" s="363"/>
      <c r="L522" s="363"/>
      <c r="M522" s="363"/>
      <c r="N522" s="363"/>
      <c r="O522" s="363"/>
      <c r="P522" s="363"/>
      <c r="Q522" s="363"/>
      <c r="R522" s="363"/>
      <c r="S522" s="363"/>
      <c r="T522" s="363"/>
      <c r="U522" s="363"/>
      <c r="V522" s="363"/>
      <c r="W522" s="363"/>
      <c r="X522" s="363"/>
      <c r="Y522" s="363"/>
      <c r="Z522" s="363"/>
      <c r="AA522" s="363"/>
      <c r="AB522" s="363"/>
      <c r="AC522" s="363"/>
      <c r="AD522" s="363"/>
      <c r="AE522" s="363"/>
      <c r="AF522" s="363"/>
      <c r="AG522" s="363"/>
      <c r="AH522" s="363"/>
      <c r="AI522" s="363"/>
      <c r="AJ522" s="363"/>
      <c r="AK522" s="363"/>
      <c r="AL522" s="363"/>
      <c r="AM522" s="363"/>
    </row>
    <row r="523" spans="2:39" ht="12.75" customHeight="1" x14ac:dyDescent="0.2">
      <c r="B523" s="362"/>
      <c r="C523" s="363"/>
      <c r="D523" s="363"/>
      <c r="E523" s="363"/>
      <c r="F523" s="363"/>
      <c r="G523" s="363"/>
      <c r="H523" s="363"/>
      <c r="I523" s="363"/>
      <c r="J523" s="363"/>
      <c r="K523" s="363"/>
      <c r="L523" s="363"/>
      <c r="M523" s="363"/>
      <c r="N523" s="363"/>
      <c r="O523" s="363"/>
      <c r="P523" s="363"/>
      <c r="Q523" s="363"/>
      <c r="R523" s="363"/>
      <c r="S523" s="363"/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/>
      <c r="AF523" s="363"/>
      <c r="AG523" s="363"/>
      <c r="AH523" s="363"/>
      <c r="AI523" s="363"/>
      <c r="AJ523" s="363"/>
      <c r="AK523" s="363"/>
      <c r="AL523" s="363"/>
      <c r="AM523" s="363"/>
    </row>
    <row r="524" spans="2:39" ht="12.75" customHeight="1" x14ac:dyDescent="0.2">
      <c r="B524" s="362"/>
      <c r="C524" s="363"/>
      <c r="D524" s="363"/>
      <c r="E524" s="363"/>
      <c r="F524" s="363"/>
      <c r="G524" s="363"/>
      <c r="H524" s="363"/>
      <c r="I524" s="363"/>
      <c r="J524" s="363"/>
      <c r="K524" s="363"/>
      <c r="L524" s="363"/>
      <c r="M524" s="363"/>
      <c r="N524" s="363"/>
      <c r="O524" s="363"/>
      <c r="P524" s="363"/>
      <c r="Q524" s="363"/>
      <c r="R524" s="363"/>
      <c r="S524" s="363"/>
      <c r="T524" s="363"/>
      <c r="U524" s="363"/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/>
      <c r="AF524" s="363"/>
      <c r="AG524" s="363"/>
      <c r="AH524" s="363"/>
      <c r="AI524" s="363"/>
      <c r="AJ524" s="363"/>
      <c r="AK524" s="363"/>
      <c r="AL524" s="363"/>
      <c r="AM524" s="363"/>
    </row>
    <row r="525" spans="2:39" ht="12.75" customHeight="1" x14ac:dyDescent="0.2">
      <c r="B525" s="362"/>
      <c r="C525" s="363"/>
      <c r="D525" s="363"/>
      <c r="E525" s="363"/>
      <c r="F525" s="363"/>
      <c r="G525" s="363"/>
      <c r="H525" s="363"/>
      <c r="I525" s="363"/>
      <c r="J525" s="363"/>
      <c r="K525" s="363"/>
      <c r="L525" s="363"/>
      <c r="M525" s="363"/>
      <c r="N525" s="363"/>
      <c r="O525" s="363"/>
      <c r="P525" s="363"/>
      <c r="Q525" s="363"/>
      <c r="R525" s="363"/>
      <c r="S525" s="363"/>
      <c r="T525" s="363"/>
      <c r="U525" s="363"/>
      <c r="V525" s="363"/>
      <c r="W525" s="363"/>
      <c r="X525" s="363"/>
      <c r="Y525" s="363"/>
      <c r="Z525" s="363"/>
      <c r="AA525" s="363"/>
      <c r="AB525" s="363"/>
      <c r="AC525" s="363"/>
      <c r="AD525" s="363"/>
      <c r="AE525" s="363"/>
      <c r="AF525" s="363"/>
      <c r="AG525" s="363"/>
      <c r="AH525" s="363"/>
      <c r="AI525" s="363"/>
      <c r="AJ525" s="363"/>
      <c r="AK525" s="363"/>
      <c r="AL525" s="363"/>
      <c r="AM525" s="363"/>
    </row>
    <row r="526" spans="2:39" ht="12.75" customHeight="1" x14ac:dyDescent="0.2">
      <c r="B526" s="362"/>
      <c r="C526" s="363"/>
      <c r="D526" s="363"/>
      <c r="E526" s="363"/>
      <c r="F526" s="363"/>
      <c r="G526" s="363"/>
      <c r="H526" s="363"/>
      <c r="I526" s="363"/>
      <c r="J526" s="363"/>
      <c r="K526" s="363"/>
      <c r="L526" s="363"/>
      <c r="M526" s="363"/>
      <c r="N526" s="363"/>
      <c r="O526" s="363"/>
      <c r="P526" s="363"/>
      <c r="Q526" s="363"/>
      <c r="R526" s="363"/>
      <c r="S526" s="363"/>
      <c r="T526" s="363"/>
      <c r="U526" s="363"/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/>
      <c r="AF526" s="363"/>
      <c r="AG526" s="363"/>
      <c r="AH526" s="363"/>
      <c r="AI526" s="363"/>
      <c r="AJ526" s="363"/>
      <c r="AK526" s="363"/>
      <c r="AL526" s="363"/>
      <c r="AM526" s="363"/>
    </row>
    <row r="527" spans="2:39" ht="12.75" customHeight="1" x14ac:dyDescent="0.2">
      <c r="B527" s="362"/>
      <c r="C527" s="363"/>
      <c r="D527" s="363"/>
      <c r="E527" s="363"/>
      <c r="F527" s="363"/>
      <c r="G527" s="363"/>
      <c r="H527" s="363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/>
      <c r="AF527" s="363"/>
      <c r="AG527" s="363"/>
      <c r="AH527" s="363"/>
      <c r="AI527" s="363"/>
      <c r="AJ527" s="363"/>
      <c r="AK527" s="363"/>
      <c r="AL527" s="363"/>
      <c r="AM527" s="363"/>
    </row>
    <row r="528" spans="2:39" ht="12.75" customHeight="1" x14ac:dyDescent="0.2">
      <c r="B528" s="362"/>
      <c r="C528" s="363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  <c r="X528" s="363"/>
      <c r="Y528" s="363"/>
      <c r="Z528" s="363"/>
      <c r="AA528" s="363"/>
      <c r="AB528" s="363"/>
      <c r="AC528" s="363"/>
      <c r="AD528" s="363"/>
      <c r="AE528" s="363"/>
      <c r="AF528" s="363"/>
      <c r="AG528" s="363"/>
      <c r="AH528" s="363"/>
      <c r="AI528" s="363"/>
      <c r="AJ528" s="363"/>
      <c r="AK528" s="363"/>
      <c r="AL528" s="363"/>
      <c r="AM528" s="363"/>
    </row>
    <row r="529" spans="2:39" ht="12.75" customHeight="1" x14ac:dyDescent="0.2">
      <c r="B529" s="362"/>
      <c r="C529" s="363"/>
      <c r="D529" s="363"/>
      <c r="E529" s="363"/>
      <c r="F529" s="363"/>
      <c r="G529" s="363"/>
      <c r="H529" s="363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63"/>
      <c r="U529" s="363"/>
      <c r="V529" s="363"/>
      <c r="W529" s="363"/>
      <c r="X529" s="363"/>
      <c r="Y529" s="363"/>
      <c r="Z529" s="363"/>
      <c r="AA529" s="363"/>
      <c r="AB529" s="363"/>
      <c r="AC529" s="363"/>
      <c r="AD529" s="363"/>
      <c r="AE529" s="363"/>
      <c r="AF529" s="363"/>
      <c r="AG529" s="363"/>
      <c r="AH529" s="363"/>
      <c r="AI529" s="363"/>
      <c r="AJ529" s="363"/>
      <c r="AK529" s="363"/>
      <c r="AL529" s="363"/>
      <c r="AM529" s="363"/>
    </row>
    <row r="530" spans="2:39" ht="12.75" customHeight="1" x14ac:dyDescent="0.2">
      <c r="B530" s="362"/>
      <c r="C530" s="363"/>
      <c r="D530" s="363"/>
      <c r="E530" s="363"/>
      <c r="F530" s="363"/>
      <c r="G530" s="363"/>
      <c r="H530" s="363"/>
      <c r="I530" s="363"/>
      <c r="J530" s="363"/>
      <c r="K530" s="363"/>
      <c r="L530" s="363"/>
      <c r="M530" s="363"/>
      <c r="N530" s="363"/>
      <c r="O530" s="363"/>
      <c r="P530" s="363"/>
      <c r="Q530" s="363"/>
      <c r="R530" s="363"/>
      <c r="S530" s="363"/>
      <c r="T530" s="363"/>
      <c r="U530" s="363"/>
      <c r="V530" s="363"/>
      <c r="W530" s="363"/>
      <c r="X530" s="363"/>
      <c r="Y530" s="363"/>
      <c r="Z530" s="363"/>
      <c r="AA530" s="363"/>
      <c r="AB530" s="363"/>
      <c r="AC530" s="363"/>
      <c r="AD530" s="363"/>
      <c r="AE530" s="363"/>
      <c r="AF530" s="363"/>
      <c r="AG530" s="363"/>
      <c r="AH530" s="363"/>
      <c r="AI530" s="363"/>
      <c r="AJ530" s="363"/>
      <c r="AK530" s="363"/>
      <c r="AL530" s="363"/>
      <c r="AM530" s="363"/>
    </row>
    <row r="531" spans="2:39" ht="12.75" customHeight="1" x14ac:dyDescent="0.2">
      <c r="B531" s="362"/>
      <c r="C531" s="363"/>
      <c r="D531" s="363"/>
      <c r="E531" s="363"/>
      <c r="F531" s="363"/>
      <c r="G531" s="363"/>
      <c r="H531" s="363"/>
      <c r="I531" s="363"/>
      <c r="J531" s="363"/>
      <c r="K531" s="363"/>
      <c r="L531" s="363"/>
      <c r="M531" s="363"/>
      <c r="N531" s="363"/>
      <c r="O531" s="363"/>
      <c r="P531" s="363"/>
      <c r="Q531" s="363"/>
      <c r="R531" s="363"/>
      <c r="S531" s="363"/>
      <c r="T531" s="363"/>
      <c r="U531" s="363"/>
      <c r="V531" s="363"/>
      <c r="W531" s="363"/>
      <c r="X531" s="363"/>
      <c r="Y531" s="363"/>
      <c r="Z531" s="363"/>
      <c r="AA531" s="363"/>
      <c r="AB531" s="363"/>
      <c r="AC531" s="363"/>
      <c r="AD531" s="363"/>
      <c r="AE531" s="363"/>
      <c r="AF531" s="363"/>
      <c r="AG531" s="363"/>
      <c r="AH531" s="363"/>
      <c r="AI531" s="363"/>
      <c r="AJ531" s="363"/>
      <c r="AK531" s="363"/>
      <c r="AL531" s="363"/>
      <c r="AM531" s="363"/>
    </row>
    <row r="532" spans="2:39" ht="12.75" customHeight="1" x14ac:dyDescent="0.2">
      <c r="B532" s="362"/>
      <c r="C532" s="363"/>
      <c r="D532" s="363"/>
      <c r="E532" s="363"/>
      <c r="F532" s="363"/>
      <c r="G532" s="363"/>
      <c r="H532" s="363"/>
      <c r="I532" s="363"/>
      <c r="J532" s="363"/>
      <c r="K532" s="363"/>
      <c r="L532" s="363"/>
      <c r="M532" s="363"/>
      <c r="N532" s="363"/>
      <c r="O532" s="363"/>
      <c r="P532" s="363"/>
      <c r="Q532" s="363"/>
      <c r="R532" s="363"/>
      <c r="S532" s="363"/>
      <c r="T532" s="363"/>
      <c r="U532" s="363"/>
      <c r="V532" s="363"/>
      <c r="W532" s="363"/>
      <c r="X532" s="363"/>
      <c r="Y532" s="363"/>
      <c r="Z532" s="363"/>
      <c r="AA532" s="363"/>
      <c r="AB532" s="363"/>
      <c r="AC532" s="363"/>
      <c r="AD532" s="363"/>
      <c r="AE532" s="363"/>
      <c r="AF532" s="363"/>
      <c r="AG532" s="363"/>
      <c r="AH532" s="363"/>
      <c r="AI532" s="363"/>
      <c r="AJ532" s="363"/>
      <c r="AK532" s="363"/>
      <c r="AL532" s="363"/>
      <c r="AM532" s="363"/>
    </row>
    <row r="533" spans="2:39" ht="12.75" customHeight="1" x14ac:dyDescent="0.2">
      <c r="B533" s="362"/>
      <c r="C533" s="363"/>
      <c r="D533" s="363"/>
      <c r="E533" s="363"/>
      <c r="F533" s="363"/>
      <c r="G533" s="363"/>
      <c r="H533" s="363"/>
      <c r="I533" s="363"/>
      <c r="J533" s="363"/>
      <c r="K533" s="363"/>
      <c r="L533" s="363"/>
      <c r="M533" s="363"/>
      <c r="N533" s="363"/>
      <c r="O533" s="363"/>
      <c r="P533" s="363"/>
      <c r="Q533" s="363"/>
      <c r="R533" s="363"/>
      <c r="S533" s="363"/>
      <c r="T533" s="363"/>
      <c r="U533" s="363"/>
      <c r="V533" s="363"/>
      <c r="W533" s="363"/>
      <c r="X533" s="363"/>
      <c r="Y533" s="363"/>
      <c r="Z533" s="363"/>
      <c r="AA533" s="363"/>
      <c r="AB533" s="363"/>
      <c r="AC533" s="363"/>
      <c r="AD533" s="363"/>
      <c r="AE533" s="363"/>
      <c r="AF533" s="363"/>
      <c r="AG533" s="363"/>
      <c r="AH533" s="363"/>
      <c r="AI533" s="363"/>
      <c r="AJ533" s="363"/>
      <c r="AK533" s="363"/>
      <c r="AL533" s="363"/>
      <c r="AM533" s="363"/>
    </row>
    <row r="534" spans="2:39" ht="12.75" customHeight="1" x14ac:dyDescent="0.2">
      <c r="B534" s="362"/>
      <c r="C534" s="363"/>
      <c r="D534" s="363"/>
      <c r="E534" s="363"/>
      <c r="F534" s="363"/>
      <c r="G534" s="363"/>
      <c r="H534" s="363"/>
      <c r="I534" s="363"/>
      <c r="J534" s="363"/>
      <c r="K534" s="363"/>
      <c r="L534" s="363"/>
      <c r="M534" s="363"/>
      <c r="N534" s="363"/>
      <c r="O534" s="363"/>
      <c r="P534" s="363"/>
      <c r="Q534" s="363"/>
      <c r="R534" s="363"/>
      <c r="S534" s="363"/>
      <c r="T534" s="363"/>
      <c r="U534" s="363"/>
      <c r="V534" s="363"/>
      <c r="W534" s="363"/>
      <c r="X534" s="363"/>
      <c r="Y534" s="363"/>
      <c r="Z534" s="363"/>
      <c r="AA534" s="363"/>
      <c r="AB534" s="363"/>
      <c r="AC534" s="363"/>
      <c r="AD534" s="363"/>
      <c r="AE534" s="363"/>
      <c r="AF534" s="363"/>
      <c r="AG534" s="363"/>
      <c r="AH534" s="363"/>
      <c r="AI534" s="363"/>
      <c r="AJ534" s="363"/>
      <c r="AK534" s="363"/>
      <c r="AL534" s="363"/>
      <c r="AM534" s="363"/>
    </row>
    <row r="535" spans="2:39" ht="12.75" customHeight="1" x14ac:dyDescent="0.2">
      <c r="B535" s="362"/>
      <c r="C535" s="363"/>
      <c r="D535" s="363"/>
      <c r="E535" s="363"/>
      <c r="F535" s="363"/>
      <c r="G535" s="363"/>
      <c r="H535" s="363"/>
      <c r="I535" s="363"/>
      <c r="J535" s="363"/>
      <c r="K535" s="363"/>
      <c r="L535" s="363"/>
      <c r="M535" s="363"/>
      <c r="N535" s="363"/>
      <c r="O535" s="363"/>
      <c r="P535" s="363"/>
      <c r="Q535" s="363"/>
      <c r="R535" s="363"/>
      <c r="S535" s="363"/>
      <c r="T535" s="363"/>
      <c r="U535" s="363"/>
      <c r="V535" s="363"/>
      <c r="W535" s="363"/>
      <c r="X535" s="363"/>
      <c r="Y535" s="363"/>
      <c r="Z535" s="363"/>
      <c r="AA535" s="363"/>
      <c r="AB535" s="363"/>
      <c r="AC535" s="363"/>
      <c r="AD535" s="363"/>
      <c r="AE535" s="363"/>
      <c r="AF535" s="363"/>
      <c r="AG535" s="363"/>
      <c r="AH535" s="363"/>
      <c r="AI535" s="363"/>
      <c r="AJ535" s="363"/>
      <c r="AK535" s="363"/>
      <c r="AL535" s="363"/>
      <c r="AM535" s="363"/>
    </row>
    <row r="536" spans="2:39" ht="12.75" customHeight="1" x14ac:dyDescent="0.2">
      <c r="B536" s="362"/>
      <c r="C536" s="363"/>
      <c r="D536" s="363"/>
      <c r="E536" s="363"/>
      <c r="F536" s="363"/>
      <c r="G536" s="363"/>
      <c r="H536" s="363"/>
      <c r="I536" s="363"/>
      <c r="J536" s="363"/>
      <c r="K536" s="363"/>
      <c r="L536" s="363"/>
      <c r="M536" s="363"/>
      <c r="N536" s="363"/>
      <c r="O536" s="363"/>
      <c r="P536" s="363"/>
      <c r="Q536" s="363"/>
      <c r="R536" s="363"/>
      <c r="S536" s="363"/>
      <c r="T536" s="363"/>
      <c r="U536" s="363"/>
      <c r="V536" s="363"/>
      <c r="W536" s="363"/>
      <c r="X536" s="363"/>
      <c r="Y536" s="363"/>
      <c r="Z536" s="363"/>
      <c r="AA536" s="363"/>
      <c r="AB536" s="363"/>
      <c r="AC536" s="363"/>
      <c r="AD536" s="363"/>
      <c r="AE536" s="363"/>
      <c r="AF536" s="363"/>
      <c r="AG536" s="363"/>
      <c r="AH536" s="363"/>
      <c r="AI536" s="363"/>
      <c r="AJ536" s="363"/>
      <c r="AK536" s="363"/>
      <c r="AL536" s="363"/>
      <c r="AM536" s="363"/>
    </row>
    <row r="537" spans="2:39" ht="12.75" customHeight="1" x14ac:dyDescent="0.2">
      <c r="B537" s="362"/>
      <c r="C537" s="363"/>
      <c r="D537" s="363"/>
      <c r="E537" s="363"/>
      <c r="F537" s="363"/>
      <c r="G537" s="363"/>
      <c r="H537" s="363"/>
      <c r="I537" s="363"/>
      <c r="J537" s="363"/>
      <c r="K537" s="363"/>
      <c r="L537" s="363"/>
      <c r="M537" s="363"/>
      <c r="N537" s="363"/>
      <c r="O537" s="363"/>
      <c r="P537" s="363"/>
      <c r="Q537" s="363"/>
      <c r="R537" s="363"/>
      <c r="S537" s="363"/>
      <c r="T537" s="363"/>
      <c r="U537" s="363"/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/>
      <c r="AF537" s="363"/>
      <c r="AG537" s="363"/>
      <c r="AH537" s="363"/>
      <c r="AI537" s="363"/>
      <c r="AJ537" s="363"/>
      <c r="AK537" s="363"/>
      <c r="AL537" s="363"/>
      <c r="AM537" s="363"/>
    </row>
    <row r="538" spans="2:39" ht="12.75" customHeight="1" x14ac:dyDescent="0.2">
      <c r="B538" s="362"/>
      <c r="C538" s="363"/>
      <c r="D538" s="363"/>
      <c r="E538" s="363"/>
      <c r="F538" s="363"/>
      <c r="G538" s="363"/>
      <c r="H538" s="363"/>
      <c r="I538" s="363"/>
      <c r="J538" s="363"/>
      <c r="K538" s="363"/>
      <c r="L538" s="363"/>
      <c r="M538" s="363"/>
      <c r="N538" s="363"/>
      <c r="O538" s="363"/>
      <c r="P538" s="363"/>
      <c r="Q538" s="363"/>
      <c r="R538" s="363"/>
      <c r="S538" s="363"/>
      <c r="T538" s="363"/>
      <c r="U538" s="363"/>
      <c r="V538" s="363"/>
      <c r="W538" s="363"/>
      <c r="X538" s="363"/>
      <c r="Y538" s="363"/>
      <c r="Z538" s="363"/>
      <c r="AA538" s="363"/>
      <c r="AB538" s="363"/>
      <c r="AC538" s="363"/>
      <c r="AD538" s="363"/>
      <c r="AE538" s="363"/>
      <c r="AF538" s="363"/>
      <c r="AG538" s="363"/>
      <c r="AH538" s="363"/>
      <c r="AI538" s="363"/>
      <c r="AJ538" s="363"/>
      <c r="AK538" s="363"/>
      <c r="AL538" s="363"/>
      <c r="AM538" s="363"/>
    </row>
    <row r="539" spans="2:39" ht="12.75" customHeight="1" x14ac:dyDescent="0.2">
      <c r="B539" s="362"/>
      <c r="C539" s="363"/>
      <c r="D539" s="363"/>
      <c r="E539" s="363"/>
      <c r="F539" s="363"/>
      <c r="G539" s="363"/>
      <c r="H539" s="363"/>
      <c r="I539" s="363"/>
      <c r="J539" s="363"/>
      <c r="K539" s="363"/>
      <c r="L539" s="363"/>
      <c r="M539" s="363"/>
      <c r="N539" s="363"/>
      <c r="O539" s="363"/>
      <c r="P539" s="363"/>
      <c r="Q539" s="363"/>
      <c r="R539" s="363"/>
      <c r="S539" s="363"/>
      <c r="T539" s="363"/>
      <c r="U539" s="363"/>
      <c r="V539" s="363"/>
      <c r="W539" s="363"/>
      <c r="X539" s="363"/>
      <c r="Y539" s="363"/>
      <c r="Z539" s="363"/>
      <c r="AA539" s="363"/>
      <c r="AB539" s="363"/>
      <c r="AC539" s="363"/>
      <c r="AD539" s="363"/>
      <c r="AE539" s="363"/>
      <c r="AF539" s="363"/>
      <c r="AG539" s="363"/>
      <c r="AH539" s="363"/>
      <c r="AI539" s="363"/>
      <c r="AJ539" s="363"/>
      <c r="AK539" s="363"/>
      <c r="AL539" s="363"/>
      <c r="AM539" s="363"/>
    </row>
    <row r="540" spans="2:39" ht="12.75" customHeight="1" x14ac:dyDescent="0.2">
      <c r="B540" s="362"/>
      <c r="C540" s="363"/>
      <c r="D540" s="363"/>
      <c r="E540" s="363"/>
      <c r="F540" s="363"/>
      <c r="G540" s="363"/>
      <c r="H540" s="363"/>
      <c r="I540" s="363"/>
      <c r="J540" s="363"/>
      <c r="K540" s="363"/>
      <c r="L540" s="363"/>
      <c r="M540" s="363"/>
      <c r="N540" s="363"/>
      <c r="O540" s="363"/>
      <c r="P540" s="363"/>
      <c r="Q540" s="363"/>
      <c r="R540" s="363"/>
      <c r="S540" s="363"/>
      <c r="T540" s="363"/>
      <c r="U540" s="363"/>
      <c r="V540" s="363"/>
      <c r="W540" s="363"/>
      <c r="X540" s="363"/>
      <c r="Y540" s="363"/>
      <c r="Z540" s="363"/>
      <c r="AA540" s="363"/>
      <c r="AB540" s="363"/>
      <c r="AC540" s="363"/>
      <c r="AD540" s="363"/>
      <c r="AE540" s="363"/>
      <c r="AF540" s="363"/>
      <c r="AG540" s="363"/>
      <c r="AH540" s="363"/>
      <c r="AI540" s="363"/>
      <c r="AJ540" s="363"/>
      <c r="AK540" s="363"/>
      <c r="AL540" s="363"/>
      <c r="AM540" s="363"/>
    </row>
    <row r="541" spans="2:39" ht="12.75" customHeight="1" x14ac:dyDescent="0.2">
      <c r="B541" s="362"/>
      <c r="C541" s="363"/>
      <c r="D541" s="363"/>
      <c r="E541" s="363"/>
      <c r="F541" s="363"/>
      <c r="G541" s="363"/>
      <c r="H541" s="363"/>
      <c r="I541" s="363"/>
      <c r="J541" s="363"/>
      <c r="K541" s="363"/>
      <c r="L541" s="363"/>
      <c r="M541" s="363"/>
      <c r="N541" s="363"/>
      <c r="O541" s="363"/>
      <c r="P541" s="363"/>
      <c r="Q541" s="363"/>
      <c r="R541" s="363"/>
      <c r="S541" s="363"/>
      <c r="T541" s="363"/>
      <c r="U541" s="363"/>
      <c r="V541" s="363"/>
      <c r="W541" s="363"/>
      <c r="X541" s="363"/>
      <c r="Y541" s="363"/>
      <c r="Z541" s="363"/>
      <c r="AA541" s="363"/>
      <c r="AB541" s="363"/>
      <c r="AC541" s="363"/>
      <c r="AD541" s="363"/>
      <c r="AE541" s="363"/>
      <c r="AF541" s="363"/>
      <c r="AG541" s="363"/>
      <c r="AH541" s="363"/>
      <c r="AI541" s="363"/>
      <c r="AJ541" s="363"/>
      <c r="AK541" s="363"/>
      <c r="AL541" s="363"/>
      <c r="AM541" s="363"/>
    </row>
    <row r="542" spans="2:39" ht="12.75" customHeight="1" x14ac:dyDescent="0.2">
      <c r="B542" s="362"/>
      <c r="C542" s="363"/>
      <c r="D542" s="363"/>
      <c r="E542" s="363"/>
      <c r="F542" s="363"/>
      <c r="G542" s="363"/>
      <c r="H542" s="363"/>
      <c r="I542" s="363"/>
      <c r="J542" s="363"/>
      <c r="K542" s="363"/>
      <c r="L542" s="363"/>
      <c r="M542" s="363"/>
      <c r="N542" s="363"/>
      <c r="O542" s="363"/>
      <c r="P542" s="363"/>
      <c r="Q542" s="363"/>
      <c r="R542" s="363"/>
      <c r="S542" s="363"/>
      <c r="T542" s="363"/>
      <c r="U542" s="363"/>
      <c r="V542" s="363"/>
      <c r="W542" s="363"/>
      <c r="X542" s="363"/>
      <c r="Y542" s="363"/>
      <c r="Z542" s="363"/>
      <c r="AA542" s="363"/>
      <c r="AB542" s="363"/>
      <c r="AC542" s="363"/>
      <c r="AD542" s="363"/>
      <c r="AE542" s="363"/>
      <c r="AF542" s="363"/>
      <c r="AG542" s="363"/>
      <c r="AH542" s="363"/>
      <c r="AI542" s="363"/>
      <c r="AJ542" s="363"/>
      <c r="AK542" s="363"/>
      <c r="AL542" s="363"/>
      <c r="AM542" s="363"/>
    </row>
    <row r="543" spans="2:39" ht="12.75" customHeight="1" x14ac:dyDescent="0.2">
      <c r="B543" s="362"/>
      <c r="C543" s="363"/>
      <c r="D543" s="363"/>
      <c r="E543" s="363"/>
      <c r="F543" s="363"/>
      <c r="G543" s="363"/>
      <c r="H543" s="363"/>
      <c r="I543" s="363"/>
      <c r="J543" s="363"/>
      <c r="K543" s="363"/>
      <c r="L543" s="363"/>
      <c r="M543" s="363"/>
      <c r="N543" s="363"/>
      <c r="O543" s="363"/>
      <c r="P543" s="363"/>
      <c r="Q543" s="363"/>
      <c r="R543" s="363"/>
      <c r="S543" s="363"/>
      <c r="T543" s="363"/>
      <c r="U543" s="363"/>
      <c r="V543" s="363"/>
      <c r="W543" s="363"/>
      <c r="X543" s="363"/>
      <c r="Y543" s="363"/>
      <c r="Z543" s="363"/>
      <c r="AA543" s="363"/>
      <c r="AB543" s="363"/>
      <c r="AC543" s="363"/>
      <c r="AD543" s="363"/>
      <c r="AE543" s="363"/>
      <c r="AF543" s="363"/>
      <c r="AG543" s="363"/>
      <c r="AH543" s="363"/>
      <c r="AI543" s="363"/>
      <c r="AJ543" s="363"/>
      <c r="AK543" s="363"/>
      <c r="AL543" s="363"/>
      <c r="AM543" s="363"/>
    </row>
    <row r="544" spans="2:39" ht="12.75" customHeight="1" x14ac:dyDescent="0.2">
      <c r="B544" s="362"/>
      <c r="C544" s="363"/>
      <c r="D544" s="363"/>
      <c r="E544" s="363"/>
      <c r="F544" s="363"/>
      <c r="G544" s="363"/>
      <c r="H544" s="363"/>
      <c r="I544" s="363"/>
      <c r="J544" s="363"/>
      <c r="K544" s="363"/>
      <c r="L544" s="363"/>
      <c r="M544" s="363"/>
      <c r="N544" s="363"/>
      <c r="O544" s="363"/>
      <c r="P544" s="363"/>
      <c r="Q544" s="363"/>
      <c r="R544" s="363"/>
      <c r="S544" s="363"/>
      <c r="T544" s="363"/>
      <c r="U544" s="363"/>
      <c r="V544" s="363"/>
      <c r="W544" s="363"/>
      <c r="X544" s="363"/>
      <c r="Y544" s="363"/>
      <c r="Z544" s="363"/>
      <c r="AA544" s="363"/>
      <c r="AB544" s="363"/>
      <c r="AC544" s="363"/>
      <c r="AD544" s="363"/>
      <c r="AE544" s="363"/>
      <c r="AF544" s="363"/>
      <c r="AG544" s="363"/>
      <c r="AH544" s="363"/>
      <c r="AI544" s="363"/>
      <c r="AJ544" s="363"/>
      <c r="AK544" s="363"/>
      <c r="AL544" s="363"/>
      <c r="AM544" s="363"/>
    </row>
    <row r="545" spans="2:39" ht="12.75" customHeight="1" x14ac:dyDescent="0.2">
      <c r="B545" s="362"/>
      <c r="C545" s="363"/>
      <c r="D545" s="363"/>
      <c r="E545" s="363"/>
      <c r="F545" s="363"/>
      <c r="G545" s="363"/>
      <c r="H545" s="363"/>
      <c r="I545" s="363"/>
      <c r="J545" s="363"/>
      <c r="K545" s="363"/>
      <c r="L545" s="363"/>
      <c r="M545" s="363"/>
      <c r="N545" s="363"/>
      <c r="O545" s="363"/>
      <c r="P545" s="363"/>
      <c r="Q545" s="363"/>
      <c r="R545" s="363"/>
      <c r="S545" s="363"/>
      <c r="T545" s="363"/>
      <c r="U545" s="363"/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/>
      <c r="AF545" s="363"/>
      <c r="AG545" s="363"/>
      <c r="AH545" s="363"/>
      <c r="AI545" s="363"/>
      <c r="AJ545" s="363"/>
      <c r="AK545" s="363"/>
      <c r="AL545" s="363"/>
      <c r="AM545" s="363"/>
    </row>
    <row r="546" spans="2:39" ht="12.75" customHeight="1" x14ac:dyDescent="0.2">
      <c r="B546" s="362"/>
      <c r="C546" s="363"/>
      <c r="D546" s="363"/>
      <c r="E546" s="363"/>
      <c r="F546" s="363"/>
      <c r="G546" s="363"/>
      <c r="H546" s="363"/>
      <c r="I546" s="363"/>
      <c r="J546" s="363"/>
      <c r="K546" s="363"/>
      <c r="L546" s="363"/>
      <c r="M546" s="363"/>
      <c r="N546" s="363"/>
      <c r="O546" s="363"/>
      <c r="P546" s="363"/>
      <c r="Q546" s="363"/>
      <c r="R546" s="363"/>
      <c r="S546" s="363"/>
      <c r="T546" s="363"/>
      <c r="U546" s="363"/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/>
      <c r="AF546" s="363"/>
      <c r="AG546" s="363"/>
      <c r="AH546" s="363"/>
      <c r="AI546" s="363"/>
      <c r="AJ546" s="363"/>
      <c r="AK546" s="363"/>
      <c r="AL546" s="363"/>
      <c r="AM546" s="363"/>
    </row>
    <row r="547" spans="2:39" ht="12.75" customHeight="1" x14ac:dyDescent="0.2">
      <c r="B547" s="362"/>
      <c r="C547" s="363"/>
      <c r="D547" s="363"/>
      <c r="E547" s="363"/>
      <c r="F547" s="363"/>
      <c r="G547" s="363"/>
      <c r="H547" s="363"/>
      <c r="I547" s="363"/>
      <c r="J547" s="363"/>
      <c r="K547" s="363"/>
      <c r="L547" s="363"/>
      <c r="M547" s="363"/>
      <c r="N547" s="363"/>
      <c r="O547" s="363"/>
      <c r="P547" s="363"/>
      <c r="Q547" s="363"/>
      <c r="R547" s="363"/>
      <c r="S547" s="363"/>
      <c r="T547" s="363"/>
      <c r="U547" s="363"/>
      <c r="V547" s="363"/>
      <c r="W547" s="363"/>
      <c r="X547" s="363"/>
      <c r="Y547" s="363"/>
      <c r="Z547" s="363"/>
      <c r="AA547" s="363"/>
      <c r="AB547" s="363"/>
      <c r="AC547" s="363"/>
      <c r="AD547" s="363"/>
      <c r="AE547" s="363"/>
      <c r="AF547" s="363"/>
      <c r="AG547" s="363"/>
      <c r="AH547" s="363"/>
      <c r="AI547" s="363"/>
      <c r="AJ547" s="363"/>
      <c r="AK547" s="363"/>
      <c r="AL547" s="363"/>
      <c r="AM547" s="363"/>
    </row>
    <row r="548" spans="2:39" ht="12.75" customHeight="1" x14ac:dyDescent="0.2">
      <c r="B548" s="362"/>
      <c r="C548" s="363"/>
      <c r="D548" s="363"/>
      <c r="E548" s="363"/>
      <c r="F548" s="363"/>
      <c r="G548" s="363"/>
      <c r="H548" s="363"/>
      <c r="I548" s="363"/>
      <c r="J548" s="363"/>
      <c r="K548" s="363"/>
      <c r="L548" s="363"/>
      <c r="M548" s="363"/>
      <c r="N548" s="363"/>
      <c r="O548" s="363"/>
      <c r="P548" s="363"/>
      <c r="Q548" s="363"/>
      <c r="R548" s="363"/>
      <c r="S548" s="363"/>
      <c r="T548" s="363"/>
      <c r="U548" s="363"/>
      <c r="V548" s="363"/>
      <c r="W548" s="363"/>
      <c r="X548" s="363"/>
      <c r="Y548" s="363"/>
      <c r="Z548" s="363"/>
      <c r="AA548" s="363"/>
      <c r="AB548" s="363"/>
      <c r="AC548" s="363"/>
      <c r="AD548" s="363"/>
      <c r="AE548" s="363"/>
      <c r="AF548" s="363"/>
      <c r="AG548" s="363"/>
      <c r="AH548" s="363"/>
      <c r="AI548" s="363"/>
      <c r="AJ548" s="363"/>
      <c r="AK548" s="363"/>
      <c r="AL548" s="363"/>
      <c r="AM548" s="363"/>
    </row>
    <row r="549" spans="2:39" ht="12.75" customHeight="1" x14ac:dyDescent="0.2">
      <c r="B549" s="362"/>
      <c r="C549" s="363"/>
      <c r="D549" s="363"/>
      <c r="E549" s="363"/>
      <c r="F549" s="363"/>
      <c r="G549" s="363"/>
      <c r="H549" s="363"/>
      <c r="I549" s="363"/>
      <c r="J549" s="363"/>
      <c r="K549" s="363"/>
      <c r="L549" s="363"/>
      <c r="M549" s="363"/>
      <c r="N549" s="363"/>
      <c r="O549" s="363"/>
      <c r="P549" s="363"/>
      <c r="Q549" s="363"/>
      <c r="R549" s="363"/>
      <c r="S549" s="363"/>
      <c r="T549" s="363"/>
      <c r="U549" s="363"/>
      <c r="V549" s="363"/>
      <c r="W549" s="363"/>
      <c r="X549" s="363"/>
      <c r="Y549" s="363"/>
      <c r="Z549" s="363"/>
      <c r="AA549" s="363"/>
      <c r="AB549" s="363"/>
      <c r="AC549" s="363"/>
      <c r="AD549" s="363"/>
      <c r="AE549" s="363"/>
      <c r="AF549" s="363"/>
      <c r="AG549" s="363"/>
      <c r="AH549" s="363"/>
      <c r="AI549" s="363"/>
      <c r="AJ549" s="363"/>
      <c r="AK549" s="363"/>
      <c r="AL549" s="363"/>
      <c r="AM549" s="363"/>
    </row>
    <row r="550" spans="2:39" ht="12.75" customHeight="1" x14ac:dyDescent="0.2">
      <c r="B550" s="362"/>
      <c r="C550" s="363"/>
      <c r="D550" s="363"/>
      <c r="E550" s="363"/>
      <c r="F550" s="363"/>
      <c r="G550" s="363"/>
      <c r="H550" s="363"/>
      <c r="I550" s="363"/>
      <c r="J550" s="363"/>
      <c r="K550" s="363"/>
      <c r="L550" s="363"/>
      <c r="M550" s="363"/>
      <c r="N550" s="363"/>
      <c r="O550" s="363"/>
      <c r="P550" s="363"/>
      <c r="Q550" s="363"/>
      <c r="R550" s="363"/>
      <c r="S550" s="363"/>
      <c r="T550" s="363"/>
      <c r="U550" s="363"/>
      <c r="V550" s="363"/>
      <c r="W550" s="363"/>
      <c r="X550" s="363"/>
      <c r="Y550" s="363"/>
      <c r="Z550" s="363"/>
      <c r="AA550" s="363"/>
      <c r="AB550" s="363"/>
      <c r="AC550" s="363"/>
      <c r="AD550" s="363"/>
      <c r="AE550" s="363"/>
      <c r="AF550" s="363"/>
      <c r="AG550" s="363"/>
      <c r="AH550" s="363"/>
      <c r="AI550" s="363"/>
      <c r="AJ550" s="363"/>
      <c r="AK550" s="363"/>
      <c r="AL550" s="363"/>
      <c r="AM550" s="363"/>
    </row>
    <row r="551" spans="2:39" ht="12.75" customHeight="1" x14ac:dyDescent="0.2">
      <c r="B551" s="362"/>
      <c r="C551" s="363"/>
      <c r="D551" s="363"/>
      <c r="E551" s="363"/>
      <c r="F551" s="363"/>
      <c r="G551" s="363"/>
      <c r="H551" s="363"/>
      <c r="I551" s="363"/>
      <c r="J551" s="363"/>
      <c r="K551" s="363"/>
      <c r="L551" s="363"/>
      <c r="M551" s="363"/>
      <c r="N551" s="363"/>
      <c r="O551" s="363"/>
      <c r="P551" s="363"/>
      <c r="Q551" s="363"/>
      <c r="R551" s="363"/>
      <c r="S551" s="363"/>
      <c r="T551" s="363"/>
      <c r="U551" s="363"/>
      <c r="V551" s="363"/>
      <c r="W551" s="363"/>
      <c r="X551" s="363"/>
      <c r="Y551" s="363"/>
      <c r="Z551" s="363"/>
      <c r="AA551" s="363"/>
      <c r="AB551" s="363"/>
      <c r="AC551" s="363"/>
      <c r="AD551" s="363"/>
      <c r="AE551" s="363"/>
      <c r="AF551" s="363"/>
      <c r="AG551" s="363"/>
      <c r="AH551" s="363"/>
      <c r="AI551" s="363"/>
      <c r="AJ551" s="363"/>
      <c r="AK551" s="363"/>
      <c r="AL551" s="363"/>
      <c r="AM551" s="363"/>
    </row>
    <row r="552" spans="2:39" ht="12.75" customHeight="1" x14ac:dyDescent="0.2">
      <c r="B552" s="362"/>
      <c r="C552" s="363"/>
      <c r="D552" s="363"/>
      <c r="E552" s="363"/>
      <c r="F552" s="363"/>
      <c r="G552" s="363"/>
      <c r="H552" s="363"/>
      <c r="I552" s="363"/>
      <c r="J552" s="363"/>
      <c r="K552" s="363"/>
      <c r="L552" s="363"/>
      <c r="M552" s="363"/>
      <c r="N552" s="363"/>
      <c r="O552" s="363"/>
      <c r="P552" s="363"/>
      <c r="Q552" s="363"/>
      <c r="R552" s="363"/>
      <c r="S552" s="363"/>
      <c r="T552" s="363"/>
      <c r="U552" s="363"/>
      <c r="V552" s="363"/>
      <c r="W552" s="363"/>
      <c r="X552" s="363"/>
      <c r="Y552" s="363"/>
      <c r="Z552" s="363"/>
      <c r="AA552" s="363"/>
      <c r="AB552" s="363"/>
      <c r="AC552" s="363"/>
      <c r="AD552" s="363"/>
      <c r="AE552" s="363"/>
      <c r="AF552" s="363"/>
      <c r="AG552" s="363"/>
      <c r="AH552" s="363"/>
      <c r="AI552" s="363"/>
      <c r="AJ552" s="363"/>
      <c r="AK552" s="363"/>
      <c r="AL552" s="363"/>
      <c r="AM552" s="363"/>
    </row>
    <row r="553" spans="2:39" ht="12.75" customHeight="1" x14ac:dyDescent="0.2">
      <c r="B553" s="362"/>
      <c r="C553" s="363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  <c r="X553" s="363"/>
      <c r="Y553" s="363"/>
      <c r="Z553" s="363"/>
      <c r="AA553" s="363"/>
      <c r="AB553" s="363"/>
      <c r="AC553" s="363"/>
      <c r="AD553" s="363"/>
      <c r="AE553" s="363"/>
      <c r="AF553" s="363"/>
      <c r="AG553" s="363"/>
      <c r="AH553" s="363"/>
      <c r="AI553" s="363"/>
      <c r="AJ553" s="363"/>
      <c r="AK553" s="363"/>
      <c r="AL553" s="363"/>
      <c r="AM553" s="363"/>
    </row>
    <row r="554" spans="2:39" ht="12.75" customHeight="1" x14ac:dyDescent="0.2">
      <c r="B554" s="362"/>
      <c r="C554" s="363"/>
      <c r="D554" s="363"/>
      <c r="E554" s="363"/>
      <c r="F554" s="363"/>
      <c r="G554" s="363"/>
      <c r="H554" s="363"/>
      <c r="I554" s="363"/>
      <c r="J554" s="363"/>
      <c r="K554" s="363"/>
      <c r="L554" s="363"/>
      <c r="M554" s="363"/>
      <c r="N554" s="363"/>
      <c r="O554" s="363"/>
      <c r="P554" s="363"/>
      <c r="Q554" s="363"/>
      <c r="R554" s="363"/>
      <c r="S554" s="363"/>
      <c r="T554" s="363"/>
      <c r="U554" s="363"/>
      <c r="V554" s="363"/>
      <c r="W554" s="363"/>
      <c r="X554" s="363"/>
      <c r="Y554" s="363"/>
      <c r="Z554" s="363"/>
      <c r="AA554" s="363"/>
      <c r="AB554" s="363"/>
      <c r="AC554" s="363"/>
      <c r="AD554" s="363"/>
      <c r="AE554" s="363"/>
      <c r="AF554" s="363"/>
      <c r="AG554" s="363"/>
      <c r="AH554" s="363"/>
      <c r="AI554" s="363"/>
      <c r="AJ554" s="363"/>
      <c r="AK554" s="363"/>
      <c r="AL554" s="363"/>
      <c r="AM554" s="363"/>
    </row>
    <row r="555" spans="2:39" ht="12.75" customHeight="1" x14ac:dyDescent="0.2">
      <c r="B555" s="362"/>
      <c r="C555" s="363"/>
      <c r="D555" s="363"/>
      <c r="E555" s="363"/>
      <c r="F555" s="363"/>
      <c r="G555" s="363"/>
      <c r="H555" s="363"/>
      <c r="I555" s="363"/>
      <c r="J555" s="363"/>
      <c r="K555" s="363"/>
      <c r="L555" s="363"/>
      <c r="M555" s="363"/>
      <c r="N555" s="363"/>
      <c r="O555" s="363"/>
      <c r="P555" s="363"/>
      <c r="Q555" s="363"/>
      <c r="R555" s="363"/>
      <c r="S555" s="363"/>
      <c r="T555" s="363"/>
      <c r="U555" s="363"/>
      <c r="V555" s="363"/>
      <c r="W555" s="363"/>
      <c r="X555" s="363"/>
      <c r="Y555" s="363"/>
      <c r="Z555" s="363"/>
      <c r="AA555" s="363"/>
      <c r="AB555" s="363"/>
      <c r="AC555" s="363"/>
      <c r="AD555" s="363"/>
      <c r="AE555" s="363"/>
      <c r="AF555" s="363"/>
      <c r="AG555" s="363"/>
      <c r="AH555" s="363"/>
      <c r="AI555" s="363"/>
      <c r="AJ555" s="363"/>
      <c r="AK555" s="363"/>
      <c r="AL555" s="363"/>
      <c r="AM555" s="363"/>
    </row>
    <row r="556" spans="2:39" ht="12.75" customHeight="1" x14ac:dyDescent="0.2">
      <c r="B556" s="362"/>
      <c r="C556" s="363"/>
      <c r="D556" s="363"/>
      <c r="E556" s="363"/>
      <c r="F556" s="363"/>
      <c r="G556" s="363"/>
      <c r="H556" s="363"/>
      <c r="I556" s="363"/>
      <c r="J556" s="363"/>
      <c r="K556" s="363"/>
      <c r="L556" s="363"/>
      <c r="M556" s="363"/>
      <c r="N556" s="363"/>
      <c r="O556" s="363"/>
      <c r="P556" s="363"/>
      <c r="Q556" s="363"/>
      <c r="R556" s="363"/>
      <c r="S556" s="363"/>
      <c r="T556" s="363"/>
      <c r="U556" s="363"/>
      <c r="V556" s="363"/>
      <c r="W556" s="363"/>
      <c r="X556" s="363"/>
      <c r="Y556" s="363"/>
      <c r="Z556" s="363"/>
      <c r="AA556" s="363"/>
      <c r="AB556" s="363"/>
      <c r="AC556" s="363"/>
      <c r="AD556" s="363"/>
      <c r="AE556" s="363"/>
      <c r="AF556" s="363"/>
      <c r="AG556" s="363"/>
      <c r="AH556" s="363"/>
      <c r="AI556" s="363"/>
      <c r="AJ556" s="363"/>
      <c r="AK556" s="363"/>
      <c r="AL556" s="363"/>
      <c r="AM556" s="363"/>
    </row>
    <row r="557" spans="2:39" ht="12.75" customHeight="1" x14ac:dyDescent="0.2">
      <c r="B557" s="362"/>
      <c r="C557" s="363"/>
      <c r="D557" s="363"/>
      <c r="E557" s="363"/>
      <c r="F557" s="363"/>
      <c r="G557" s="363"/>
      <c r="H557" s="363"/>
      <c r="I557" s="363"/>
      <c r="J557" s="363"/>
      <c r="K557" s="363"/>
      <c r="L557" s="363"/>
      <c r="M557" s="363"/>
      <c r="N557" s="363"/>
      <c r="O557" s="363"/>
      <c r="P557" s="363"/>
      <c r="Q557" s="363"/>
      <c r="R557" s="363"/>
      <c r="S557" s="363"/>
      <c r="T557" s="363"/>
      <c r="U557" s="363"/>
      <c r="V557" s="363"/>
      <c r="W557" s="363"/>
      <c r="X557" s="363"/>
      <c r="Y557" s="363"/>
      <c r="Z557" s="363"/>
      <c r="AA557" s="363"/>
      <c r="AB557" s="363"/>
      <c r="AC557" s="363"/>
      <c r="AD557" s="363"/>
      <c r="AE557" s="363"/>
      <c r="AF557" s="363"/>
      <c r="AG557" s="363"/>
      <c r="AH557" s="363"/>
      <c r="AI557" s="363"/>
      <c r="AJ557" s="363"/>
      <c r="AK557" s="363"/>
      <c r="AL557" s="363"/>
      <c r="AM557" s="363"/>
    </row>
    <row r="558" spans="2:39" ht="12.75" customHeight="1" x14ac:dyDescent="0.2">
      <c r="B558" s="362"/>
      <c r="C558" s="363"/>
      <c r="D558" s="363"/>
      <c r="E558" s="363"/>
      <c r="F558" s="363"/>
      <c r="G558" s="363"/>
      <c r="H558" s="363"/>
      <c r="I558" s="363"/>
      <c r="J558" s="363"/>
      <c r="K558" s="363"/>
      <c r="L558" s="363"/>
      <c r="M558" s="363"/>
      <c r="N558" s="363"/>
      <c r="O558" s="363"/>
      <c r="P558" s="363"/>
      <c r="Q558" s="363"/>
      <c r="R558" s="363"/>
      <c r="S558" s="363"/>
      <c r="T558" s="363"/>
      <c r="U558" s="363"/>
      <c r="V558" s="363"/>
      <c r="W558" s="363"/>
      <c r="X558" s="363"/>
      <c r="Y558" s="363"/>
      <c r="Z558" s="363"/>
      <c r="AA558" s="363"/>
      <c r="AB558" s="363"/>
      <c r="AC558" s="363"/>
      <c r="AD558" s="363"/>
      <c r="AE558" s="363"/>
      <c r="AF558" s="363"/>
      <c r="AG558" s="363"/>
      <c r="AH558" s="363"/>
      <c r="AI558" s="363"/>
      <c r="AJ558" s="363"/>
      <c r="AK558" s="363"/>
      <c r="AL558" s="363"/>
      <c r="AM558" s="363"/>
    </row>
    <row r="559" spans="2:39" ht="12.75" customHeight="1" x14ac:dyDescent="0.2">
      <c r="B559" s="362"/>
      <c r="C559" s="363"/>
      <c r="D559" s="363"/>
      <c r="E559" s="363"/>
      <c r="F559" s="363"/>
      <c r="G559" s="363"/>
      <c r="H559" s="363"/>
      <c r="I559" s="363"/>
      <c r="J559" s="363"/>
      <c r="K559" s="363"/>
      <c r="L559" s="363"/>
      <c r="M559" s="363"/>
      <c r="N559" s="363"/>
      <c r="O559" s="363"/>
      <c r="P559" s="363"/>
      <c r="Q559" s="363"/>
      <c r="R559" s="363"/>
      <c r="S559" s="363"/>
      <c r="T559" s="363"/>
      <c r="U559" s="363"/>
      <c r="V559" s="363"/>
      <c r="W559" s="363"/>
      <c r="X559" s="363"/>
      <c r="Y559" s="363"/>
      <c r="Z559" s="363"/>
      <c r="AA559" s="363"/>
      <c r="AB559" s="363"/>
      <c r="AC559" s="363"/>
      <c r="AD559" s="363"/>
      <c r="AE559" s="363"/>
      <c r="AF559" s="363"/>
      <c r="AG559" s="363"/>
      <c r="AH559" s="363"/>
      <c r="AI559" s="363"/>
      <c r="AJ559" s="363"/>
      <c r="AK559" s="363"/>
      <c r="AL559" s="363"/>
      <c r="AM559" s="363"/>
    </row>
    <row r="560" spans="2:39" ht="12.75" customHeight="1" x14ac:dyDescent="0.2">
      <c r="B560" s="362"/>
      <c r="C560" s="363"/>
      <c r="D560" s="363"/>
      <c r="E560" s="363"/>
      <c r="F560" s="363"/>
      <c r="G560" s="363"/>
      <c r="H560" s="363"/>
      <c r="I560" s="363"/>
      <c r="J560" s="363"/>
      <c r="K560" s="363"/>
      <c r="L560" s="363"/>
      <c r="M560" s="363"/>
      <c r="N560" s="363"/>
      <c r="O560" s="363"/>
      <c r="P560" s="363"/>
      <c r="Q560" s="363"/>
      <c r="R560" s="363"/>
      <c r="S560" s="363"/>
      <c r="T560" s="363"/>
      <c r="U560" s="363"/>
      <c r="V560" s="363"/>
      <c r="W560" s="363"/>
      <c r="X560" s="363"/>
      <c r="Y560" s="363"/>
      <c r="Z560" s="363"/>
      <c r="AA560" s="363"/>
      <c r="AB560" s="363"/>
      <c r="AC560" s="363"/>
      <c r="AD560" s="363"/>
      <c r="AE560" s="363"/>
      <c r="AF560" s="363"/>
      <c r="AG560" s="363"/>
      <c r="AH560" s="363"/>
      <c r="AI560" s="363"/>
      <c r="AJ560" s="363"/>
      <c r="AK560" s="363"/>
      <c r="AL560" s="363"/>
      <c r="AM560" s="363"/>
    </row>
    <row r="561" spans="2:39" ht="12.75" customHeight="1" x14ac:dyDescent="0.2">
      <c r="B561" s="362"/>
      <c r="C561" s="363"/>
      <c r="D561" s="363"/>
      <c r="E561" s="363"/>
      <c r="F561" s="363"/>
      <c r="G561" s="363"/>
      <c r="H561" s="363"/>
      <c r="I561" s="363"/>
      <c r="J561" s="363"/>
      <c r="K561" s="363"/>
      <c r="L561" s="363"/>
      <c r="M561" s="363"/>
      <c r="N561" s="363"/>
      <c r="O561" s="363"/>
      <c r="P561" s="363"/>
      <c r="Q561" s="363"/>
      <c r="R561" s="363"/>
      <c r="S561" s="363"/>
      <c r="T561" s="363"/>
      <c r="U561" s="363"/>
      <c r="V561" s="363"/>
      <c r="W561" s="363"/>
      <c r="X561" s="363"/>
      <c r="Y561" s="363"/>
      <c r="Z561" s="363"/>
      <c r="AA561" s="363"/>
      <c r="AB561" s="363"/>
      <c r="AC561" s="363"/>
      <c r="AD561" s="363"/>
      <c r="AE561" s="363"/>
      <c r="AF561" s="363"/>
      <c r="AG561" s="363"/>
      <c r="AH561" s="363"/>
      <c r="AI561" s="363"/>
      <c r="AJ561" s="363"/>
      <c r="AK561" s="363"/>
      <c r="AL561" s="363"/>
      <c r="AM561" s="363"/>
    </row>
    <row r="562" spans="2:39" ht="12.75" customHeight="1" x14ac:dyDescent="0.2">
      <c r="B562" s="362"/>
      <c r="C562" s="363"/>
      <c r="D562" s="363"/>
      <c r="E562" s="363"/>
      <c r="F562" s="363"/>
      <c r="G562" s="363"/>
      <c r="H562" s="363"/>
      <c r="I562" s="363"/>
      <c r="J562" s="363"/>
      <c r="K562" s="363"/>
      <c r="L562" s="363"/>
      <c r="M562" s="363"/>
      <c r="N562" s="363"/>
      <c r="O562" s="363"/>
      <c r="P562" s="363"/>
      <c r="Q562" s="363"/>
      <c r="R562" s="363"/>
      <c r="S562" s="363"/>
      <c r="T562" s="363"/>
      <c r="U562" s="363"/>
      <c r="V562" s="363"/>
      <c r="W562" s="363"/>
      <c r="X562" s="363"/>
      <c r="Y562" s="363"/>
      <c r="Z562" s="363"/>
      <c r="AA562" s="363"/>
      <c r="AB562" s="363"/>
      <c r="AC562" s="363"/>
      <c r="AD562" s="363"/>
      <c r="AE562" s="363"/>
      <c r="AF562" s="363"/>
      <c r="AG562" s="363"/>
      <c r="AH562" s="363"/>
      <c r="AI562" s="363"/>
      <c r="AJ562" s="363"/>
      <c r="AK562" s="363"/>
      <c r="AL562" s="363"/>
      <c r="AM562" s="363"/>
    </row>
    <row r="563" spans="2:39" ht="12.75" customHeight="1" x14ac:dyDescent="0.2">
      <c r="B563" s="362"/>
      <c r="C563" s="363"/>
      <c r="D563" s="363"/>
      <c r="E563" s="363"/>
      <c r="F563" s="363"/>
      <c r="G563" s="363"/>
      <c r="H563" s="363"/>
      <c r="I563" s="363"/>
      <c r="J563" s="363"/>
      <c r="K563" s="363"/>
      <c r="L563" s="363"/>
      <c r="M563" s="363"/>
      <c r="N563" s="363"/>
      <c r="O563" s="363"/>
      <c r="P563" s="363"/>
      <c r="Q563" s="363"/>
      <c r="R563" s="363"/>
      <c r="S563" s="363"/>
      <c r="T563" s="363"/>
      <c r="U563" s="363"/>
      <c r="V563" s="363"/>
      <c r="W563" s="363"/>
      <c r="X563" s="363"/>
      <c r="Y563" s="363"/>
      <c r="Z563" s="363"/>
      <c r="AA563" s="363"/>
      <c r="AB563" s="363"/>
      <c r="AC563" s="363"/>
      <c r="AD563" s="363"/>
      <c r="AE563" s="363"/>
      <c r="AF563" s="363"/>
      <c r="AG563" s="363"/>
      <c r="AH563" s="363"/>
      <c r="AI563" s="363"/>
      <c r="AJ563" s="363"/>
      <c r="AK563" s="363"/>
      <c r="AL563" s="363"/>
      <c r="AM563" s="363"/>
    </row>
    <row r="564" spans="2:39" ht="12.75" customHeight="1" x14ac:dyDescent="0.2">
      <c r="B564" s="362"/>
      <c r="C564" s="363"/>
      <c r="D564" s="363"/>
      <c r="E564" s="363"/>
      <c r="F564" s="363"/>
      <c r="G564" s="363"/>
      <c r="H564" s="363"/>
      <c r="I564" s="363"/>
      <c r="J564" s="363"/>
      <c r="K564" s="363"/>
      <c r="L564" s="363"/>
      <c r="M564" s="363"/>
      <c r="N564" s="363"/>
      <c r="O564" s="363"/>
      <c r="P564" s="363"/>
      <c r="Q564" s="363"/>
      <c r="R564" s="363"/>
      <c r="S564" s="363"/>
      <c r="T564" s="363"/>
      <c r="U564" s="363"/>
      <c r="V564" s="363"/>
      <c r="W564" s="363"/>
      <c r="X564" s="363"/>
      <c r="Y564" s="363"/>
      <c r="Z564" s="363"/>
      <c r="AA564" s="363"/>
      <c r="AB564" s="363"/>
      <c r="AC564" s="363"/>
      <c r="AD564" s="363"/>
      <c r="AE564" s="363"/>
      <c r="AF564" s="363"/>
      <c r="AG564" s="363"/>
      <c r="AH564" s="363"/>
      <c r="AI564" s="363"/>
      <c r="AJ564" s="363"/>
      <c r="AK564" s="363"/>
      <c r="AL564" s="363"/>
      <c r="AM564" s="363"/>
    </row>
    <row r="565" spans="2:39" ht="12.75" customHeight="1" x14ac:dyDescent="0.2">
      <c r="B565" s="362"/>
      <c r="C565" s="363"/>
      <c r="D565" s="363"/>
      <c r="E565" s="363"/>
      <c r="F565" s="363"/>
      <c r="G565" s="363"/>
      <c r="H565" s="363"/>
      <c r="I565" s="363"/>
      <c r="J565" s="363"/>
      <c r="K565" s="363"/>
      <c r="L565" s="363"/>
      <c r="M565" s="363"/>
      <c r="N565" s="363"/>
      <c r="O565" s="363"/>
      <c r="P565" s="363"/>
      <c r="Q565" s="363"/>
      <c r="R565" s="363"/>
      <c r="S565" s="363"/>
      <c r="T565" s="363"/>
      <c r="U565" s="363"/>
      <c r="V565" s="363"/>
      <c r="W565" s="363"/>
      <c r="X565" s="363"/>
      <c r="Y565" s="363"/>
      <c r="Z565" s="363"/>
      <c r="AA565" s="363"/>
      <c r="AB565" s="363"/>
      <c r="AC565" s="363"/>
      <c r="AD565" s="363"/>
      <c r="AE565" s="363"/>
      <c r="AF565" s="363"/>
      <c r="AG565" s="363"/>
      <c r="AH565" s="363"/>
      <c r="AI565" s="363"/>
      <c r="AJ565" s="363"/>
      <c r="AK565" s="363"/>
      <c r="AL565" s="363"/>
      <c r="AM565" s="363"/>
    </row>
    <row r="566" spans="2:39" ht="12.75" customHeight="1" x14ac:dyDescent="0.2">
      <c r="B566" s="362"/>
      <c r="C566" s="363"/>
      <c r="D566" s="363"/>
      <c r="E566" s="363"/>
      <c r="F566" s="363"/>
      <c r="G566" s="363"/>
      <c r="H566" s="363"/>
      <c r="I566" s="363"/>
      <c r="J566" s="363"/>
      <c r="K566" s="363"/>
      <c r="L566" s="363"/>
      <c r="M566" s="363"/>
      <c r="N566" s="363"/>
      <c r="O566" s="363"/>
      <c r="P566" s="363"/>
      <c r="Q566" s="363"/>
      <c r="R566" s="363"/>
      <c r="S566" s="363"/>
      <c r="T566" s="363"/>
      <c r="U566" s="363"/>
      <c r="V566" s="363"/>
      <c r="W566" s="363"/>
      <c r="X566" s="363"/>
      <c r="Y566" s="363"/>
      <c r="Z566" s="363"/>
      <c r="AA566" s="363"/>
      <c r="AB566" s="363"/>
      <c r="AC566" s="363"/>
      <c r="AD566" s="363"/>
      <c r="AE566" s="363"/>
      <c r="AF566" s="363"/>
      <c r="AG566" s="363"/>
      <c r="AH566" s="363"/>
      <c r="AI566" s="363"/>
      <c r="AJ566" s="363"/>
      <c r="AK566" s="363"/>
      <c r="AL566" s="363"/>
      <c r="AM566" s="363"/>
    </row>
    <row r="567" spans="2:39" ht="12.75" customHeight="1" x14ac:dyDescent="0.2">
      <c r="B567" s="362"/>
      <c r="C567" s="363"/>
      <c r="D567" s="363"/>
      <c r="E567" s="363"/>
      <c r="F567" s="363"/>
      <c r="G567" s="363"/>
      <c r="H567" s="363"/>
      <c r="I567" s="363"/>
      <c r="J567" s="363"/>
      <c r="K567" s="363"/>
      <c r="L567" s="363"/>
      <c r="M567" s="363"/>
      <c r="N567" s="363"/>
      <c r="O567" s="363"/>
      <c r="P567" s="363"/>
      <c r="Q567" s="363"/>
      <c r="R567" s="363"/>
      <c r="S567" s="363"/>
      <c r="T567" s="363"/>
      <c r="U567" s="363"/>
      <c r="V567" s="363"/>
      <c r="W567" s="363"/>
      <c r="X567" s="363"/>
      <c r="Y567" s="363"/>
      <c r="Z567" s="363"/>
      <c r="AA567" s="363"/>
      <c r="AB567" s="363"/>
      <c r="AC567" s="363"/>
      <c r="AD567" s="363"/>
      <c r="AE567" s="363"/>
      <c r="AF567" s="363"/>
      <c r="AG567" s="363"/>
      <c r="AH567" s="363"/>
      <c r="AI567" s="363"/>
      <c r="AJ567" s="363"/>
      <c r="AK567" s="363"/>
      <c r="AL567" s="363"/>
      <c r="AM567" s="363"/>
    </row>
    <row r="568" spans="2:39" ht="12.75" customHeight="1" x14ac:dyDescent="0.2">
      <c r="B568" s="362"/>
      <c r="C568" s="363"/>
      <c r="D568" s="363"/>
      <c r="E568" s="363"/>
      <c r="F568" s="363"/>
      <c r="G568" s="363"/>
      <c r="H568" s="363"/>
      <c r="I568" s="363"/>
      <c r="J568" s="363"/>
      <c r="K568" s="363"/>
      <c r="L568" s="363"/>
      <c r="M568" s="363"/>
      <c r="N568" s="363"/>
      <c r="O568" s="363"/>
      <c r="P568" s="363"/>
      <c r="Q568" s="363"/>
      <c r="R568" s="363"/>
      <c r="S568" s="363"/>
      <c r="T568" s="363"/>
      <c r="U568" s="363"/>
      <c r="V568" s="363"/>
      <c r="W568" s="363"/>
      <c r="X568" s="363"/>
      <c r="Y568" s="363"/>
      <c r="Z568" s="363"/>
      <c r="AA568" s="363"/>
      <c r="AB568" s="363"/>
      <c r="AC568" s="363"/>
      <c r="AD568" s="363"/>
      <c r="AE568" s="363"/>
      <c r="AF568" s="363"/>
      <c r="AG568" s="363"/>
      <c r="AH568" s="363"/>
      <c r="AI568" s="363"/>
      <c r="AJ568" s="363"/>
      <c r="AK568" s="363"/>
      <c r="AL568" s="363"/>
      <c r="AM568" s="363"/>
    </row>
    <row r="569" spans="2:39" ht="12.75" customHeight="1" x14ac:dyDescent="0.2">
      <c r="B569" s="362"/>
      <c r="C569" s="363"/>
      <c r="D569" s="363"/>
      <c r="E569" s="363"/>
      <c r="F569" s="363"/>
      <c r="G569" s="363"/>
      <c r="H569" s="363"/>
      <c r="I569" s="363"/>
      <c r="J569" s="363"/>
      <c r="K569" s="363"/>
      <c r="L569" s="363"/>
      <c r="M569" s="363"/>
      <c r="N569" s="363"/>
      <c r="O569" s="363"/>
      <c r="P569" s="363"/>
      <c r="Q569" s="363"/>
      <c r="R569" s="363"/>
      <c r="S569" s="363"/>
      <c r="T569" s="363"/>
      <c r="U569" s="363"/>
      <c r="V569" s="363"/>
      <c r="W569" s="363"/>
      <c r="X569" s="363"/>
      <c r="Y569" s="363"/>
      <c r="Z569" s="363"/>
      <c r="AA569" s="363"/>
      <c r="AB569" s="363"/>
      <c r="AC569" s="363"/>
      <c r="AD569" s="363"/>
      <c r="AE569" s="363"/>
      <c r="AF569" s="363"/>
      <c r="AG569" s="363"/>
      <c r="AH569" s="363"/>
      <c r="AI569" s="363"/>
      <c r="AJ569" s="363"/>
      <c r="AK569" s="363"/>
      <c r="AL569" s="363"/>
      <c r="AM569" s="363"/>
    </row>
    <row r="570" spans="2:39" ht="12.75" customHeight="1" x14ac:dyDescent="0.2">
      <c r="B570" s="362"/>
      <c r="C570" s="363"/>
      <c r="D570" s="363"/>
      <c r="E570" s="363"/>
      <c r="F570" s="363"/>
      <c r="G570" s="363"/>
      <c r="H570" s="363"/>
      <c r="I570" s="363"/>
      <c r="J570" s="363"/>
      <c r="K570" s="363"/>
      <c r="L570" s="363"/>
      <c r="M570" s="363"/>
      <c r="N570" s="363"/>
      <c r="O570" s="363"/>
      <c r="P570" s="363"/>
      <c r="Q570" s="363"/>
      <c r="R570" s="363"/>
      <c r="S570" s="363"/>
      <c r="T570" s="363"/>
      <c r="U570" s="363"/>
      <c r="V570" s="363"/>
      <c r="W570" s="363"/>
      <c r="X570" s="363"/>
      <c r="Y570" s="363"/>
      <c r="Z570" s="363"/>
      <c r="AA570" s="363"/>
      <c r="AB570" s="363"/>
      <c r="AC570" s="363"/>
      <c r="AD570" s="363"/>
      <c r="AE570" s="363"/>
      <c r="AF570" s="363"/>
      <c r="AG570" s="363"/>
      <c r="AH570" s="363"/>
      <c r="AI570" s="363"/>
      <c r="AJ570" s="363"/>
      <c r="AK570" s="363"/>
      <c r="AL570" s="363"/>
      <c r="AM570" s="363"/>
    </row>
    <row r="571" spans="2:39" ht="12.75" customHeight="1" x14ac:dyDescent="0.2">
      <c r="B571" s="362"/>
      <c r="C571" s="363"/>
      <c r="D571" s="363"/>
      <c r="E571" s="363"/>
      <c r="F571" s="363"/>
      <c r="G571" s="363"/>
      <c r="H571" s="363"/>
      <c r="I571" s="363"/>
      <c r="J571" s="363"/>
      <c r="K571" s="363"/>
      <c r="L571" s="363"/>
      <c r="M571" s="363"/>
      <c r="N571" s="363"/>
      <c r="O571" s="363"/>
      <c r="P571" s="363"/>
      <c r="Q571" s="363"/>
      <c r="R571" s="363"/>
      <c r="S571" s="363"/>
      <c r="T571" s="363"/>
      <c r="U571" s="363"/>
      <c r="V571" s="363"/>
      <c r="W571" s="363"/>
      <c r="X571" s="363"/>
      <c r="Y571" s="363"/>
      <c r="Z571" s="363"/>
      <c r="AA571" s="363"/>
      <c r="AB571" s="363"/>
      <c r="AC571" s="363"/>
      <c r="AD571" s="363"/>
      <c r="AE571" s="363"/>
      <c r="AF571" s="363"/>
      <c r="AG571" s="363"/>
      <c r="AH571" s="363"/>
      <c r="AI571" s="363"/>
      <c r="AJ571" s="363"/>
      <c r="AK571" s="363"/>
      <c r="AL571" s="363"/>
      <c r="AM571" s="363"/>
    </row>
    <row r="572" spans="2:39" ht="12.75" customHeight="1" x14ac:dyDescent="0.2">
      <c r="B572" s="362"/>
      <c r="C572" s="363"/>
      <c r="D572" s="363"/>
      <c r="E572" s="363"/>
      <c r="F572" s="363"/>
      <c r="G572" s="363"/>
      <c r="H572" s="363"/>
      <c r="I572" s="363"/>
      <c r="J572" s="363"/>
      <c r="K572" s="363"/>
      <c r="L572" s="363"/>
      <c r="M572" s="363"/>
      <c r="N572" s="363"/>
      <c r="O572" s="363"/>
      <c r="P572" s="363"/>
      <c r="Q572" s="363"/>
      <c r="R572" s="363"/>
      <c r="S572" s="363"/>
      <c r="T572" s="363"/>
      <c r="U572" s="363"/>
      <c r="V572" s="363"/>
      <c r="W572" s="363"/>
      <c r="X572" s="363"/>
      <c r="Y572" s="363"/>
      <c r="Z572" s="363"/>
      <c r="AA572" s="363"/>
      <c r="AB572" s="363"/>
      <c r="AC572" s="363"/>
      <c r="AD572" s="363"/>
      <c r="AE572" s="363"/>
      <c r="AF572" s="363"/>
      <c r="AG572" s="363"/>
      <c r="AH572" s="363"/>
      <c r="AI572" s="363"/>
      <c r="AJ572" s="363"/>
      <c r="AK572" s="363"/>
      <c r="AL572" s="363"/>
      <c r="AM572" s="363"/>
    </row>
    <row r="573" spans="2:39" ht="12.75" customHeight="1" x14ac:dyDescent="0.2">
      <c r="B573" s="362"/>
      <c r="C573" s="363"/>
      <c r="D573" s="363"/>
      <c r="E573" s="363"/>
      <c r="F573" s="363"/>
      <c r="G573" s="363"/>
      <c r="H573" s="363"/>
      <c r="I573" s="363"/>
      <c r="J573" s="363"/>
      <c r="K573" s="363"/>
      <c r="L573" s="363"/>
      <c r="M573" s="363"/>
      <c r="N573" s="363"/>
      <c r="O573" s="363"/>
      <c r="P573" s="363"/>
      <c r="Q573" s="363"/>
      <c r="R573" s="363"/>
      <c r="S573" s="363"/>
      <c r="T573" s="363"/>
      <c r="U573" s="363"/>
      <c r="V573" s="363"/>
      <c r="W573" s="363"/>
      <c r="X573" s="363"/>
      <c r="Y573" s="363"/>
      <c r="Z573" s="363"/>
      <c r="AA573" s="363"/>
      <c r="AB573" s="363"/>
      <c r="AC573" s="363"/>
      <c r="AD573" s="363"/>
      <c r="AE573" s="363"/>
      <c r="AF573" s="363"/>
      <c r="AG573" s="363"/>
      <c r="AH573" s="363"/>
      <c r="AI573" s="363"/>
      <c r="AJ573" s="363"/>
      <c r="AK573" s="363"/>
      <c r="AL573" s="363"/>
      <c r="AM573" s="363"/>
    </row>
    <row r="574" spans="2:39" ht="12.75" customHeight="1" x14ac:dyDescent="0.2">
      <c r="B574" s="362"/>
      <c r="C574" s="363"/>
      <c r="D574" s="363"/>
      <c r="E574" s="363"/>
      <c r="F574" s="363"/>
      <c r="G574" s="363"/>
      <c r="H574" s="363"/>
      <c r="I574" s="363"/>
      <c r="J574" s="363"/>
      <c r="K574" s="363"/>
      <c r="L574" s="363"/>
      <c r="M574" s="363"/>
      <c r="N574" s="363"/>
      <c r="O574" s="363"/>
      <c r="P574" s="363"/>
      <c r="Q574" s="363"/>
      <c r="R574" s="363"/>
      <c r="S574" s="363"/>
      <c r="T574" s="363"/>
      <c r="U574" s="363"/>
      <c r="V574" s="363"/>
      <c r="W574" s="363"/>
      <c r="X574" s="363"/>
      <c r="Y574" s="363"/>
      <c r="Z574" s="363"/>
      <c r="AA574" s="363"/>
      <c r="AB574" s="363"/>
      <c r="AC574" s="363"/>
      <c r="AD574" s="363"/>
      <c r="AE574" s="363"/>
      <c r="AF574" s="363"/>
      <c r="AG574" s="363"/>
      <c r="AH574" s="363"/>
      <c r="AI574" s="363"/>
      <c r="AJ574" s="363"/>
      <c r="AK574" s="363"/>
      <c r="AL574" s="363"/>
      <c r="AM574" s="363"/>
    </row>
    <row r="575" spans="2:39" ht="12.75" customHeight="1" x14ac:dyDescent="0.2">
      <c r="B575" s="362"/>
      <c r="C575" s="363"/>
      <c r="D575" s="363"/>
      <c r="E575" s="363"/>
      <c r="F575" s="363"/>
      <c r="G575" s="363"/>
      <c r="H575" s="363"/>
      <c r="I575" s="363"/>
      <c r="J575" s="363"/>
      <c r="K575" s="363"/>
      <c r="L575" s="363"/>
      <c r="M575" s="363"/>
      <c r="N575" s="363"/>
      <c r="O575" s="363"/>
      <c r="P575" s="363"/>
      <c r="Q575" s="363"/>
      <c r="R575" s="363"/>
      <c r="S575" s="363"/>
      <c r="T575" s="363"/>
      <c r="U575" s="363"/>
      <c r="V575" s="363"/>
      <c r="W575" s="363"/>
      <c r="X575" s="363"/>
      <c r="Y575" s="363"/>
      <c r="Z575" s="363"/>
      <c r="AA575" s="363"/>
      <c r="AB575" s="363"/>
      <c r="AC575" s="363"/>
      <c r="AD575" s="363"/>
      <c r="AE575" s="363"/>
      <c r="AF575" s="363"/>
      <c r="AG575" s="363"/>
      <c r="AH575" s="363"/>
      <c r="AI575" s="363"/>
      <c r="AJ575" s="363"/>
      <c r="AK575" s="363"/>
      <c r="AL575" s="363"/>
      <c r="AM575" s="363"/>
    </row>
    <row r="576" spans="2:39" ht="12.75" customHeight="1" x14ac:dyDescent="0.2">
      <c r="B576" s="362"/>
      <c r="C576" s="363"/>
      <c r="D576" s="363"/>
      <c r="E576" s="363"/>
      <c r="F576" s="363"/>
      <c r="G576" s="363"/>
      <c r="H576" s="363"/>
      <c r="I576" s="363"/>
      <c r="J576" s="363"/>
      <c r="K576" s="363"/>
      <c r="L576" s="363"/>
      <c r="M576" s="363"/>
      <c r="N576" s="363"/>
      <c r="O576" s="363"/>
      <c r="P576" s="363"/>
      <c r="Q576" s="363"/>
      <c r="R576" s="363"/>
      <c r="S576" s="363"/>
      <c r="T576" s="363"/>
      <c r="U576" s="363"/>
      <c r="V576" s="363"/>
      <c r="W576" s="363"/>
      <c r="X576" s="363"/>
      <c r="Y576" s="363"/>
      <c r="Z576" s="363"/>
      <c r="AA576" s="363"/>
      <c r="AB576" s="363"/>
      <c r="AC576" s="363"/>
      <c r="AD576" s="363"/>
      <c r="AE576" s="363"/>
      <c r="AF576" s="363"/>
      <c r="AG576" s="363"/>
      <c r="AH576" s="363"/>
      <c r="AI576" s="363"/>
      <c r="AJ576" s="363"/>
      <c r="AK576" s="363"/>
      <c r="AL576" s="363"/>
      <c r="AM576" s="363"/>
    </row>
    <row r="577" spans="2:39" ht="12.75" customHeight="1" x14ac:dyDescent="0.2">
      <c r="B577" s="362"/>
      <c r="C577" s="363"/>
      <c r="D577" s="363"/>
      <c r="E577" s="363"/>
      <c r="F577" s="363"/>
      <c r="G577" s="363"/>
      <c r="H577" s="363"/>
      <c r="I577" s="363"/>
      <c r="J577" s="363"/>
      <c r="K577" s="363"/>
      <c r="L577" s="363"/>
      <c r="M577" s="363"/>
      <c r="N577" s="363"/>
      <c r="O577" s="363"/>
      <c r="P577" s="363"/>
      <c r="Q577" s="363"/>
      <c r="R577" s="363"/>
      <c r="S577" s="363"/>
      <c r="T577" s="363"/>
      <c r="U577" s="363"/>
      <c r="V577" s="363"/>
      <c r="W577" s="363"/>
      <c r="X577" s="363"/>
      <c r="Y577" s="363"/>
      <c r="Z577" s="363"/>
      <c r="AA577" s="363"/>
      <c r="AB577" s="363"/>
      <c r="AC577" s="363"/>
      <c r="AD577" s="363"/>
      <c r="AE577" s="363"/>
      <c r="AF577" s="363"/>
      <c r="AG577" s="363"/>
      <c r="AH577" s="363"/>
      <c r="AI577" s="363"/>
      <c r="AJ577" s="363"/>
      <c r="AK577" s="363"/>
      <c r="AL577" s="363"/>
      <c r="AM577" s="363"/>
    </row>
    <row r="578" spans="2:39" ht="12.75" customHeight="1" x14ac:dyDescent="0.2">
      <c r="B578" s="362"/>
      <c r="C578" s="363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  <c r="X578" s="363"/>
      <c r="Y578" s="363"/>
      <c r="Z578" s="363"/>
      <c r="AA578" s="363"/>
      <c r="AB578" s="363"/>
      <c r="AC578" s="363"/>
      <c r="AD578" s="363"/>
      <c r="AE578" s="363"/>
      <c r="AF578" s="363"/>
      <c r="AG578" s="363"/>
      <c r="AH578" s="363"/>
      <c r="AI578" s="363"/>
      <c r="AJ578" s="363"/>
      <c r="AK578" s="363"/>
      <c r="AL578" s="363"/>
      <c r="AM578" s="363"/>
    </row>
    <row r="579" spans="2:39" ht="12.75" customHeight="1" x14ac:dyDescent="0.2">
      <c r="B579" s="362"/>
      <c r="C579" s="363"/>
      <c r="D579" s="363"/>
      <c r="E579" s="363"/>
      <c r="F579" s="363"/>
      <c r="G579" s="363"/>
      <c r="H579" s="363"/>
      <c r="I579" s="363"/>
      <c r="J579" s="363"/>
      <c r="K579" s="363"/>
      <c r="L579" s="363"/>
      <c r="M579" s="363"/>
      <c r="N579" s="363"/>
      <c r="O579" s="363"/>
      <c r="P579" s="363"/>
      <c r="Q579" s="363"/>
      <c r="R579" s="363"/>
      <c r="S579" s="363"/>
      <c r="T579" s="363"/>
      <c r="U579" s="363"/>
      <c r="V579" s="363"/>
      <c r="W579" s="363"/>
      <c r="X579" s="363"/>
      <c r="Y579" s="363"/>
      <c r="Z579" s="363"/>
      <c r="AA579" s="363"/>
      <c r="AB579" s="363"/>
      <c r="AC579" s="363"/>
      <c r="AD579" s="363"/>
      <c r="AE579" s="363"/>
      <c r="AF579" s="363"/>
      <c r="AG579" s="363"/>
      <c r="AH579" s="363"/>
      <c r="AI579" s="363"/>
      <c r="AJ579" s="363"/>
      <c r="AK579" s="363"/>
      <c r="AL579" s="363"/>
      <c r="AM579" s="363"/>
    </row>
    <row r="580" spans="2:39" ht="12.75" customHeight="1" x14ac:dyDescent="0.2">
      <c r="B580" s="362"/>
      <c r="C580" s="363"/>
      <c r="D580" s="363"/>
      <c r="E580" s="363"/>
      <c r="F580" s="363"/>
      <c r="G580" s="363"/>
      <c r="H580" s="363"/>
      <c r="I580" s="363"/>
      <c r="J580" s="363"/>
      <c r="K580" s="363"/>
      <c r="L580" s="363"/>
      <c r="M580" s="363"/>
      <c r="N580" s="363"/>
      <c r="O580" s="363"/>
      <c r="P580" s="363"/>
      <c r="Q580" s="363"/>
      <c r="R580" s="363"/>
      <c r="S580" s="363"/>
      <c r="T580" s="363"/>
      <c r="U580" s="363"/>
      <c r="V580" s="363"/>
      <c r="W580" s="363"/>
      <c r="X580" s="363"/>
      <c r="Y580" s="363"/>
      <c r="Z580" s="363"/>
      <c r="AA580" s="363"/>
      <c r="AB580" s="363"/>
      <c r="AC580" s="363"/>
      <c r="AD580" s="363"/>
      <c r="AE580" s="363"/>
      <c r="AF580" s="363"/>
      <c r="AG580" s="363"/>
      <c r="AH580" s="363"/>
      <c r="AI580" s="363"/>
      <c r="AJ580" s="363"/>
      <c r="AK580" s="363"/>
      <c r="AL580" s="363"/>
      <c r="AM580" s="363"/>
    </row>
    <row r="581" spans="2:39" ht="12.75" customHeight="1" x14ac:dyDescent="0.2">
      <c r="B581" s="362"/>
      <c r="C581" s="363"/>
      <c r="D581" s="363"/>
      <c r="E581" s="363"/>
      <c r="F581" s="363"/>
      <c r="G581" s="363"/>
      <c r="H581" s="363"/>
      <c r="I581" s="363"/>
      <c r="J581" s="363"/>
      <c r="K581" s="363"/>
      <c r="L581" s="363"/>
      <c r="M581" s="363"/>
      <c r="N581" s="363"/>
      <c r="O581" s="363"/>
      <c r="P581" s="363"/>
      <c r="Q581" s="363"/>
      <c r="R581" s="363"/>
      <c r="S581" s="363"/>
      <c r="T581" s="363"/>
      <c r="U581" s="363"/>
      <c r="V581" s="363"/>
      <c r="W581" s="363"/>
      <c r="X581" s="363"/>
      <c r="Y581" s="363"/>
      <c r="Z581" s="363"/>
      <c r="AA581" s="363"/>
      <c r="AB581" s="363"/>
      <c r="AC581" s="363"/>
      <c r="AD581" s="363"/>
      <c r="AE581" s="363"/>
      <c r="AF581" s="363"/>
      <c r="AG581" s="363"/>
      <c r="AH581" s="363"/>
      <c r="AI581" s="363"/>
      <c r="AJ581" s="363"/>
      <c r="AK581" s="363"/>
      <c r="AL581" s="363"/>
      <c r="AM581" s="363"/>
    </row>
    <row r="582" spans="2:39" ht="12.75" customHeight="1" x14ac:dyDescent="0.2">
      <c r="B582" s="362"/>
      <c r="C582" s="363"/>
      <c r="D582" s="363"/>
      <c r="E582" s="363"/>
      <c r="F582" s="363"/>
      <c r="G582" s="363"/>
      <c r="H582" s="363"/>
      <c r="I582" s="363"/>
      <c r="J582" s="363"/>
      <c r="K582" s="363"/>
      <c r="L582" s="363"/>
      <c r="M582" s="363"/>
      <c r="N582" s="363"/>
      <c r="O582" s="363"/>
      <c r="P582" s="363"/>
      <c r="Q582" s="363"/>
      <c r="R582" s="363"/>
      <c r="S582" s="363"/>
      <c r="T582" s="363"/>
      <c r="U582" s="363"/>
      <c r="V582" s="363"/>
      <c r="W582" s="363"/>
      <c r="X582" s="363"/>
      <c r="Y582" s="363"/>
      <c r="Z582" s="363"/>
      <c r="AA582" s="363"/>
      <c r="AB582" s="363"/>
      <c r="AC582" s="363"/>
      <c r="AD582" s="363"/>
      <c r="AE582" s="363"/>
      <c r="AF582" s="363"/>
      <c r="AG582" s="363"/>
      <c r="AH582" s="363"/>
      <c r="AI582" s="363"/>
      <c r="AJ582" s="363"/>
      <c r="AK582" s="363"/>
      <c r="AL582" s="363"/>
      <c r="AM582" s="363"/>
    </row>
    <row r="583" spans="2:39" ht="12.75" customHeight="1" x14ac:dyDescent="0.2">
      <c r="B583" s="362"/>
      <c r="C583" s="363"/>
      <c r="D583" s="363"/>
      <c r="E583" s="363"/>
      <c r="F583" s="363"/>
      <c r="G583" s="363"/>
      <c r="H583" s="363"/>
      <c r="I583" s="363"/>
      <c r="J583" s="363"/>
      <c r="K583" s="363"/>
      <c r="L583" s="363"/>
      <c r="M583" s="363"/>
      <c r="N583" s="363"/>
      <c r="O583" s="363"/>
      <c r="P583" s="363"/>
      <c r="Q583" s="363"/>
      <c r="R583" s="363"/>
      <c r="S583" s="363"/>
      <c r="T583" s="363"/>
      <c r="U583" s="363"/>
      <c r="V583" s="363"/>
      <c r="W583" s="363"/>
      <c r="X583" s="363"/>
      <c r="Y583" s="363"/>
      <c r="Z583" s="363"/>
      <c r="AA583" s="363"/>
      <c r="AB583" s="363"/>
      <c r="AC583" s="363"/>
      <c r="AD583" s="363"/>
      <c r="AE583" s="363"/>
      <c r="AF583" s="363"/>
      <c r="AG583" s="363"/>
      <c r="AH583" s="363"/>
      <c r="AI583" s="363"/>
      <c r="AJ583" s="363"/>
      <c r="AK583" s="363"/>
      <c r="AL583" s="363"/>
      <c r="AM583" s="363"/>
    </row>
    <row r="584" spans="2:39" ht="12.75" customHeight="1" x14ac:dyDescent="0.2">
      <c r="B584" s="362"/>
      <c r="C584" s="363"/>
      <c r="D584" s="363"/>
      <c r="E584" s="363"/>
      <c r="F584" s="363"/>
      <c r="G584" s="363"/>
      <c r="H584" s="363"/>
      <c r="I584" s="363"/>
      <c r="J584" s="363"/>
      <c r="K584" s="363"/>
      <c r="L584" s="363"/>
      <c r="M584" s="363"/>
      <c r="N584" s="363"/>
      <c r="O584" s="363"/>
      <c r="P584" s="363"/>
      <c r="Q584" s="363"/>
      <c r="R584" s="363"/>
      <c r="S584" s="363"/>
      <c r="T584" s="363"/>
      <c r="U584" s="363"/>
      <c r="V584" s="363"/>
      <c r="W584" s="363"/>
      <c r="X584" s="363"/>
      <c r="Y584" s="363"/>
      <c r="Z584" s="363"/>
      <c r="AA584" s="363"/>
      <c r="AB584" s="363"/>
      <c r="AC584" s="363"/>
      <c r="AD584" s="363"/>
      <c r="AE584" s="363"/>
      <c r="AF584" s="363"/>
      <c r="AG584" s="363"/>
      <c r="AH584" s="363"/>
      <c r="AI584" s="363"/>
      <c r="AJ584" s="363"/>
      <c r="AK584" s="363"/>
      <c r="AL584" s="363"/>
      <c r="AM584" s="363"/>
    </row>
    <row r="585" spans="2:39" ht="12.75" customHeight="1" x14ac:dyDescent="0.2">
      <c r="B585" s="362"/>
      <c r="C585" s="363"/>
      <c r="D585" s="363"/>
      <c r="E585" s="363"/>
      <c r="F585" s="363"/>
      <c r="G585" s="363"/>
      <c r="H585" s="363"/>
      <c r="I585" s="363"/>
      <c r="J585" s="363"/>
      <c r="K585" s="363"/>
      <c r="L585" s="363"/>
      <c r="M585" s="363"/>
      <c r="N585" s="363"/>
      <c r="O585" s="363"/>
      <c r="P585" s="363"/>
      <c r="Q585" s="363"/>
      <c r="R585" s="363"/>
      <c r="S585" s="363"/>
      <c r="T585" s="363"/>
      <c r="U585" s="363"/>
      <c r="V585" s="363"/>
      <c r="W585" s="363"/>
      <c r="X585" s="363"/>
      <c r="Y585" s="363"/>
      <c r="Z585" s="363"/>
      <c r="AA585" s="363"/>
      <c r="AB585" s="363"/>
      <c r="AC585" s="363"/>
      <c r="AD585" s="363"/>
      <c r="AE585" s="363"/>
      <c r="AF585" s="363"/>
      <c r="AG585" s="363"/>
      <c r="AH585" s="363"/>
      <c r="AI585" s="363"/>
      <c r="AJ585" s="363"/>
      <c r="AK585" s="363"/>
      <c r="AL585" s="363"/>
      <c r="AM585" s="363"/>
    </row>
    <row r="586" spans="2:39" ht="12.75" customHeight="1" x14ac:dyDescent="0.2">
      <c r="B586" s="362"/>
      <c r="C586" s="363"/>
      <c r="D586" s="363"/>
      <c r="E586" s="363"/>
      <c r="F586" s="363"/>
      <c r="G586" s="363"/>
      <c r="H586" s="363"/>
      <c r="I586" s="363"/>
      <c r="J586" s="363"/>
      <c r="K586" s="363"/>
      <c r="L586" s="363"/>
      <c r="M586" s="363"/>
      <c r="N586" s="363"/>
      <c r="O586" s="363"/>
      <c r="P586" s="363"/>
      <c r="Q586" s="363"/>
      <c r="R586" s="363"/>
      <c r="S586" s="363"/>
      <c r="T586" s="363"/>
      <c r="U586" s="363"/>
      <c r="V586" s="363"/>
      <c r="W586" s="363"/>
      <c r="X586" s="363"/>
      <c r="Y586" s="363"/>
      <c r="Z586" s="363"/>
      <c r="AA586" s="363"/>
      <c r="AB586" s="363"/>
      <c r="AC586" s="363"/>
      <c r="AD586" s="363"/>
      <c r="AE586" s="363"/>
      <c r="AF586" s="363"/>
      <c r="AG586" s="363"/>
      <c r="AH586" s="363"/>
      <c r="AI586" s="363"/>
      <c r="AJ586" s="363"/>
      <c r="AK586" s="363"/>
      <c r="AL586" s="363"/>
      <c r="AM586" s="363"/>
    </row>
    <row r="587" spans="2:39" ht="12.75" customHeight="1" x14ac:dyDescent="0.2">
      <c r="B587" s="362"/>
      <c r="C587" s="363"/>
      <c r="D587" s="363"/>
      <c r="E587" s="363"/>
      <c r="F587" s="363"/>
      <c r="G587" s="363"/>
      <c r="H587" s="363"/>
      <c r="I587" s="363"/>
      <c r="J587" s="363"/>
      <c r="K587" s="363"/>
      <c r="L587" s="363"/>
      <c r="M587" s="363"/>
      <c r="N587" s="363"/>
      <c r="O587" s="363"/>
      <c r="P587" s="363"/>
      <c r="Q587" s="363"/>
      <c r="R587" s="363"/>
      <c r="S587" s="363"/>
      <c r="T587" s="363"/>
      <c r="U587" s="363"/>
      <c r="V587" s="363"/>
      <c r="W587" s="363"/>
      <c r="X587" s="363"/>
      <c r="Y587" s="363"/>
      <c r="Z587" s="363"/>
      <c r="AA587" s="363"/>
      <c r="AB587" s="363"/>
      <c r="AC587" s="363"/>
      <c r="AD587" s="363"/>
      <c r="AE587" s="363"/>
      <c r="AF587" s="363"/>
      <c r="AG587" s="363"/>
      <c r="AH587" s="363"/>
      <c r="AI587" s="363"/>
      <c r="AJ587" s="363"/>
      <c r="AK587" s="363"/>
      <c r="AL587" s="363"/>
      <c r="AM587" s="363"/>
    </row>
    <row r="588" spans="2:39" ht="12.75" customHeight="1" x14ac:dyDescent="0.2">
      <c r="B588" s="362"/>
      <c r="C588" s="363"/>
      <c r="D588" s="363"/>
      <c r="E588" s="363"/>
      <c r="F588" s="363"/>
      <c r="G588" s="363"/>
      <c r="H588" s="363"/>
      <c r="I588" s="363"/>
      <c r="J588" s="363"/>
      <c r="K588" s="363"/>
      <c r="L588" s="363"/>
      <c r="M588" s="363"/>
      <c r="N588" s="363"/>
      <c r="O588" s="363"/>
      <c r="P588" s="363"/>
      <c r="Q588" s="363"/>
      <c r="R588" s="363"/>
      <c r="S588" s="363"/>
      <c r="T588" s="363"/>
      <c r="U588" s="363"/>
      <c r="V588" s="363"/>
      <c r="W588" s="363"/>
      <c r="X588" s="363"/>
      <c r="Y588" s="363"/>
      <c r="Z588" s="363"/>
      <c r="AA588" s="363"/>
      <c r="AB588" s="363"/>
      <c r="AC588" s="363"/>
      <c r="AD588" s="363"/>
      <c r="AE588" s="363"/>
      <c r="AF588" s="363"/>
      <c r="AG588" s="363"/>
      <c r="AH588" s="363"/>
      <c r="AI588" s="363"/>
      <c r="AJ588" s="363"/>
      <c r="AK588" s="363"/>
      <c r="AL588" s="363"/>
      <c r="AM588" s="363"/>
    </row>
    <row r="589" spans="2:39" ht="12.75" customHeight="1" x14ac:dyDescent="0.2">
      <c r="B589" s="362"/>
      <c r="C589" s="363"/>
      <c r="D589" s="363"/>
      <c r="E589" s="363"/>
      <c r="F589" s="363"/>
      <c r="G589" s="363"/>
      <c r="H589" s="363"/>
      <c r="I589" s="363"/>
      <c r="J589" s="363"/>
      <c r="K589" s="363"/>
      <c r="L589" s="363"/>
      <c r="M589" s="363"/>
      <c r="N589" s="363"/>
      <c r="O589" s="363"/>
      <c r="P589" s="363"/>
      <c r="Q589" s="363"/>
      <c r="R589" s="363"/>
      <c r="S589" s="363"/>
      <c r="T589" s="363"/>
      <c r="U589" s="363"/>
      <c r="V589" s="363"/>
      <c r="W589" s="363"/>
      <c r="X589" s="363"/>
      <c r="Y589" s="363"/>
      <c r="Z589" s="363"/>
      <c r="AA589" s="363"/>
      <c r="AB589" s="363"/>
      <c r="AC589" s="363"/>
      <c r="AD589" s="363"/>
      <c r="AE589" s="363"/>
      <c r="AF589" s="363"/>
      <c r="AG589" s="363"/>
      <c r="AH589" s="363"/>
      <c r="AI589" s="363"/>
      <c r="AJ589" s="363"/>
      <c r="AK589" s="363"/>
      <c r="AL589" s="363"/>
      <c r="AM589" s="363"/>
    </row>
    <row r="590" spans="2:39" ht="12.75" customHeight="1" x14ac:dyDescent="0.2">
      <c r="B590" s="362"/>
      <c r="C590" s="363"/>
      <c r="D590" s="363"/>
      <c r="E590" s="363"/>
      <c r="F590" s="363"/>
      <c r="G590" s="363"/>
      <c r="H590" s="363"/>
      <c r="I590" s="363"/>
      <c r="J590" s="363"/>
      <c r="K590" s="363"/>
      <c r="L590" s="363"/>
      <c r="M590" s="363"/>
      <c r="N590" s="363"/>
      <c r="O590" s="363"/>
      <c r="P590" s="363"/>
      <c r="Q590" s="363"/>
      <c r="R590" s="363"/>
      <c r="S590" s="363"/>
      <c r="T590" s="363"/>
      <c r="U590" s="363"/>
      <c r="V590" s="363"/>
      <c r="W590" s="363"/>
      <c r="X590" s="363"/>
      <c r="Y590" s="363"/>
      <c r="Z590" s="363"/>
      <c r="AA590" s="363"/>
      <c r="AB590" s="363"/>
      <c r="AC590" s="363"/>
      <c r="AD590" s="363"/>
      <c r="AE590" s="363"/>
      <c r="AF590" s="363"/>
      <c r="AG590" s="363"/>
      <c r="AH590" s="363"/>
      <c r="AI590" s="363"/>
      <c r="AJ590" s="363"/>
      <c r="AK590" s="363"/>
      <c r="AL590" s="363"/>
      <c r="AM590" s="363"/>
    </row>
    <row r="591" spans="2:39" ht="12.75" customHeight="1" x14ac:dyDescent="0.2">
      <c r="B591" s="362"/>
      <c r="C591" s="363"/>
      <c r="D591" s="363"/>
      <c r="E591" s="363"/>
      <c r="F591" s="363"/>
      <c r="G591" s="363"/>
      <c r="H591" s="363"/>
      <c r="I591" s="363"/>
      <c r="J591" s="363"/>
      <c r="K591" s="363"/>
      <c r="L591" s="363"/>
      <c r="M591" s="363"/>
      <c r="N591" s="363"/>
      <c r="O591" s="363"/>
      <c r="P591" s="363"/>
      <c r="Q591" s="363"/>
      <c r="R591" s="363"/>
      <c r="S591" s="363"/>
      <c r="T591" s="363"/>
      <c r="U591" s="363"/>
      <c r="V591" s="363"/>
      <c r="W591" s="363"/>
      <c r="X591" s="363"/>
      <c r="Y591" s="363"/>
      <c r="Z591" s="363"/>
      <c r="AA591" s="363"/>
      <c r="AB591" s="363"/>
      <c r="AC591" s="363"/>
      <c r="AD591" s="363"/>
      <c r="AE591" s="363"/>
      <c r="AF591" s="363"/>
      <c r="AG591" s="363"/>
      <c r="AH591" s="363"/>
      <c r="AI591" s="363"/>
      <c r="AJ591" s="363"/>
      <c r="AK591" s="363"/>
      <c r="AL591" s="363"/>
      <c r="AM591" s="363"/>
    </row>
    <row r="592" spans="2:39" ht="12.75" customHeight="1" x14ac:dyDescent="0.2">
      <c r="B592" s="362"/>
      <c r="C592" s="363"/>
      <c r="D592" s="363"/>
      <c r="E592" s="363"/>
      <c r="F592" s="363"/>
      <c r="G592" s="363"/>
      <c r="H592" s="363"/>
      <c r="I592" s="363"/>
      <c r="J592" s="363"/>
      <c r="K592" s="363"/>
      <c r="L592" s="363"/>
      <c r="M592" s="363"/>
      <c r="N592" s="363"/>
      <c r="O592" s="363"/>
      <c r="P592" s="363"/>
      <c r="Q592" s="363"/>
      <c r="R592" s="363"/>
      <c r="S592" s="363"/>
      <c r="T592" s="363"/>
      <c r="U592" s="363"/>
      <c r="V592" s="363"/>
      <c r="W592" s="363"/>
      <c r="X592" s="363"/>
      <c r="Y592" s="363"/>
      <c r="Z592" s="363"/>
      <c r="AA592" s="363"/>
      <c r="AB592" s="363"/>
      <c r="AC592" s="363"/>
      <c r="AD592" s="363"/>
      <c r="AE592" s="363"/>
      <c r="AF592" s="363"/>
      <c r="AG592" s="363"/>
      <c r="AH592" s="363"/>
      <c r="AI592" s="363"/>
      <c r="AJ592" s="363"/>
      <c r="AK592" s="363"/>
      <c r="AL592" s="363"/>
      <c r="AM592" s="363"/>
    </row>
    <row r="593" spans="2:39" ht="12.75" customHeight="1" x14ac:dyDescent="0.2">
      <c r="B593" s="362"/>
      <c r="C593" s="363"/>
      <c r="D593" s="363"/>
      <c r="E593" s="363"/>
      <c r="F593" s="363"/>
      <c r="G593" s="363"/>
      <c r="H593" s="363"/>
      <c r="I593" s="363"/>
      <c r="J593" s="363"/>
      <c r="K593" s="363"/>
      <c r="L593" s="363"/>
      <c r="M593" s="363"/>
      <c r="N593" s="363"/>
      <c r="O593" s="363"/>
      <c r="P593" s="363"/>
      <c r="Q593" s="363"/>
      <c r="R593" s="363"/>
      <c r="S593" s="363"/>
      <c r="T593" s="363"/>
      <c r="U593" s="363"/>
      <c r="V593" s="363"/>
      <c r="W593" s="363"/>
      <c r="X593" s="363"/>
      <c r="Y593" s="363"/>
      <c r="Z593" s="363"/>
      <c r="AA593" s="363"/>
      <c r="AB593" s="363"/>
      <c r="AC593" s="363"/>
      <c r="AD593" s="363"/>
      <c r="AE593" s="363"/>
      <c r="AF593" s="363"/>
      <c r="AG593" s="363"/>
      <c r="AH593" s="363"/>
      <c r="AI593" s="363"/>
      <c r="AJ593" s="363"/>
      <c r="AK593" s="363"/>
      <c r="AL593" s="363"/>
      <c r="AM593" s="363"/>
    </row>
    <row r="594" spans="2:39" ht="12.75" customHeight="1" x14ac:dyDescent="0.2">
      <c r="B594" s="362"/>
      <c r="C594" s="363"/>
      <c r="D594" s="363"/>
      <c r="E594" s="363"/>
      <c r="F594" s="363"/>
      <c r="G594" s="363"/>
      <c r="H594" s="363"/>
      <c r="I594" s="363"/>
      <c r="J594" s="363"/>
      <c r="K594" s="363"/>
      <c r="L594" s="363"/>
      <c r="M594" s="363"/>
      <c r="N594" s="363"/>
      <c r="O594" s="363"/>
      <c r="P594" s="363"/>
      <c r="Q594" s="363"/>
      <c r="R594" s="363"/>
      <c r="S594" s="363"/>
      <c r="T594" s="363"/>
      <c r="U594" s="363"/>
      <c r="V594" s="363"/>
      <c r="W594" s="363"/>
      <c r="X594" s="363"/>
      <c r="Y594" s="363"/>
      <c r="Z594" s="363"/>
      <c r="AA594" s="363"/>
      <c r="AB594" s="363"/>
      <c r="AC594" s="363"/>
      <c r="AD594" s="363"/>
      <c r="AE594" s="363"/>
      <c r="AF594" s="363"/>
      <c r="AG594" s="363"/>
      <c r="AH594" s="363"/>
      <c r="AI594" s="363"/>
      <c r="AJ594" s="363"/>
      <c r="AK594" s="363"/>
      <c r="AL594" s="363"/>
      <c r="AM594" s="363"/>
    </row>
    <row r="595" spans="2:39" ht="12.75" customHeight="1" x14ac:dyDescent="0.2">
      <c r="B595" s="362"/>
      <c r="C595" s="363"/>
      <c r="D595" s="363"/>
      <c r="E595" s="363"/>
      <c r="F595" s="363"/>
      <c r="G595" s="363"/>
      <c r="H595" s="363"/>
      <c r="I595" s="363"/>
      <c r="J595" s="363"/>
      <c r="K595" s="363"/>
      <c r="L595" s="363"/>
      <c r="M595" s="363"/>
      <c r="N595" s="363"/>
      <c r="O595" s="363"/>
      <c r="P595" s="363"/>
      <c r="Q595" s="363"/>
      <c r="R595" s="363"/>
      <c r="S595" s="363"/>
      <c r="T595" s="363"/>
      <c r="U595" s="363"/>
      <c r="V595" s="363"/>
      <c r="W595" s="363"/>
      <c r="X595" s="363"/>
      <c r="Y595" s="363"/>
      <c r="Z595" s="363"/>
      <c r="AA595" s="363"/>
      <c r="AB595" s="363"/>
      <c r="AC595" s="363"/>
      <c r="AD595" s="363"/>
      <c r="AE595" s="363"/>
      <c r="AF595" s="363"/>
      <c r="AG595" s="363"/>
      <c r="AH595" s="363"/>
      <c r="AI595" s="363"/>
      <c r="AJ595" s="363"/>
      <c r="AK595" s="363"/>
      <c r="AL595" s="363"/>
      <c r="AM595" s="363"/>
    </row>
    <row r="596" spans="2:39" ht="12.75" customHeight="1" x14ac:dyDescent="0.2">
      <c r="B596" s="362"/>
      <c r="C596" s="363"/>
      <c r="D596" s="363"/>
      <c r="E596" s="363"/>
      <c r="F596" s="363"/>
      <c r="G596" s="363"/>
      <c r="H596" s="363"/>
      <c r="I596" s="363"/>
      <c r="J596" s="363"/>
      <c r="K596" s="363"/>
      <c r="L596" s="363"/>
      <c r="M596" s="363"/>
      <c r="N596" s="363"/>
      <c r="O596" s="363"/>
      <c r="P596" s="363"/>
      <c r="Q596" s="363"/>
      <c r="R596" s="363"/>
      <c r="S596" s="363"/>
      <c r="T596" s="363"/>
      <c r="U596" s="363"/>
      <c r="V596" s="363"/>
      <c r="W596" s="363"/>
      <c r="X596" s="363"/>
      <c r="Y596" s="363"/>
      <c r="Z596" s="363"/>
      <c r="AA596" s="363"/>
      <c r="AB596" s="363"/>
      <c r="AC596" s="363"/>
      <c r="AD596" s="363"/>
      <c r="AE596" s="363"/>
      <c r="AF596" s="363"/>
      <c r="AG596" s="363"/>
      <c r="AH596" s="363"/>
      <c r="AI596" s="363"/>
      <c r="AJ596" s="363"/>
      <c r="AK596" s="363"/>
      <c r="AL596" s="363"/>
      <c r="AM596" s="363"/>
    </row>
    <row r="597" spans="2:39" ht="12.75" customHeight="1" x14ac:dyDescent="0.2">
      <c r="B597" s="362"/>
      <c r="C597" s="363"/>
      <c r="D597" s="363"/>
      <c r="E597" s="363"/>
      <c r="F597" s="363"/>
      <c r="G597" s="363"/>
      <c r="H597" s="363"/>
      <c r="I597" s="363"/>
      <c r="J597" s="363"/>
      <c r="K597" s="363"/>
      <c r="L597" s="363"/>
      <c r="M597" s="363"/>
      <c r="N597" s="363"/>
      <c r="O597" s="363"/>
      <c r="P597" s="363"/>
      <c r="Q597" s="363"/>
      <c r="R597" s="363"/>
      <c r="S597" s="363"/>
      <c r="T597" s="363"/>
      <c r="U597" s="363"/>
      <c r="V597" s="363"/>
      <c r="W597" s="363"/>
      <c r="X597" s="363"/>
      <c r="Y597" s="363"/>
      <c r="Z597" s="363"/>
      <c r="AA597" s="363"/>
      <c r="AB597" s="363"/>
      <c r="AC597" s="363"/>
      <c r="AD597" s="363"/>
      <c r="AE597" s="363"/>
      <c r="AF597" s="363"/>
      <c r="AG597" s="363"/>
      <c r="AH597" s="363"/>
      <c r="AI597" s="363"/>
      <c r="AJ597" s="363"/>
      <c r="AK597" s="363"/>
      <c r="AL597" s="363"/>
      <c r="AM597" s="363"/>
    </row>
    <row r="598" spans="2:39" ht="12.75" customHeight="1" x14ac:dyDescent="0.2">
      <c r="B598" s="362"/>
      <c r="C598" s="363"/>
      <c r="D598" s="363"/>
      <c r="E598" s="363"/>
      <c r="F598" s="363"/>
      <c r="G598" s="363"/>
      <c r="H598" s="363"/>
      <c r="I598" s="363"/>
      <c r="J598" s="363"/>
      <c r="K598" s="363"/>
      <c r="L598" s="363"/>
      <c r="M598" s="363"/>
      <c r="N598" s="363"/>
      <c r="O598" s="363"/>
      <c r="P598" s="363"/>
      <c r="Q598" s="363"/>
      <c r="R598" s="363"/>
      <c r="S598" s="363"/>
      <c r="T598" s="363"/>
      <c r="U598" s="363"/>
      <c r="V598" s="363"/>
      <c r="W598" s="363"/>
      <c r="X598" s="363"/>
      <c r="Y598" s="363"/>
      <c r="Z598" s="363"/>
      <c r="AA598" s="363"/>
      <c r="AB598" s="363"/>
      <c r="AC598" s="363"/>
      <c r="AD598" s="363"/>
      <c r="AE598" s="363"/>
      <c r="AF598" s="363"/>
      <c r="AG598" s="363"/>
      <c r="AH598" s="363"/>
      <c r="AI598" s="363"/>
      <c r="AJ598" s="363"/>
      <c r="AK598" s="363"/>
      <c r="AL598" s="363"/>
      <c r="AM598" s="363"/>
    </row>
    <row r="599" spans="2:39" ht="12.75" customHeight="1" x14ac:dyDescent="0.2">
      <c r="B599" s="362"/>
      <c r="C599" s="363"/>
      <c r="D599" s="363"/>
      <c r="E599" s="363"/>
      <c r="F599" s="363"/>
      <c r="G599" s="363"/>
      <c r="H599" s="363"/>
      <c r="I599" s="363"/>
      <c r="J599" s="363"/>
      <c r="K599" s="363"/>
      <c r="L599" s="363"/>
      <c r="M599" s="363"/>
      <c r="N599" s="363"/>
      <c r="O599" s="363"/>
      <c r="P599" s="363"/>
      <c r="Q599" s="363"/>
      <c r="R599" s="363"/>
      <c r="S599" s="363"/>
      <c r="T599" s="363"/>
      <c r="U599" s="363"/>
      <c r="V599" s="363"/>
      <c r="W599" s="363"/>
      <c r="X599" s="363"/>
      <c r="Y599" s="363"/>
      <c r="Z599" s="363"/>
      <c r="AA599" s="363"/>
      <c r="AB599" s="363"/>
      <c r="AC599" s="363"/>
      <c r="AD599" s="363"/>
      <c r="AE599" s="363"/>
      <c r="AF599" s="363"/>
      <c r="AG599" s="363"/>
      <c r="AH599" s="363"/>
      <c r="AI599" s="363"/>
      <c r="AJ599" s="363"/>
      <c r="AK599" s="363"/>
      <c r="AL599" s="363"/>
      <c r="AM599" s="363"/>
    </row>
    <row r="600" spans="2:39" ht="12.75" customHeight="1" x14ac:dyDescent="0.2">
      <c r="B600" s="362"/>
      <c r="C600" s="363"/>
      <c r="D600" s="363"/>
      <c r="E600" s="363"/>
      <c r="F600" s="363"/>
      <c r="G600" s="363"/>
      <c r="H600" s="363"/>
      <c r="I600" s="363"/>
      <c r="J600" s="363"/>
      <c r="K600" s="363"/>
      <c r="L600" s="363"/>
      <c r="M600" s="363"/>
      <c r="N600" s="363"/>
      <c r="O600" s="363"/>
      <c r="P600" s="363"/>
      <c r="Q600" s="363"/>
      <c r="R600" s="363"/>
      <c r="S600" s="363"/>
      <c r="T600" s="363"/>
      <c r="U600" s="363"/>
      <c r="V600" s="363"/>
      <c r="W600" s="363"/>
      <c r="X600" s="363"/>
      <c r="Y600" s="363"/>
      <c r="Z600" s="363"/>
      <c r="AA600" s="363"/>
      <c r="AB600" s="363"/>
      <c r="AC600" s="363"/>
      <c r="AD600" s="363"/>
      <c r="AE600" s="363"/>
      <c r="AF600" s="363"/>
      <c r="AG600" s="363"/>
      <c r="AH600" s="363"/>
      <c r="AI600" s="363"/>
      <c r="AJ600" s="363"/>
      <c r="AK600" s="363"/>
      <c r="AL600" s="363"/>
      <c r="AM600" s="363"/>
    </row>
    <row r="601" spans="2:39" ht="12.75" customHeight="1" x14ac:dyDescent="0.2">
      <c r="B601" s="362"/>
      <c r="C601" s="363"/>
      <c r="D601" s="363"/>
      <c r="E601" s="363"/>
      <c r="F601" s="363"/>
      <c r="G601" s="363"/>
      <c r="H601" s="363"/>
      <c r="I601" s="363"/>
      <c r="J601" s="363"/>
      <c r="K601" s="363"/>
      <c r="L601" s="363"/>
      <c r="M601" s="363"/>
      <c r="N601" s="363"/>
      <c r="O601" s="363"/>
      <c r="P601" s="363"/>
      <c r="Q601" s="363"/>
      <c r="R601" s="363"/>
      <c r="S601" s="363"/>
      <c r="T601" s="363"/>
      <c r="U601" s="363"/>
      <c r="V601" s="363"/>
      <c r="W601" s="363"/>
      <c r="X601" s="363"/>
      <c r="Y601" s="363"/>
      <c r="Z601" s="363"/>
      <c r="AA601" s="363"/>
      <c r="AB601" s="363"/>
      <c r="AC601" s="363"/>
      <c r="AD601" s="363"/>
      <c r="AE601" s="363"/>
      <c r="AF601" s="363"/>
      <c r="AG601" s="363"/>
      <c r="AH601" s="363"/>
      <c r="AI601" s="363"/>
      <c r="AJ601" s="363"/>
      <c r="AK601" s="363"/>
      <c r="AL601" s="363"/>
      <c r="AM601" s="363"/>
    </row>
    <row r="602" spans="2:39" ht="12.75" customHeight="1" x14ac:dyDescent="0.2">
      <c r="B602" s="362"/>
      <c r="C602" s="363"/>
      <c r="D602" s="363"/>
      <c r="E602" s="363"/>
      <c r="F602" s="363"/>
      <c r="G602" s="363"/>
      <c r="H602" s="363"/>
      <c r="I602" s="363"/>
      <c r="J602" s="363"/>
      <c r="K602" s="363"/>
      <c r="L602" s="363"/>
      <c r="M602" s="363"/>
      <c r="N602" s="363"/>
      <c r="O602" s="363"/>
      <c r="P602" s="363"/>
      <c r="Q602" s="363"/>
      <c r="R602" s="363"/>
      <c r="S602" s="363"/>
      <c r="T602" s="363"/>
      <c r="U602" s="363"/>
      <c r="V602" s="363"/>
      <c r="W602" s="363"/>
      <c r="X602" s="363"/>
      <c r="Y602" s="363"/>
      <c r="Z602" s="363"/>
      <c r="AA602" s="363"/>
      <c r="AB602" s="363"/>
      <c r="AC602" s="363"/>
      <c r="AD602" s="363"/>
      <c r="AE602" s="363"/>
      <c r="AF602" s="363"/>
      <c r="AG602" s="363"/>
      <c r="AH602" s="363"/>
      <c r="AI602" s="363"/>
      <c r="AJ602" s="363"/>
      <c r="AK602" s="363"/>
      <c r="AL602" s="363"/>
      <c r="AM602" s="363"/>
    </row>
    <row r="603" spans="2:39" ht="12.75" customHeight="1" x14ac:dyDescent="0.2">
      <c r="B603" s="362"/>
      <c r="C603" s="363"/>
      <c r="D603" s="363"/>
      <c r="E603" s="363"/>
      <c r="F603" s="363"/>
      <c r="G603" s="363"/>
      <c r="H603" s="363"/>
      <c r="I603" s="363"/>
      <c r="J603" s="363"/>
      <c r="K603" s="363"/>
      <c r="L603" s="363"/>
      <c r="M603" s="363"/>
      <c r="N603" s="363"/>
      <c r="O603" s="363"/>
      <c r="P603" s="363"/>
      <c r="Q603" s="363"/>
      <c r="R603" s="363"/>
      <c r="S603" s="363"/>
      <c r="T603" s="363"/>
      <c r="U603" s="363"/>
      <c r="V603" s="363"/>
      <c r="W603" s="363"/>
      <c r="X603" s="363"/>
      <c r="Y603" s="363"/>
      <c r="Z603" s="363"/>
      <c r="AA603" s="363"/>
      <c r="AB603" s="363"/>
      <c r="AC603" s="363"/>
      <c r="AD603" s="363"/>
      <c r="AE603" s="363"/>
      <c r="AF603" s="363"/>
      <c r="AG603" s="363"/>
      <c r="AH603" s="363"/>
      <c r="AI603" s="363"/>
      <c r="AJ603" s="363"/>
      <c r="AK603" s="363"/>
      <c r="AL603" s="363"/>
      <c r="AM603" s="363"/>
    </row>
    <row r="604" spans="2:39" ht="12.75" customHeight="1" x14ac:dyDescent="0.2">
      <c r="B604" s="362"/>
      <c r="C604" s="363"/>
      <c r="D604" s="363"/>
      <c r="E604" s="363"/>
      <c r="F604" s="363"/>
      <c r="G604" s="363"/>
      <c r="H604" s="363"/>
      <c r="I604" s="363"/>
      <c r="J604" s="363"/>
      <c r="K604" s="363"/>
      <c r="L604" s="363"/>
      <c r="M604" s="363"/>
      <c r="N604" s="363"/>
      <c r="O604" s="363"/>
      <c r="P604" s="363"/>
      <c r="Q604" s="363"/>
      <c r="R604" s="363"/>
      <c r="S604" s="363"/>
      <c r="T604" s="363"/>
      <c r="U604" s="363"/>
      <c r="V604" s="363"/>
      <c r="W604" s="363"/>
      <c r="X604" s="363"/>
      <c r="Y604" s="363"/>
      <c r="Z604" s="363"/>
      <c r="AA604" s="363"/>
      <c r="AB604" s="363"/>
      <c r="AC604" s="363"/>
      <c r="AD604" s="363"/>
      <c r="AE604" s="363"/>
      <c r="AF604" s="363"/>
      <c r="AG604" s="363"/>
      <c r="AH604" s="363"/>
      <c r="AI604" s="363"/>
      <c r="AJ604" s="363"/>
      <c r="AK604" s="363"/>
      <c r="AL604" s="363"/>
      <c r="AM604" s="363"/>
    </row>
    <row r="605" spans="2:39" ht="12.75" customHeight="1" x14ac:dyDescent="0.2">
      <c r="B605" s="362"/>
      <c r="C605" s="363"/>
      <c r="D605" s="363"/>
      <c r="E605" s="363"/>
      <c r="F605" s="363"/>
      <c r="G605" s="363"/>
      <c r="H605" s="363"/>
      <c r="I605" s="363"/>
      <c r="J605" s="363"/>
      <c r="K605" s="363"/>
      <c r="L605" s="363"/>
      <c r="M605" s="363"/>
      <c r="N605" s="363"/>
      <c r="O605" s="363"/>
      <c r="P605" s="363"/>
      <c r="Q605" s="363"/>
      <c r="R605" s="363"/>
      <c r="S605" s="363"/>
      <c r="T605" s="363"/>
      <c r="U605" s="363"/>
      <c r="V605" s="363"/>
      <c r="W605" s="363"/>
      <c r="X605" s="363"/>
      <c r="Y605" s="363"/>
      <c r="Z605" s="363"/>
      <c r="AA605" s="363"/>
      <c r="AB605" s="363"/>
      <c r="AC605" s="363"/>
      <c r="AD605" s="363"/>
      <c r="AE605" s="363"/>
      <c r="AF605" s="363"/>
      <c r="AG605" s="363"/>
      <c r="AH605" s="363"/>
      <c r="AI605" s="363"/>
      <c r="AJ605" s="363"/>
      <c r="AK605" s="363"/>
      <c r="AL605" s="363"/>
      <c r="AM605" s="363"/>
    </row>
    <row r="606" spans="2:39" ht="12.75" customHeight="1" x14ac:dyDescent="0.2">
      <c r="B606" s="362"/>
      <c r="C606" s="363"/>
      <c r="D606" s="363"/>
      <c r="E606" s="363"/>
      <c r="F606" s="363"/>
      <c r="G606" s="363"/>
      <c r="H606" s="363"/>
      <c r="I606" s="363"/>
      <c r="J606" s="363"/>
      <c r="K606" s="363"/>
      <c r="L606" s="363"/>
      <c r="M606" s="363"/>
      <c r="N606" s="363"/>
      <c r="O606" s="363"/>
      <c r="P606" s="363"/>
      <c r="Q606" s="363"/>
      <c r="R606" s="363"/>
      <c r="S606" s="363"/>
      <c r="T606" s="363"/>
      <c r="U606" s="363"/>
      <c r="V606" s="363"/>
      <c r="W606" s="363"/>
      <c r="X606" s="363"/>
      <c r="Y606" s="363"/>
      <c r="Z606" s="363"/>
      <c r="AA606" s="363"/>
      <c r="AB606" s="363"/>
      <c r="AC606" s="363"/>
      <c r="AD606" s="363"/>
      <c r="AE606" s="363"/>
      <c r="AF606" s="363"/>
      <c r="AG606" s="363"/>
      <c r="AH606" s="363"/>
      <c r="AI606" s="363"/>
      <c r="AJ606" s="363"/>
      <c r="AK606" s="363"/>
      <c r="AL606" s="363"/>
      <c r="AM606" s="363"/>
    </row>
    <row r="607" spans="2:39" ht="12.75" customHeight="1" x14ac:dyDescent="0.2">
      <c r="B607" s="362"/>
      <c r="C607" s="363"/>
      <c r="D607" s="363"/>
      <c r="E607" s="363"/>
      <c r="F607" s="363"/>
      <c r="G607" s="363"/>
      <c r="H607" s="363"/>
      <c r="I607" s="363"/>
      <c r="J607" s="363"/>
      <c r="K607" s="363"/>
      <c r="L607" s="363"/>
      <c r="M607" s="363"/>
      <c r="N607" s="363"/>
      <c r="O607" s="363"/>
      <c r="P607" s="363"/>
      <c r="Q607" s="363"/>
      <c r="R607" s="363"/>
      <c r="S607" s="363"/>
      <c r="T607" s="363"/>
      <c r="U607" s="363"/>
      <c r="V607" s="363"/>
      <c r="W607" s="363"/>
      <c r="X607" s="363"/>
      <c r="Y607" s="363"/>
      <c r="Z607" s="363"/>
      <c r="AA607" s="363"/>
      <c r="AB607" s="363"/>
      <c r="AC607" s="363"/>
      <c r="AD607" s="363"/>
      <c r="AE607" s="363"/>
      <c r="AF607" s="363"/>
      <c r="AG607" s="363"/>
      <c r="AH607" s="363"/>
      <c r="AI607" s="363"/>
      <c r="AJ607" s="363"/>
      <c r="AK607" s="363"/>
      <c r="AL607" s="363"/>
      <c r="AM607" s="363"/>
    </row>
    <row r="608" spans="2:39" ht="12.75" customHeight="1" x14ac:dyDescent="0.2">
      <c r="B608" s="362"/>
      <c r="C608" s="363"/>
      <c r="D608" s="363"/>
      <c r="E608" s="363"/>
      <c r="F608" s="363"/>
      <c r="G608" s="363"/>
      <c r="H608" s="363"/>
      <c r="I608" s="363"/>
      <c r="J608" s="363"/>
      <c r="K608" s="363"/>
      <c r="L608" s="363"/>
      <c r="M608" s="363"/>
      <c r="N608" s="363"/>
      <c r="O608" s="363"/>
      <c r="P608" s="363"/>
      <c r="Q608" s="363"/>
      <c r="R608" s="363"/>
      <c r="S608" s="363"/>
      <c r="T608" s="363"/>
      <c r="U608" s="363"/>
      <c r="V608" s="363"/>
      <c r="W608" s="363"/>
      <c r="X608" s="363"/>
      <c r="Y608" s="363"/>
      <c r="Z608" s="363"/>
      <c r="AA608" s="363"/>
      <c r="AB608" s="363"/>
      <c r="AC608" s="363"/>
      <c r="AD608" s="363"/>
      <c r="AE608" s="363"/>
      <c r="AF608" s="363"/>
      <c r="AG608" s="363"/>
      <c r="AH608" s="363"/>
      <c r="AI608" s="363"/>
      <c r="AJ608" s="363"/>
      <c r="AK608" s="363"/>
      <c r="AL608" s="363"/>
      <c r="AM608" s="363"/>
    </row>
    <row r="609" spans="2:39" ht="12.75" customHeight="1" x14ac:dyDescent="0.2">
      <c r="B609" s="362"/>
      <c r="C609" s="363"/>
      <c r="D609" s="363"/>
      <c r="E609" s="363"/>
      <c r="F609" s="363"/>
      <c r="G609" s="363"/>
      <c r="H609" s="363"/>
      <c r="I609" s="363"/>
      <c r="J609" s="363"/>
      <c r="K609" s="363"/>
      <c r="L609" s="363"/>
      <c r="M609" s="363"/>
      <c r="N609" s="363"/>
      <c r="O609" s="363"/>
      <c r="P609" s="363"/>
      <c r="Q609" s="363"/>
      <c r="R609" s="363"/>
      <c r="S609" s="363"/>
      <c r="T609" s="363"/>
      <c r="U609" s="363"/>
      <c r="V609" s="363"/>
      <c r="W609" s="363"/>
      <c r="X609" s="363"/>
      <c r="Y609" s="363"/>
      <c r="Z609" s="363"/>
      <c r="AA609" s="363"/>
      <c r="AB609" s="363"/>
      <c r="AC609" s="363"/>
      <c r="AD609" s="363"/>
      <c r="AE609" s="363"/>
      <c r="AF609" s="363"/>
      <c r="AG609" s="363"/>
      <c r="AH609" s="363"/>
      <c r="AI609" s="363"/>
      <c r="AJ609" s="363"/>
      <c r="AK609" s="363"/>
      <c r="AL609" s="363"/>
      <c r="AM609" s="363"/>
    </row>
    <row r="610" spans="2:39" ht="12.75" customHeight="1" x14ac:dyDescent="0.2">
      <c r="B610" s="362"/>
      <c r="C610" s="363"/>
      <c r="D610" s="363"/>
      <c r="E610" s="363"/>
      <c r="F610" s="363"/>
      <c r="G610" s="363"/>
      <c r="H610" s="363"/>
      <c r="I610" s="363"/>
      <c r="J610" s="363"/>
      <c r="K610" s="363"/>
      <c r="L610" s="363"/>
      <c r="M610" s="363"/>
      <c r="N610" s="363"/>
      <c r="O610" s="363"/>
      <c r="P610" s="363"/>
      <c r="Q610" s="363"/>
      <c r="R610" s="363"/>
      <c r="S610" s="363"/>
      <c r="T610" s="363"/>
      <c r="U610" s="363"/>
      <c r="V610" s="363"/>
      <c r="W610" s="363"/>
      <c r="X610" s="363"/>
      <c r="Y610" s="363"/>
      <c r="Z610" s="363"/>
      <c r="AA610" s="363"/>
      <c r="AB610" s="363"/>
      <c r="AC610" s="363"/>
      <c r="AD610" s="363"/>
      <c r="AE610" s="363"/>
      <c r="AF610" s="363"/>
      <c r="AG610" s="363"/>
      <c r="AH610" s="363"/>
      <c r="AI610" s="363"/>
      <c r="AJ610" s="363"/>
      <c r="AK610" s="363"/>
      <c r="AL610" s="363"/>
      <c r="AM610" s="363"/>
    </row>
    <row r="611" spans="2:39" ht="12.75" customHeight="1" x14ac:dyDescent="0.2">
      <c r="B611" s="362"/>
      <c r="C611" s="363"/>
      <c r="D611" s="363"/>
      <c r="E611" s="363"/>
      <c r="F611" s="363"/>
      <c r="G611" s="363"/>
      <c r="H611" s="363"/>
      <c r="I611" s="363"/>
      <c r="J611" s="363"/>
      <c r="K611" s="363"/>
      <c r="L611" s="363"/>
      <c r="M611" s="363"/>
      <c r="N611" s="363"/>
      <c r="O611" s="363"/>
      <c r="P611" s="363"/>
      <c r="Q611" s="363"/>
      <c r="R611" s="363"/>
      <c r="S611" s="363"/>
      <c r="T611" s="363"/>
      <c r="U611" s="363"/>
      <c r="V611" s="363"/>
      <c r="W611" s="363"/>
      <c r="X611" s="363"/>
      <c r="Y611" s="363"/>
      <c r="Z611" s="363"/>
      <c r="AA611" s="363"/>
      <c r="AB611" s="363"/>
      <c r="AC611" s="363"/>
      <c r="AD611" s="363"/>
      <c r="AE611" s="363"/>
      <c r="AF611" s="363"/>
      <c r="AG611" s="363"/>
      <c r="AH611" s="363"/>
      <c r="AI611" s="363"/>
      <c r="AJ611" s="363"/>
      <c r="AK611" s="363"/>
      <c r="AL611" s="363"/>
      <c r="AM611" s="363"/>
    </row>
    <row r="612" spans="2:39" ht="12.75" customHeight="1" x14ac:dyDescent="0.2">
      <c r="B612" s="362"/>
      <c r="C612" s="363"/>
      <c r="D612" s="363"/>
      <c r="E612" s="363"/>
      <c r="F612" s="363"/>
      <c r="G612" s="363"/>
      <c r="H612" s="363"/>
      <c r="I612" s="363"/>
      <c r="J612" s="363"/>
      <c r="K612" s="363"/>
      <c r="L612" s="363"/>
      <c r="M612" s="363"/>
      <c r="N612" s="363"/>
      <c r="O612" s="363"/>
      <c r="P612" s="363"/>
      <c r="Q612" s="363"/>
      <c r="R612" s="363"/>
      <c r="S612" s="363"/>
      <c r="T612" s="363"/>
      <c r="U612" s="363"/>
      <c r="V612" s="363"/>
      <c r="W612" s="363"/>
      <c r="X612" s="363"/>
      <c r="Y612" s="363"/>
      <c r="Z612" s="363"/>
      <c r="AA612" s="363"/>
      <c r="AB612" s="363"/>
      <c r="AC612" s="363"/>
      <c r="AD612" s="363"/>
      <c r="AE612" s="363"/>
      <c r="AF612" s="363"/>
      <c r="AG612" s="363"/>
      <c r="AH612" s="363"/>
      <c r="AI612" s="363"/>
      <c r="AJ612" s="363"/>
      <c r="AK612" s="363"/>
      <c r="AL612" s="363"/>
      <c r="AM612" s="363"/>
    </row>
    <row r="613" spans="2:39" ht="12.75" customHeight="1" x14ac:dyDescent="0.2">
      <c r="B613" s="362"/>
      <c r="C613" s="363"/>
      <c r="D613" s="363"/>
      <c r="E613" s="363"/>
      <c r="F613" s="363"/>
      <c r="G613" s="363"/>
      <c r="H613" s="363"/>
      <c r="I613" s="363"/>
      <c r="J613" s="363"/>
      <c r="K613" s="363"/>
      <c r="L613" s="363"/>
      <c r="M613" s="363"/>
      <c r="N613" s="363"/>
      <c r="O613" s="363"/>
      <c r="P613" s="363"/>
      <c r="Q613" s="363"/>
      <c r="R613" s="363"/>
      <c r="S613" s="363"/>
      <c r="T613" s="363"/>
      <c r="U613" s="363"/>
      <c r="V613" s="363"/>
      <c r="W613" s="363"/>
      <c r="X613" s="363"/>
      <c r="Y613" s="363"/>
      <c r="Z613" s="363"/>
      <c r="AA613" s="363"/>
      <c r="AB613" s="363"/>
      <c r="AC613" s="363"/>
      <c r="AD613" s="363"/>
      <c r="AE613" s="363"/>
      <c r="AF613" s="363"/>
      <c r="AG613" s="363"/>
      <c r="AH613" s="363"/>
      <c r="AI613" s="363"/>
      <c r="AJ613" s="363"/>
      <c r="AK613" s="363"/>
      <c r="AL613" s="363"/>
      <c r="AM613" s="363"/>
    </row>
    <row r="614" spans="2:39" ht="12.75" customHeight="1" x14ac:dyDescent="0.2">
      <c r="B614" s="362"/>
      <c r="C614" s="363"/>
      <c r="D614" s="363"/>
      <c r="E614" s="363"/>
      <c r="F614" s="363"/>
      <c r="G614" s="363"/>
      <c r="H614" s="363"/>
      <c r="I614" s="363"/>
      <c r="J614" s="363"/>
      <c r="K614" s="363"/>
      <c r="L614" s="363"/>
      <c r="M614" s="363"/>
      <c r="N614" s="363"/>
      <c r="O614" s="363"/>
      <c r="P614" s="363"/>
      <c r="Q614" s="363"/>
      <c r="R614" s="363"/>
      <c r="S614" s="363"/>
      <c r="T614" s="363"/>
      <c r="U614" s="363"/>
      <c r="V614" s="363"/>
      <c r="W614" s="363"/>
      <c r="X614" s="363"/>
      <c r="Y614" s="363"/>
      <c r="Z614" s="363"/>
      <c r="AA614" s="363"/>
      <c r="AB614" s="363"/>
      <c r="AC614" s="363"/>
      <c r="AD614" s="363"/>
      <c r="AE614" s="363"/>
      <c r="AF614" s="363"/>
      <c r="AG614" s="363"/>
      <c r="AH614" s="363"/>
      <c r="AI614" s="363"/>
      <c r="AJ614" s="363"/>
      <c r="AK614" s="363"/>
      <c r="AL614" s="363"/>
      <c r="AM614" s="363"/>
    </row>
    <row r="615" spans="2:39" ht="12.75" customHeight="1" x14ac:dyDescent="0.2">
      <c r="B615" s="362"/>
      <c r="C615" s="363"/>
      <c r="D615" s="363"/>
      <c r="E615" s="363"/>
      <c r="F615" s="363"/>
      <c r="G615" s="363"/>
      <c r="H615" s="363"/>
      <c r="I615" s="363"/>
      <c r="J615" s="363"/>
      <c r="K615" s="363"/>
      <c r="L615" s="363"/>
      <c r="M615" s="363"/>
      <c r="N615" s="363"/>
      <c r="O615" s="363"/>
      <c r="P615" s="363"/>
      <c r="Q615" s="363"/>
      <c r="R615" s="363"/>
      <c r="S615" s="363"/>
      <c r="T615" s="363"/>
      <c r="U615" s="363"/>
      <c r="V615" s="363"/>
      <c r="W615" s="363"/>
      <c r="X615" s="363"/>
      <c r="Y615" s="363"/>
      <c r="Z615" s="363"/>
      <c r="AA615" s="363"/>
      <c r="AB615" s="363"/>
      <c r="AC615" s="363"/>
      <c r="AD615" s="363"/>
      <c r="AE615" s="363"/>
      <c r="AF615" s="363"/>
      <c r="AG615" s="363"/>
      <c r="AH615" s="363"/>
      <c r="AI615" s="363"/>
      <c r="AJ615" s="363"/>
      <c r="AK615" s="363"/>
      <c r="AL615" s="363"/>
      <c r="AM615" s="363"/>
    </row>
    <row r="616" spans="2:39" ht="12.75" customHeight="1" x14ac:dyDescent="0.2">
      <c r="B616" s="362"/>
      <c r="C616" s="363"/>
      <c r="D616" s="363"/>
      <c r="E616" s="363"/>
      <c r="F616" s="363"/>
      <c r="G616" s="363"/>
      <c r="H616" s="363"/>
      <c r="I616" s="363"/>
      <c r="J616" s="363"/>
      <c r="K616" s="363"/>
      <c r="L616" s="363"/>
      <c r="M616" s="363"/>
      <c r="N616" s="363"/>
      <c r="O616" s="363"/>
      <c r="P616" s="363"/>
      <c r="Q616" s="363"/>
      <c r="R616" s="363"/>
      <c r="S616" s="363"/>
      <c r="T616" s="363"/>
      <c r="U616" s="363"/>
      <c r="V616" s="363"/>
      <c r="W616" s="363"/>
      <c r="X616" s="363"/>
      <c r="Y616" s="363"/>
      <c r="Z616" s="363"/>
      <c r="AA616" s="363"/>
      <c r="AB616" s="363"/>
      <c r="AC616" s="363"/>
      <c r="AD616" s="363"/>
      <c r="AE616" s="363"/>
      <c r="AF616" s="363"/>
      <c r="AG616" s="363"/>
      <c r="AH616" s="363"/>
      <c r="AI616" s="363"/>
      <c r="AJ616" s="363"/>
      <c r="AK616" s="363"/>
      <c r="AL616" s="363"/>
      <c r="AM616" s="363"/>
    </row>
    <row r="617" spans="2:39" ht="12.75" customHeight="1" x14ac:dyDescent="0.2">
      <c r="B617" s="362"/>
      <c r="C617" s="363"/>
      <c r="D617" s="363"/>
      <c r="E617" s="363"/>
      <c r="F617" s="363"/>
      <c r="G617" s="363"/>
      <c r="H617" s="363"/>
      <c r="I617" s="363"/>
      <c r="J617" s="363"/>
      <c r="K617" s="363"/>
      <c r="L617" s="363"/>
      <c r="M617" s="363"/>
      <c r="N617" s="363"/>
      <c r="O617" s="363"/>
      <c r="P617" s="363"/>
      <c r="Q617" s="363"/>
      <c r="R617" s="363"/>
      <c r="S617" s="363"/>
      <c r="T617" s="363"/>
      <c r="U617" s="363"/>
      <c r="V617" s="363"/>
      <c r="W617" s="363"/>
      <c r="X617" s="363"/>
      <c r="Y617" s="363"/>
      <c r="Z617" s="363"/>
      <c r="AA617" s="363"/>
      <c r="AB617" s="363"/>
      <c r="AC617" s="363"/>
      <c r="AD617" s="363"/>
      <c r="AE617" s="363"/>
      <c r="AF617" s="363"/>
      <c r="AG617" s="363"/>
      <c r="AH617" s="363"/>
      <c r="AI617" s="363"/>
      <c r="AJ617" s="363"/>
      <c r="AK617" s="363"/>
      <c r="AL617" s="363"/>
      <c r="AM617" s="363"/>
    </row>
    <row r="618" spans="2:39" ht="12.75" customHeight="1" x14ac:dyDescent="0.2">
      <c r="B618" s="362"/>
      <c r="C618" s="363"/>
      <c r="D618" s="363"/>
      <c r="E618" s="363"/>
      <c r="F618" s="363"/>
      <c r="G618" s="363"/>
      <c r="H618" s="363"/>
      <c r="I618" s="363"/>
      <c r="J618" s="363"/>
      <c r="K618" s="363"/>
      <c r="L618" s="363"/>
      <c r="M618" s="363"/>
      <c r="N618" s="363"/>
      <c r="O618" s="363"/>
      <c r="P618" s="363"/>
      <c r="Q618" s="363"/>
      <c r="R618" s="363"/>
      <c r="S618" s="363"/>
      <c r="T618" s="363"/>
      <c r="U618" s="363"/>
      <c r="V618" s="363"/>
      <c r="W618" s="363"/>
      <c r="X618" s="363"/>
      <c r="Y618" s="363"/>
      <c r="Z618" s="363"/>
      <c r="AA618" s="363"/>
      <c r="AB618" s="363"/>
      <c r="AC618" s="363"/>
      <c r="AD618" s="363"/>
      <c r="AE618" s="363"/>
      <c r="AF618" s="363"/>
      <c r="AG618" s="363"/>
      <c r="AH618" s="363"/>
      <c r="AI618" s="363"/>
      <c r="AJ618" s="363"/>
      <c r="AK618" s="363"/>
      <c r="AL618" s="363"/>
      <c r="AM618" s="363"/>
    </row>
    <row r="619" spans="2:39" ht="12.75" customHeight="1" x14ac:dyDescent="0.2">
      <c r="B619" s="362"/>
      <c r="C619" s="363"/>
      <c r="D619" s="363"/>
      <c r="E619" s="363"/>
      <c r="F619" s="363"/>
      <c r="G619" s="363"/>
      <c r="H619" s="363"/>
      <c r="I619" s="363"/>
      <c r="J619" s="363"/>
      <c r="K619" s="363"/>
      <c r="L619" s="363"/>
      <c r="M619" s="363"/>
      <c r="N619" s="363"/>
      <c r="O619" s="363"/>
      <c r="P619" s="363"/>
      <c r="Q619" s="363"/>
      <c r="R619" s="363"/>
      <c r="S619" s="363"/>
      <c r="T619" s="363"/>
      <c r="U619" s="363"/>
      <c r="V619" s="363"/>
      <c r="W619" s="363"/>
      <c r="X619" s="363"/>
      <c r="Y619" s="363"/>
      <c r="Z619" s="363"/>
      <c r="AA619" s="363"/>
      <c r="AB619" s="363"/>
      <c r="AC619" s="363"/>
      <c r="AD619" s="363"/>
      <c r="AE619" s="363"/>
      <c r="AF619" s="363"/>
      <c r="AG619" s="363"/>
      <c r="AH619" s="363"/>
      <c r="AI619" s="363"/>
      <c r="AJ619" s="363"/>
      <c r="AK619" s="363"/>
      <c r="AL619" s="363"/>
      <c r="AM619" s="363"/>
    </row>
    <row r="620" spans="2:39" ht="12.75" customHeight="1" x14ac:dyDescent="0.2">
      <c r="B620" s="362"/>
      <c r="C620" s="363"/>
      <c r="D620" s="363"/>
      <c r="E620" s="363"/>
      <c r="F620" s="363"/>
      <c r="G620" s="363"/>
      <c r="H620" s="363"/>
      <c r="I620" s="363"/>
      <c r="J620" s="363"/>
      <c r="K620" s="363"/>
      <c r="L620" s="363"/>
      <c r="M620" s="363"/>
      <c r="N620" s="363"/>
      <c r="O620" s="363"/>
      <c r="P620" s="363"/>
      <c r="Q620" s="363"/>
      <c r="R620" s="363"/>
      <c r="S620" s="363"/>
      <c r="T620" s="363"/>
      <c r="U620" s="363"/>
      <c r="V620" s="363"/>
      <c r="W620" s="363"/>
      <c r="X620" s="363"/>
      <c r="Y620" s="363"/>
      <c r="Z620" s="363"/>
      <c r="AA620" s="363"/>
      <c r="AB620" s="363"/>
      <c r="AC620" s="363"/>
      <c r="AD620" s="363"/>
      <c r="AE620" s="363"/>
      <c r="AF620" s="363"/>
      <c r="AG620" s="363"/>
      <c r="AH620" s="363"/>
      <c r="AI620" s="363"/>
      <c r="AJ620" s="363"/>
      <c r="AK620" s="363"/>
      <c r="AL620" s="363"/>
      <c r="AM620" s="363"/>
    </row>
    <row r="621" spans="2:39" ht="12.75" customHeight="1" x14ac:dyDescent="0.2">
      <c r="B621" s="362"/>
      <c r="C621" s="363"/>
      <c r="D621" s="363"/>
      <c r="E621" s="363"/>
      <c r="F621" s="363"/>
      <c r="G621" s="363"/>
      <c r="H621" s="363"/>
      <c r="I621" s="363"/>
      <c r="J621" s="363"/>
      <c r="K621" s="363"/>
      <c r="L621" s="363"/>
      <c r="M621" s="363"/>
      <c r="N621" s="363"/>
      <c r="O621" s="363"/>
      <c r="P621" s="363"/>
      <c r="Q621" s="363"/>
      <c r="R621" s="363"/>
      <c r="S621" s="363"/>
      <c r="T621" s="363"/>
      <c r="U621" s="363"/>
      <c r="V621" s="363"/>
      <c r="W621" s="363"/>
      <c r="X621" s="363"/>
      <c r="Y621" s="363"/>
      <c r="Z621" s="363"/>
      <c r="AA621" s="363"/>
      <c r="AB621" s="363"/>
      <c r="AC621" s="363"/>
      <c r="AD621" s="363"/>
      <c r="AE621" s="363"/>
      <c r="AF621" s="363"/>
      <c r="AG621" s="363"/>
      <c r="AH621" s="363"/>
      <c r="AI621" s="363"/>
      <c r="AJ621" s="363"/>
      <c r="AK621" s="363"/>
      <c r="AL621" s="363"/>
      <c r="AM621" s="363"/>
    </row>
    <row r="622" spans="2:39" ht="12.75" customHeight="1" x14ac:dyDescent="0.2">
      <c r="B622" s="362"/>
      <c r="C622" s="363"/>
      <c r="D622" s="363"/>
      <c r="E622" s="363"/>
      <c r="F622" s="363"/>
      <c r="G622" s="363"/>
      <c r="H622" s="363"/>
      <c r="I622" s="363"/>
      <c r="J622" s="363"/>
      <c r="K622" s="363"/>
      <c r="L622" s="363"/>
      <c r="M622" s="363"/>
      <c r="N622" s="363"/>
      <c r="O622" s="363"/>
      <c r="P622" s="363"/>
      <c r="Q622" s="363"/>
      <c r="R622" s="363"/>
      <c r="S622" s="363"/>
      <c r="T622" s="363"/>
      <c r="U622" s="363"/>
      <c r="V622" s="363"/>
      <c r="W622" s="363"/>
      <c r="X622" s="363"/>
      <c r="Y622" s="363"/>
      <c r="Z622" s="363"/>
      <c r="AA622" s="363"/>
      <c r="AB622" s="363"/>
      <c r="AC622" s="363"/>
      <c r="AD622" s="363"/>
      <c r="AE622" s="363"/>
      <c r="AF622" s="363"/>
      <c r="AG622" s="363"/>
      <c r="AH622" s="363"/>
      <c r="AI622" s="363"/>
      <c r="AJ622" s="363"/>
      <c r="AK622" s="363"/>
      <c r="AL622" s="363"/>
      <c r="AM622" s="363"/>
    </row>
    <row r="623" spans="2:39" ht="12.75" customHeight="1" x14ac:dyDescent="0.2">
      <c r="B623" s="362"/>
      <c r="C623" s="363"/>
      <c r="D623" s="363"/>
      <c r="E623" s="363"/>
      <c r="F623" s="363"/>
      <c r="G623" s="363"/>
      <c r="H623" s="363"/>
      <c r="I623" s="363"/>
      <c r="J623" s="363"/>
      <c r="K623" s="363"/>
      <c r="L623" s="363"/>
      <c r="M623" s="363"/>
      <c r="N623" s="363"/>
      <c r="O623" s="363"/>
      <c r="P623" s="363"/>
      <c r="Q623" s="363"/>
      <c r="R623" s="363"/>
      <c r="S623" s="363"/>
      <c r="T623" s="363"/>
      <c r="U623" s="363"/>
      <c r="V623" s="363"/>
      <c r="W623" s="363"/>
      <c r="X623" s="363"/>
      <c r="Y623" s="363"/>
      <c r="Z623" s="363"/>
      <c r="AA623" s="363"/>
      <c r="AB623" s="363"/>
      <c r="AC623" s="363"/>
      <c r="AD623" s="363"/>
      <c r="AE623" s="363"/>
      <c r="AF623" s="363"/>
      <c r="AG623" s="363"/>
      <c r="AH623" s="363"/>
      <c r="AI623" s="363"/>
      <c r="AJ623" s="363"/>
      <c r="AK623" s="363"/>
      <c r="AL623" s="363"/>
      <c r="AM623" s="363"/>
    </row>
    <row r="624" spans="2:39" ht="12.75" customHeight="1" x14ac:dyDescent="0.2">
      <c r="B624" s="362"/>
      <c r="C624" s="363"/>
      <c r="D624" s="363"/>
      <c r="E624" s="363"/>
      <c r="F624" s="363"/>
      <c r="G624" s="363"/>
      <c r="H624" s="363"/>
      <c r="I624" s="363"/>
      <c r="J624" s="363"/>
      <c r="K624" s="363"/>
      <c r="L624" s="363"/>
      <c r="M624" s="363"/>
      <c r="N624" s="363"/>
      <c r="O624" s="363"/>
      <c r="P624" s="363"/>
      <c r="Q624" s="363"/>
      <c r="R624" s="363"/>
      <c r="S624" s="363"/>
      <c r="T624" s="363"/>
      <c r="U624" s="363"/>
      <c r="V624" s="363"/>
      <c r="W624" s="363"/>
      <c r="X624" s="363"/>
      <c r="Y624" s="363"/>
      <c r="Z624" s="363"/>
      <c r="AA624" s="363"/>
      <c r="AB624" s="363"/>
      <c r="AC624" s="363"/>
      <c r="AD624" s="363"/>
      <c r="AE624" s="363"/>
      <c r="AF624" s="363"/>
      <c r="AG624" s="363"/>
      <c r="AH624" s="363"/>
      <c r="AI624" s="363"/>
      <c r="AJ624" s="363"/>
      <c r="AK624" s="363"/>
      <c r="AL624" s="363"/>
      <c r="AM624" s="363"/>
    </row>
    <row r="625" spans="2:39" ht="12.75" customHeight="1" x14ac:dyDescent="0.2">
      <c r="B625" s="362"/>
      <c r="C625" s="363"/>
      <c r="D625" s="363"/>
      <c r="E625" s="363"/>
      <c r="F625" s="363"/>
      <c r="G625" s="363"/>
      <c r="H625" s="363"/>
      <c r="I625" s="363"/>
      <c r="J625" s="363"/>
      <c r="K625" s="363"/>
      <c r="L625" s="363"/>
      <c r="M625" s="363"/>
      <c r="N625" s="363"/>
      <c r="O625" s="363"/>
      <c r="P625" s="363"/>
      <c r="Q625" s="363"/>
      <c r="R625" s="363"/>
      <c r="S625" s="363"/>
      <c r="T625" s="363"/>
      <c r="U625" s="363"/>
      <c r="V625" s="363"/>
      <c r="W625" s="363"/>
      <c r="X625" s="363"/>
      <c r="Y625" s="363"/>
      <c r="Z625" s="363"/>
      <c r="AA625" s="363"/>
      <c r="AB625" s="363"/>
      <c r="AC625" s="363"/>
      <c r="AD625" s="363"/>
      <c r="AE625" s="363"/>
      <c r="AF625" s="363"/>
      <c r="AG625" s="363"/>
      <c r="AH625" s="363"/>
      <c r="AI625" s="363"/>
      <c r="AJ625" s="363"/>
      <c r="AK625" s="363"/>
      <c r="AL625" s="363"/>
      <c r="AM625" s="363"/>
    </row>
    <row r="626" spans="2:39" ht="12.75" customHeight="1" x14ac:dyDescent="0.2">
      <c r="B626" s="362"/>
      <c r="C626" s="363"/>
      <c r="D626" s="363"/>
      <c r="E626" s="363"/>
      <c r="F626" s="363"/>
      <c r="G626" s="363"/>
      <c r="H626" s="363"/>
      <c r="I626" s="363"/>
      <c r="J626" s="363"/>
      <c r="K626" s="363"/>
      <c r="L626" s="363"/>
      <c r="M626" s="363"/>
      <c r="N626" s="363"/>
      <c r="O626" s="363"/>
      <c r="P626" s="363"/>
      <c r="Q626" s="363"/>
      <c r="R626" s="363"/>
      <c r="S626" s="363"/>
      <c r="T626" s="363"/>
      <c r="U626" s="363"/>
      <c r="V626" s="363"/>
      <c r="W626" s="363"/>
      <c r="X626" s="363"/>
      <c r="Y626" s="363"/>
      <c r="Z626" s="363"/>
      <c r="AA626" s="363"/>
      <c r="AB626" s="363"/>
      <c r="AC626" s="363"/>
      <c r="AD626" s="363"/>
      <c r="AE626" s="363"/>
      <c r="AF626" s="363"/>
      <c r="AG626" s="363"/>
      <c r="AH626" s="363"/>
      <c r="AI626" s="363"/>
      <c r="AJ626" s="363"/>
      <c r="AK626" s="363"/>
      <c r="AL626" s="363"/>
      <c r="AM626" s="363"/>
    </row>
    <row r="627" spans="2:39" ht="12.75" customHeight="1" x14ac:dyDescent="0.2">
      <c r="B627" s="362"/>
      <c r="C627" s="363"/>
      <c r="D627" s="363"/>
      <c r="E627" s="363"/>
      <c r="F627" s="363"/>
      <c r="G627" s="363"/>
      <c r="H627" s="363"/>
      <c r="I627" s="363"/>
      <c r="J627" s="363"/>
      <c r="K627" s="363"/>
      <c r="L627" s="363"/>
      <c r="M627" s="363"/>
      <c r="N627" s="363"/>
      <c r="O627" s="363"/>
      <c r="P627" s="363"/>
      <c r="Q627" s="363"/>
      <c r="R627" s="363"/>
      <c r="S627" s="363"/>
      <c r="T627" s="363"/>
      <c r="U627" s="363"/>
      <c r="V627" s="363"/>
      <c r="W627" s="363"/>
      <c r="X627" s="363"/>
      <c r="Y627" s="363"/>
      <c r="Z627" s="363"/>
      <c r="AA627" s="363"/>
      <c r="AB627" s="363"/>
      <c r="AC627" s="363"/>
      <c r="AD627" s="363"/>
      <c r="AE627" s="363"/>
      <c r="AF627" s="363"/>
      <c r="AG627" s="363"/>
      <c r="AH627" s="363"/>
      <c r="AI627" s="363"/>
      <c r="AJ627" s="363"/>
      <c r="AK627" s="363"/>
      <c r="AL627" s="363"/>
      <c r="AM627" s="363"/>
    </row>
    <row r="628" spans="2:39" ht="12.75" customHeight="1" x14ac:dyDescent="0.2">
      <c r="B628" s="362"/>
      <c r="C628" s="363"/>
      <c r="D628" s="363"/>
      <c r="E628" s="363"/>
      <c r="F628" s="363"/>
      <c r="G628" s="363"/>
      <c r="H628" s="363"/>
      <c r="I628" s="363"/>
      <c r="J628" s="363"/>
      <c r="K628" s="363"/>
      <c r="L628" s="363"/>
      <c r="M628" s="363"/>
      <c r="N628" s="363"/>
      <c r="O628" s="363"/>
      <c r="P628" s="363"/>
      <c r="Q628" s="363"/>
      <c r="R628" s="363"/>
      <c r="S628" s="363"/>
      <c r="T628" s="363"/>
      <c r="U628" s="363"/>
      <c r="V628" s="363"/>
      <c r="W628" s="363"/>
      <c r="X628" s="363"/>
      <c r="Y628" s="363"/>
      <c r="Z628" s="363"/>
      <c r="AA628" s="363"/>
      <c r="AB628" s="363"/>
      <c r="AC628" s="363"/>
      <c r="AD628" s="363"/>
      <c r="AE628" s="363"/>
      <c r="AF628" s="363"/>
      <c r="AG628" s="363"/>
      <c r="AH628" s="363"/>
      <c r="AI628" s="363"/>
      <c r="AJ628" s="363"/>
      <c r="AK628" s="363"/>
      <c r="AL628" s="363"/>
      <c r="AM628" s="363"/>
    </row>
    <row r="629" spans="2:39" ht="12.75" customHeight="1" x14ac:dyDescent="0.2">
      <c r="B629" s="362"/>
      <c r="C629" s="363"/>
      <c r="D629" s="363"/>
      <c r="E629" s="363"/>
      <c r="F629" s="363"/>
      <c r="G629" s="363"/>
      <c r="H629" s="363"/>
      <c r="I629" s="363"/>
      <c r="J629" s="363"/>
      <c r="K629" s="363"/>
      <c r="L629" s="363"/>
      <c r="M629" s="363"/>
      <c r="N629" s="363"/>
      <c r="O629" s="363"/>
      <c r="P629" s="363"/>
      <c r="Q629" s="363"/>
      <c r="R629" s="363"/>
      <c r="S629" s="363"/>
      <c r="T629" s="363"/>
      <c r="U629" s="363"/>
      <c r="V629" s="363"/>
      <c r="W629" s="363"/>
      <c r="X629" s="363"/>
      <c r="Y629" s="363"/>
      <c r="Z629" s="363"/>
      <c r="AA629" s="363"/>
      <c r="AB629" s="363"/>
      <c r="AC629" s="363"/>
      <c r="AD629" s="363"/>
      <c r="AE629" s="363"/>
      <c r="AF629" s="363"/>
      <c r="AG629" s="363"/>
      <c r="AH629" s="363"/>
      <c r="AI629" s="363"/>
      <c r="AJ629" s="363"/>
      <c r="AK629" s="363"/>
      <c r="AL629" s="363"/>
      <c r="AM629" s="363"/>
    </row>
    <row r="630" spans="2:39" ht="12.75" customHeight="1" x14ac:dyDescent="0.2">
      <c r="B630" s="362"/>
      <c r="C630" s="363"/>
      <c r="D630" s="363"/>
      <c r="E630" s="363"/>
      <c r="F630" s="363"/>
      <c r="G630" s="363"/>
      <c r="H630" s="363"/>
      <c r="I630" s="363"/>
      <c r="J630" s="363"/>
      <c r="K630" s="363"/>
      <c r="L630" s="363"/>
      <c r="M630" s="363"/>
      <c r="N630" s="363"/>
      <c r="O630" s="363"/>
      <c r="P630" s="363"/>
      <c r="Q630" s="363"/>
      <c r="R630" s="363"/>
      <c r="S630" s="363"/>
      <c r="T630" s="363"/>
      <c r="U630" s="363"/>
      <c r="V630" s="363"/>
      <c r="W630" s="363"/>
      <c r="X630" s="363"/>
      <c r="Y630" s="363"/>
      <c r="Z630" s="363"/>
      <c r="AA630" s="363"/>
      <c r="AB630" s="363"/>
      <c r="AC630" s="363"/>
      <c r="AD630" s="363"/>
      <c r="AE630" s="363"/>
      <c r="AF630" s="363"/>
      <c r="AG630" s="363"/>
      <c r="AH630" s="363"/>
      <c r="AI630" s="363"/>
      <c r="AJ630" s="363"/>
      <c r="AK630" s="363"/>
      <c r="AL630" s="363"/>
      <c r="AM630" s="363"/>
    </row>
    <row r="631" spans="2:39" ht="12.75" customHeight="1" x14ac:dyDescent="0.2">
      <c r="B631" s="362"/>
      <c r="C631" s="363"/>
      <c r="D631" s="363"/>
      <c r="E631" s="363"/>
      <c r="F631" s="363"/>
      <c r="G631" s="363"/>
      <c r="H631" s="363"/>
      <c r="I631" s="363"/>
      <c r="J631" s="363"/>
      <c r="K631" s="363"/>
      <c r="L631" s="363"/>
      <c r="M631" s="363"/>
      <c r="N631" s="363"/>
      <c r="O631" s="363"/>
      <c r="P631" s="363"/>
      <c r="Q631" s="363"/>
      <c r="R631" s="363"/>
      <c r="S631" s="363"/>
      <c r="T631" s="363"/>
      <c r="U631" s="363"/>
      <c r="V631" s="363"/>
      <c r="W631" s="363"/>
      <c r="X631" s="363"/>
      <c r="Y631" s="363"/>
      <c r="Z631" s="363"/>
      <c r="AA631" s="363"/>
      <c r="AB631" s="363"/>
      <c r="AC631" s="363"/>
      <c r="AD631" s="363"/>
      <c r="AE631" s="363"/>
      <c r="AF631" s="363"/>
      <c r="AG631" s="363"/>
      <c r="AH631" s="363"/>
      <c r="AI631" s="363"/>
      <c r="AJ631" s="363"/>
      <c r="AK631" s="363"/>
      <c r="AL631" s="363"/>
      <c r="AM631" s="363"/>
    </row>
    <row r="632" spans="2:39" ht="12.75" customHeight="1" x14ac:dyDescent="0.2">
      <c r="B632" s="362"/>
      <c r="C632" s="363"/>
      <c r="D632" s="363"/>
      <c r="E632" s="363"/>
      <c r="F632" s="363"/>
      <c r="G632" s="363"/>
      <c r="H632" s="363"/>
      <c r="I632" s="363"/>
      <c r="J632" s="363"/>
      <c r="K632" s="363"/>
      <c r="L632" s="363"/>
      <c r="M632" s="363"/>
      <c r="N632" s="363"/>
      <c r="O632" s="363"/>
      <c r="P632" s="363"/>
      <c r="Q632" s="363"/>
      <c r="R632" s="363"/>
      <c r="S632" s="363"/>
      <c r="T632" s="363"/>
      <c r="U632" s="363"/>
      <c r="V632" s="363"/>
      <c r="W632" s="363"/>
      <c r="X632" s="363"/>
      <c r="Y632" s="363"/>
      <c r="Z632" s="363"/>
      <c r="AA632" s="363"/>
      <c r="AB632" s="363"/>
      <c r="AC632" s="363"/>
      <c r="AD632" s="363"/>
      <c r="AE632" s="363"/>
      <c r="AF632" s="363"/>
      <c r="AG632" s="363"/>
      <c r="AH632" s="363"/>
      <c r="AI632" s="363"/>
      <c r="AJ632" s="363"/>
      <c r="AK632" s="363"/>
      <c r="AL632" s="363"/>
      <c r="AM632" s="363"/>
    </row>
    <row r="633" spans="2:39" ht="12.75" customHeight="1" x14ac:dyDescent="0.2">
      <c r="B633" s="362"/>
      <c r="C633" s="363"/>
      <c r="D633" s="363"/>
      <c r="E633" s="363"/>
      <c r="F633" s="363"/>
      <c r="G633" s="363"/>
      <c r="H633" s="363"/>
      <c r="I633" s="363"/>
      <c r="J633" s="363"/>
      <c r="K633" s="363"/>
      <c r="L633" s="363"/>
      <c r="M633" s="363"/>
      <c r="N633" s="363"/>
      <c r="O633" s="363"/>
      <c r="P633" s="363"/>
      <c r="Q633" s="363"/>
      <c r="R633" s="363"/>
      <c r="S633" s="363"/>
      <c r="T633" s="363"/>
      <c r="U633" s="363"/>
      <c r="V633" s="363"/>
      <c r="W633" s="363"/>
      <c r="X633" s="363"/>
      <c r="Y633" s="363"/>
      <c r="Z633" s="363"/>
      <c r="AA633" s="363"/>
      <c r="AB633" s="363"/>
      <c r="AC633" s="363"/>
      <c r="AD633" s="363"/>
      <c r="AE633" s="363"/>
      <c r="AF633" s="363"/>
      <c r="AG633" s="363"/>
      <c r="AH633" s="363"/>
      <c r="AI633" s="363"/>
      <c r="AJ633" s="363"/>
      <c r="AK633" s="363"/>
      <c r="AL633" s="363"/>
      <c r="AM633" s="363"/>
    </row>
    <row r="634" spans="2:39" ht="12.75" customHeight="1" x14ac:dyDescent="0.2">
      <c r="B634" s="362"/>
      <c r="C634" s="363"/>
      <c r="D634" s="363"/>
      <c r="E634" s="363"/>
      <c r="F634" s="363"/>
      <c r="G634" s="363"/>
      <c r="H634" s="363"/>
      <c r="I634" s="363"/>
      <c r="J634" s="363"/>
      <c r="K634" s="363"/>
      <c r="L634" s="363"/>
      <c r="M634" s="363"/>
      <c r="N634" s="363"/>
      <c r="O634" s="363"/>
      <c r="P634" s="363"/>
      <c r="Q634" s="363"/>
      <c r="R634" s="363"/>
      <c r="S634" s="363"/>
      <c r="T634" s="363"/>
      <c r="U634" s="363"/>
      <c r="V634" s="363"/>
      <c r="W634" s="363"/>
      <c r="X634" s="363"/>
      <c r="Y634" s="363"/>
      <c r="Z634" s="363"/>
      <c r="AA634" s="363"/>
      <c r="AB634" s="363"/>
      <c r="AC634" s="363"/>
      <c r="AD634" s="363"/>
      <c r="AE634" s="363"/>
      <c r="AF634" s="363"/>
      <c r="AG634" s="363"/>
      <c r="AH634" s="363"/>
      <c r="AI634" s="363"/>
      <c r="AJ634" s="363"/>
      <c r="AK634" s="363"/>
      <c r="AL634" s="363"/>
      <c r="AM634" s="363"/>
    </row>
    <row r="635" spans="2:39" ht="12.75" customHeight="1" x14ac:dyDescent="0.2">
      <c r="B635" s="362"/>
      <c r="C635" s="363"/>
      <c r="D635" s="363"/>
      <c r="E635" s="363"/>
      <c r="F635" s="363"/>
      <c r="G635" s="363"/>
      <c r="H635" s="363"/>
      <c r="I635" s="363"/>
      <c r="J635" s="363"/>
      <c r="K635" s="363"/>
      <c r="L635" s="363"/>
      <c r="M635" s="363"/>
      <c r="N635" s="363"/>
      <c r="O635" s="363"/>
      <c r="P635" s="363"/>
      <c r="Q635" s="363"/>
      <c r="R635" s="363"/>
      <c r="S635" s="363"/>
      <c r="T635" s="363"/>
      <c r="U635" s="363"/>
      <c r="V635" s="363"/>
      <c r="W635" s="363"/>
      <c r="X635" s="363"/>
      <c r="Y635" s="363"/>
      <c r="Z635" s="363"/>
      <c r="AA635" s="363"/>
      <c r="AB635" s="363"/>
      <c r="AC635" s="363"/>
      <c r="AD635" s="363"/>
      <c r="AE635" s="363"/>
      <c r="AF635" s="363"/>
      <c r="AG635" s="363"/>
      <c r="AH635" s="363"/>
      <c r="AI635" s="363"/>
      <c r="AJ635" s="363"/>
      <c r="AK635" s="363"/>
      <c r="AL635" s="363"/>
      <c r="AM635" s="363"/>
    </row>
    <row r="636" spans="2:39" ht="12.75" customHeight="1" x14ac:dyDescent="0.2">
      <c r="B636" s="362"/>
      <c r="C636" s="363"/>
      <c r="D636" s="363"/>
      <c r="E636" s="363"/>
      <c r="F636" s="363"/>
      <c r="G636" s="363"/>
      <c r="H636" s="363"/>
      <c r="I636" s="363"/>
      <c r="J636" s="363"/>
      <c r="K636" s="363"/>
      <c r="L636" s="363"/>
      <c r="M636" s="363"/>
      <c r="N636" s="363"/>
      <c r="O636" s="363"/>
      <c r="P636" s="363"/>
      <c r="Q636" s="363"/>
      <c r="R636" s="363"/>
      <c r="S636" s="363"/>
      <c r="T636" s="363"/>
      <c r="U636" s="363"/>
      <c r="V636" s="363"/>
      <c r="W636" s="363"/>
      <c r="X636" s="363"/>
      <c r="Y636" s="363"/>
      <c r="Z636" s="363"/>
      <c r="AA636" s="363"/>
      <c r="AB636" s="363"/>
      <c r="AC636" s="363"/>
      <c r="AD636" s="363"/>
      <c r="AE636" s="363"/>
      <c r="AF636" s="363"/>
      <c r="AG636" s="363"/>
      <c r="AH636" s="363"/>
      <c r="AI636" s="363"/>
      <c r="AJ636" s="363"/>
      <c r="AK636" s="363"/>
      <c r="AL636" s="363"/>
      <c r="AM636" s="363"/>
    </row>
    <row r="637" spans="2:39" ht="12.75" customHeight="1" x14ac:dyDescent="0.2">
      <c r="B637" s="362"/>
      <c r="C637" s="363"/>
      <c r="D637" s="363"/>
      <c r="E637" s="363"/>
      <c r="F637" s="363"/>
      <c r="G637" s="363"/>
      <c r="H637" s="363"/>
      <c r="I637" s="363"/>
      <c r="J637" s="363"/>
      <c r="K637" s="363"/>
      <c r="L637" s="363"/>
      <c r="M637" s="363"/>
      <c r="N637" s="363"/>
      <c r="O637" s="363"/>
      <c r="P637" s="363"/>
      <c r="Q637" s="363"/>
      <c r="R637" s="363"/>
      <c r="S637" s="363"/>
      <c r="T637" s="363"/>
      <c r="U637" s="363"/>
      <c r="V637" s="363"/>
      <c r="W637" s="363"/>
      <c r="X637" s="363"/>
      <c r="Y637" s="363"/>
      <c r="Z637" s="363"/>
      <c r="AA637" s="363"/>
      <c r="AB637" s="363"/>
      <c r="AC637" s="363"/>
      <c r="AD637" s="363"/>
      <c r="AE637" s="363"/>
      <c r="AF637" s="363"/>
      <c r="AG637" s="363"/>
      <c r="AH637" s="363"/>
      <c r="AI637" s="363"/>
      <c r="AJ637" s="363"/>
      <c r="AK637" s="363"/>
      <c r="AL637" s="363"/>
      <c r="AM637" s="363"/>
    </row>
    <row r="638" spans="2:39" ht="12.75" customHeight="1" x14ac:dyDescent="0.2">
      <c r="B638" s="362"/>
      <c r="C638" s="363"/>
      <c r="D638" s="363"/>
      <c r="E638" s="363"/>
      <c r="F638" s="363"/>
      <c r="G638" s="363"/>
      <c r="H638" s="363"/>
      <c r="I638" s="363"/>
      <c r="J638" s="363"/>
      <c r="K638" s="363"/>
      <c r="L638" s="363"/>
      <c r="M638" s="363"/>
      <c r="N638" s="363"/>
      <c r="O638" s="363"/>
      <c r="P638" s="363"/>
      <c r="Q638" s="363"/>
      <c r="R638" s="363"/>
      <c r="S638" s="363"/>
      <c r="T638" s="363"/>
      <c r="U638" s="363"/>
      <c r="V638" s="363"/>
      <c r="W638" s="363"/>
      <c r="X638" s="363"/>
      <c r="Y638" s="363"/>
      <c r="Z638" s="363"/>
      <c r="AA638" s="363"/>
      <c r="AB638" s="363"/>
      <c r="AC638" s="363"/>
      <c r="AD638" s="363"/>
      <c r="AE638" s="363"/>
      <c r="AF638" s="363"/>
      <c r="AG638" s="363"/>
      <c r="AH638" s="363"/>
      <c r="AI638" s="363"/>
      <c r="AJ638" s="363"/>
      <c r="AK638" s="363"/>
      <c r="AL638" s="363"/>
      <c r="AM638" s="363"/>
    </row>
    <row r="639" spans="2:39" ht="12.75" customHeight="1" x14ac:dyDescent="0.2">
      <c r="B639" s="362"/>
      <c r="C639" s="363"/>
      <c r="D639" s="363"/>
      <c r="E639" s="363"/>
      <c r="F639" s="363"/>
      <c r="G639" s="363"/>
      <c r="H639" s="363"/>
      <c r="I639" s="363"/>
      <c r="J639" s="363"/>
      <c r="K639" s="363"/>
      <c r="L639" s="363"/>
      <c r="M639" s="363"/>
      <c r="N639" s="363"/>
      <c r="O639" s="363"/>
      <c r="P639" s="363"/>
      <c r="Q639" s="363"/>
      <c r="R639" s="363"/>
      <c r="S639" s="363"/>
      <c r="T639" s="363"/>
      <c r="U639" s="363"/>
      <c r="V639" s="363"/>
      <c r="W639" s="363"/>
      <c r="X639" s="363"/>
      <c r="Y639" s="363"/>
      <c r="Z639" s="363"/>
      <c r="AA639" s="363"/>
      <c r="AB639" s="363"/>
      <c r="AC639" s="363"/>
      <c r="AD639" s="363"/>
      <c r="AE639" s="363"/>
      <c r="AF639" s="363"/>
      <c r="AG639" s="363"/>
      <c r="AH639" s="363"/>
      <c r="AI639" s="363"/>
      <c r="AJ639" s="363"/>
      <c r="AK639" s="363"/>
      <c r="AL639" s="363"/>
      <c r="AM639" s="363"/>
    </row>
    <row r="640" spans="2:39" ht="12.75" customHeight="1" x14ac:dyDescent="0.2">
      <c r="B640" s="362"/>
      <c r="C640" s="363"/>
      <c r="D640" s="363"/>
      <c r="E640" s="363"/>
      <c r="F640" s="363"/>
      <c r="G640" s="363"/>
      <c r="H640" s="363"/>
      <c r="I640" s="363"/>
      <c r="J640" s="363"/>
      <c r="K640" s="363"/>
      <c r="L640" s="363"/>
      <c r="M640" s="363"/>
      <c r="N640" s="363"/>
      <c r="O640" s="363"/>
      <c r="P640" s="363"/>
      <c r="Q640" s="363"/>
      <c r="R640" s="363"/>
      <c r="S640" s="363"/>
      <c r="T640" s="363"/>
      <c r="U640" s="363"/>
      <c r="V640" s="363"/>
      <c r="W640" s="363"/>
      <c r="X640" s="363"/>
      <c r="Y640" s="363"/>
      <c r="Z640" s="363"/>
      <c r="AA640" s="363"/>
      <c r="AB640" s="363"/>
      <c r="AC640" s="363"/>
      <c r="AD640" s="363"/>
      <c r="AE640" s="363"/>
      <c r="AF640" s="363"/>
      <c r="AG640" s="363"/>
      <c r="AH640" s="363"/>
      <c r="AI640" s="363"/>
      <c r="AJ640" s="363"/>
      <c r="AK640" s="363"/>
      <c r="AL640" s="363"/>
      <c r="AM640" s="363"/>
    </row>
    <row r="641" spans="2:39" ht="12.75" customHeight="1" x14ac:dyDescent="0.2">
      <c r="B641" s="362"/>
      <c r="C641" s="363"/>
      <c r="D641" s="363"/>
      <c r="E641" s="363"/>
      <c r="F641" s="363"/>
      <c r="G641" s="363"/>
      <c r="H641" s="363"/>
      <c r="I641" s="363"/>
      <c r="J641" s="363"/>
      <c r="K641" s="363"/>
      <c r="L641" s="363"/>
      <c r="M641" s="363"/>
      <c r="N641" s="363"/>
      <c r="O641" s="363"/>
      <c r="P641" s="363"/>
      <c r="Q641" s="363"/>
      <c r="R641" s="363"/>
      <c r="S641" s="363"/>
      <c r="T641" s="363"/>
      <c r="U641" s="363"/>
      <c r="V641" s="363"/>
      <c r="W641" s="363"/>
      <c r="X641" s="363"/>
      <c r="Y641" s="363"/>
      <c r="Z641" s="363"/>
      <c r="AA641" s="363"/>
      <c r="AB641" s="363"/>
      <c r="AC641" s="363"/>
      <c r="AD641" s="363"/>
      <c r="AE641" s="363"/>
      <c r="AF641" s="363"/>
      <c r="AG641" s="363"/>
      <c r="AH641" s="363"/>
      <c r="AI641" s="363"/>
      <c r="AJ641" s="363"/>
      <c r="AK641" s="363"/>
      <c r="AL641" s="363"/>
      <c r="AM641" s="363"/>
    </row>
    <row r="642" spans="2:39" ht="12.75" customHeight="1" x14ac:dyDescent="0.2">
      <c r="B642" s="362"/>
      <c r="C642" s="363"/>
      <c r="D642" s="363"/>
      <c r="E642" s="363"/>
      <c r="F642" s="363"/>
      <c r="G642" s="363"/>
      <c r="H642" s="363"/>
      <c r="I642" s="363"/>
      <c r="J642" s="363"/>
      <c r="K642" s="363"/>
      <c r="L642" s="363"/>
      <c r="M642" s="363"/>
      <c r="N642" s="363"/>
      <c r="O642" s="363"/>
      <c r="P642" s="363"/>
      <c r="Q642" s="363"/>
      <c r="R642" s="363"/>
      <c r="S642" s="363"/>
      <c r="T642" s="363"/>
      <c r="U642" s="363"/>
      <c r="V642" s="363"/>
      <c r="W642" s="363"/>
      <c r="X642" s="363"/>
      <c r="Y642" s="363"/>
      <c r="Z642" s="363"/>
      <c r="AA642" s="363"/>
      <c r="AB642" s="363"/>
      <c r="AC642" s="363"/>
      <c r="AD642" s="363"/>
      <c r="AE642" s="363"/>
      <c r="AF642" s="363"/>
      <c r="AG642" s="363"/>
      <c r="AH642" s="363"/>
      <c r="AI642" s="363"/>
      <c r="AJ642" s="363"/>
      <c r="AK642" s="363"/>
      <c r="AL642" s="363"/>
      <c r="AM642" s="363"/>
    </row>
    <row r="643" spans="2:39" ht="12.75" customHeight="1" x14ac:dyDescent="0.2">
      <c r="B643" s="362"/>
      <c r="C643" s="363"/>
      <c r="D643" s="363"/>
      <c r="E643" s="363"/>
      <c r="F643" s="363"/>
      <c r="G643" s="363"/>
      <c r="H643" s="363"/>
      <c r="I643" s="363"/>
      <c r="J643" s="363"/>
      <c r="K643" s="363"/>
      <c r="L643" s="363"/>
      <c r="M643" s="363"/>
      <c r="N643" s="363"/>
      <c r="O643" s="363"/>
      <c r="P643" s="363"/>
      <c r="Q643" s="363"/>
      <c r="R643" s="363"/>
      <c r="S643" s="363"/>
      <c r="T643" s="363"/>
      <c r="U643" s="363"/>
      <c r="V643" s="363"/>
      <c r="W643" s="363"/>
      <c r="X643" s="363"/>
      <c r="Y643" s="363"/>
      <c r="Z643" s="363"/>
      <c r="AA643" s="363"/>
      <c r="AB643" s="363"/>
      <c r="AC643" s="363"/>
      <c r="AD643" s="363"/>
      <c r="AE643" s="363"/>
      <c r="AF643" s="363"/>
      <c r="AG643" s="363"/>
      <c r="AH643" s="363"/>
      <c r="AI643" s="363"/>
      <c r="AJ643" s="363"/>
      <c r="AK643" s="363"/>
      <c r="AL643" s="363"/>
      <c r="AM643" s="363"/>
    </row>
    <row r="644" spans="2:39" ht="12.75" customHeight="1" x14ac:dyDescent="0.2">
      <c r="B644" s="362"/>
      <c r="C644" s="363"/>
      <c r="D644" s="363"/>
      <c r="E644" s="363"/>
      <c r="F644" s="363"/>
      <c r="G644" s="363"/>
      <c r="H644" s="363"/>
      <c r="I644" s="363"/>
      <c r="J644" s="363"/>
      <c r="K644" s="363"/>
      <c r="L644" s="363"/>
      <c r="M644" s="363"/>
      <c r="N644" s="363"/>
      <c r="O644" s="363"/>
      <c r="P644" s="363"/>
      <c r="Q644" s="363"/>
      <c r="R644" s="363"/>
      <c r="S644" s="363"/>
      <c r="T644" s="363"/>
      <c r="U644" s="363"/>
      <c r="V644" s="363"/>
      <c r="W644" s="363"/>
      <c r="X644" s="363"/>
      <c r="Y644" s="363"/>
      <c r="Z644" s="363"/>
      <c r="AA644" s="363"/>
      <c r="AB644" s="363"/>
      <c r="AC644" s="363"/>
      <c r="AD644" s="363"/>
      <c r="AE644" s="363"/>
      <c r="AF644" s="363"/>
      <c r="AG644" s="363"/>
      <c r="AH644" s="363"/>
      <c r="AI644" s="363"/>
      <c r="AJ644" s="363"/>
      <c r="AK644" s="363"/>
      <c r="AL644" s="363"/>
      <c r="AM644" s="363"/>
    </row>
    <row r="645" spans="2:39" ht="12.75" customHeight="1" x14ac:dyDescent="0.2">
      <c r="B645" s="362"/>
      <c r="C645" s="363"/>
      <c r="D645" s="363"/>
      <c r="E645" s="363"/>
      <c r="F645" s="363"/>
      <c r="G645" s="363"/>
      <c r="H645" s="363"/>
      <c r="I645" s="363"/>
      <c r="J645" s="363"/>
      <c r="K645" s="363"/>
      <c r="L645" s="363"/>
      <c r="M645" s="363"/>
      <c r="N645" s="363"/>
      <c r="O645" s="363"/>
      <c r="P645" s="363"/>
      <c r="Q645" s="363"/>
      <c r="R645" s="363"/>
      <c r="S645" s="363"/>
      <c r="T645" s="363"/>
      <c r="U645" s="363"/>
      <c r="V645" s="363"/>
      <c r="W645" s="363"/>
      <c r="X645" s="363"/>
      <c r="Y645" s="363"/>
      <c r="Z645" s="363"/>
      <c r="AA645" s="363"/>
      <c r="AB645" s="363"/>
      <c r="AC645" s="363"/>
      <c r="AD645" s="363"/>
      <c r="AE645" s="363"/>
      <c r="AF645" s="363"/>
      <c r="AG645" s="363"/>
      <c r="AH645" s="363"/>
      <c r="AI645" s="363"/>
      <c r="AJ645" s="363"/>
      <c r="AK645" s="363"/>
      <c r="AL645" s="363"/>
      <c r="AM645" s="363"/>
    </row>
    <row r="646" spans="2:39" ht="12.75" customHeight="1" x14ac:dyDescent="0.2">
      <c r="B646" s="362"/>
      <c r="C646" s="363"/>
      <c r="D646" s="363"/>
      <c r="E646" s="363"/>
      <c r="F646" s="363"/>
      <c r="G646" s="363"/>
      <c r="H646" s="363"/>
      <c r="I646" s="363"/>
      <c r="J646" s="363"/>
      <c r="K646" s="363"/>
      <c r="L646" s="363"/>
      <c r="M646" s="363"/>
      <c r="N646" s="363"/>
      <c r="O646" s="363"/>
      <c r="P646" s="363"/>
      <c r="Q646" s="363"/>
      <c r="R646" s="363"/>
      <c r="S646" s="363"/>
      <c r="T646" s="363"/>
      <c r="U646" s="363"/>
      <c r="V646" s="363"/>
      <c r="W646" s="363"/>
      <c r="X646" s="363"/>
      <c r="Y646" s="363"/>
      <c r="Z646" s="363"/>
      <c r="AA646" s="363"/>
      <c r="AB646" s="363"/>
      <c r="AC646" s="363"/>
      <c r="AD646" s="363"/>
      <c r="AE646" s="363"/>
      <c r="AF646" s="363"/>
      <c r="AG646" s="363"/>
      <c r="AH646" s="363"/>
      <c r="AI646" s="363"/>
      <c r="AJ646" s="363"/>
      <c r="AK646" s="363"/>
      <c r="AL646" s="363"/>
      <c r="AM646" s="363"/>
    </row>
    <row r="647" spans="2:39" ht="12.75" customHeight="1" x14ac:dyDescent="0.2">
      <c r="B647" s="362"/>
      <c r="C647" s="363"/>
      <c r="D647" s="363"/>
      <c r="E647" s="363"/>
      <c r="F647" s="363"/>
      <c r="G647" s="363"/>
      <c r="H647" s="363"/>
      <c r="I647" s="363"/>
      <c r="J647" s="363"/>
      <c r="K647" s="363"/>
      <c r="L647" s="363"/>
      <c r="M647" s="363"/>
      <c r="N647" s="363"/>
      <c r="O647" s="363"/>
      <c r="P647" s="363"/>
      <c r="Q647" s="363"/>
      <c r="R647" s="363"/>
      <c r="S647" s="363"/>
      <c r="T647" s="363"/>
      <c r="U647" s="363"/>
      <c r="V647" s="363"/>
      <c r="W647" s="363"/>
      <c r="X647" s="363"/>
      <c r="Y647" s="363"/>
      <c r="Z647" s="363"/>
      <c r="AA647" s="363"/>
      <c r="AB647" s="363"/>
      <c r="AC647" s="363"/>
      <c r="AD647" s="363"/>
      <c r="AE647" s="363"/>
      <c r="AF647" s="363"/>
      <c r="AG647" s="363"/>
      <c r="AH647" s="363"/>
      <c r="AI647" s="363"/>
      <c r="AJ647" s="363"/>
      <c r="AK647" s="363"/>
      <c r="AL647" s="363"/>
      <c r="AM647" s="363"/>
    </row>
    <row r="648" spans="2:39" ht="12.75" customHeight="1" x14ac:dyDescent="0.2">
      <c r="B648" s="362"/>
      <c r="C648" s="363"/>
      <c r="D648" s="363"/>
      <c r="E648" s="363"/>
      <c r="F648" s="363"/>
      <c r="G648" s="363"/>
      <c r="H648" s="363"/>
      <c r="I648" s="363"/>
      <c r="J648" s="363"/>
      <c r="K648" s="363"/>
      <c r="L648" s="363"/>
      <c r="M648" s="363"/>
      <c r="N648" s="363"/>
      <c r="O648" s="363"/>
      <c r="P648" s="363"/>
      <c r="Q648" s="363"/>
      <c r="R648" s="363"/>
      <c r="S648" s="363"/>
      <c r="T648" s="363"/>
      <c r="U648" s="363"/>
      <c r="V648" s="363"/>
      <c r="W648" s="363"/>
      <c r="X648" s="363"/>
      <c r="Y648" s="363"/>
      <c r="Z648" s="363"/>
      <c r="AA648" s="363"/>
      <c r="AB648" s="363"/>
      <c r="AC648" s="363"/>
      <c r="AD648" s="363"/>
      <c r="AE648" s="363"/>
      <c r="AF648" s="363"/>
      <c r="AG648" s="363"/>
      <c r="AH648" s="363"/>
      <c r="AI648" s="363"/>
      <c r="AJ648" s="363"/>
      <c r="AK648" s="363"/>
      <c r="AL648" s="363"/>
      <c r="AM648" s="363"/>
    </row>
    <row r="649" spans="2:39" ht="12.75" customHeight="1" x14ac:dyDescent="0.2">
      <c r="B649" s="362"/>
      <c r="C649" s="363"/>
      <c r="D649" s="363"/>
      <c r="E649" s="363"/>
      <c r="F649" s="363"/>
      <c r="G649" s="363"/>
      <c r="H649" s="363"/>
      <c r="I649" s="363"/>
      <c r="J649" s="363"/>
      <c r="K649" s="363"/>
      <c r="L649" s="363"/>
      <c r="M649" s="363"/>
      <c r="N649" s="363"/>
      <c r="O649" s="363"/>
      <c r="P649" s="363"/>
      <c r="Q649" s="363"/>
      <c r="R649" s="363"/>
      <c r="S649" s="363"/>
      <c r="T649" s="363"/>
      <c r="U649" s="363"/>
      <c r="V649" s="363"/>
      <c r="W649" s="363"/>
      <c r="X649" s="363"/>
      <c r="Y649" s="363"/>
      <c r="Z649" s="363"/>
      <c r="AA649" s="363"/>
      <c r="AB649" s="363"/>
      <c r="AC649" s="363"/>
      <c r="AD649" s="363"/>
      <c r="AE649" s="363"/>
      <c r="AF649" s="363"/>
      <c r="AG649" s="363"/>
      <c r="AH649" s="363"/>
      <c r="AI649" s="363"/>
      <c r="AJ649" s="363"/>
      <c r="AK649" s="363"/>
      <c r="AL649" s="363"/>
      <c r="AM649" s="363"/>
    </row>
    <row r="650" spans="2:39" ht="12.75" customHeight="1" x14ac:dyDescent="0.2">
      <c r="B650" s="362"/>
      <c r="C650" s="363"/>
      <c r="D650" s="363"/>
      <c r="E650" s="363"/>
      <c r="F650" s="363"/>
      <c r="G650" s="363"/>
      <c r="H650" s="363"/>
      <c r="I650" s="363"/>
      <c r="J650" s="363"/>
      <c r="K650" s="363"/>
      <c r="L650" s="363"/>
      <c r="M650" s="363"/>
      <c r="N650" s="363"/>
      <c r="O650" s="363"/>
      <c r="P650" s="363"/>
      <c r="Q650" s="363"/>
      <c r="R650" s="363"/>
      <c r="S650" s="363"/>
      <c r="T650" s="363"/>
      <c r="U650" s="363"/>
      <c r="V650" s="363"/>
      <c r="W650" s="363"/>
      <c r="X650" s="363"/>
      <c r="Y650" s="363"/>
      <c r="Z650" s="363"/>
      <c r="AA650" s="363"/>
      <c r="AB650" s="363"/>
      <c r="AC650" s="363"/>
      <c r="AD650" s="363"/>
      <c r="AE650" s="363"/>
      <c r="AF650" s="363"/>
      <c r="AG650" s="363"/>
      <c r="AH650" s="363"/>
      <c r="AI650" s="363"/>
      <c r="AJ650" s="363"/>
      <c r="AK650" s="363"/>
      <c r="AL650" s="363"/>
      <c r="AM650" s="363"/>
    </row>
    <row r="651" spans="2:39" ht="12.75" customHeight="1" x14ac:dyDescent="0.2">
      <c r="B651" s="362"/>
      <c r="C651" s="363"/>
      <c r="D651" s="363"/>
      <c r="E651" s="363"/>
      <c r="F651" s="363"/>
      <c r="G651" s="363"/>
      <c r="H651" s="363"/>
      <c r="I651" s="363"/>
      <c r="J651" s="363"/>
      <c r="K651" s="363"/>
      <c r="L651" s="363"/>
      <c r="M651" s="363"/>
      <c r="N651" s="363"/>
      <c r="O651" s="363"/>
      <c r="P651" s="363"/>
      <c r="Q651" s="363"/>
      <c r="R651" s="363"/>
      <c r="S651" s="363"/>
      <c r="T651" s="363"/>
      <c r="U651" s="363"/>
      <c r="V651" s="363"/>
      <c r="W651" s="363"/>
      <c r="X651" s="363"/>
      <c r="Y651" s="363"/>
      <c r="Z651" s="363"/>
      <c r="AA651" s="363"/>
      <c r="AB651" s="363"/>
      <c r="AC651" s="363"/>
      <c r="AD651" s="363"/>
      <c r="AE651" s="363"/>
      <c r="AF651" s="363"/>
      <c r="AG651" s="363"/>
      <c r="AH651" s="363"/>
      <c r="AI651" s="363"/>
      <c r="AJ651" s="363"/>
      <c r="AK651" s="363"/>
      <c r="AL651" s="363"/>
      <c r="AM651" s="363"/>
    </row>
    <row r="652" spans="2:39" ht="12.75" customHeight="1" x14ac:dyDescent="0.2">
      <c r="B652" s="362"/>
      <c r="C652" s="363"/>
      <c r="D652" s="363"/>
      <c r="E652" s="363"/>
      <c r="F652" s="363"/>
      <c r="G652" s="363"/>
      <c r="H652" s="363"/>
      <c r="I652" s="363"/>
      <c r="J652" s="363"/>
      <c r="K652" s="363"/>
      <c r="L652" s="363"/>
      <c r="M652" s="363"/>
      <c r="N652" s="363"/>
      <c r="O652" s="363"/>
      <c r="P652" s="363"/>
      <c r="Q652" s="363"/>
      <c r="R652" s="363"/>
      <c r="S652" s="363"/>
      <c r="T652" s="363"/>
      <c r="U652" s="363"/>
      <c r="V652" s="363"/>
      <c r="W652" s="363"/>
      <c r="X652" s="363"/>
      <c r="Y652" s="363"/>
      <c r="Z652" s="363"/>
      <c r="AA652" s="363"/>
      <c r="AB652" s="363"/>
      <c r="AC652" s="363"/>
      <c r="AD652" s="363"/>
      <c r="AE652" s="363"/>
      <c r="AF652" s="363"/>
      <c r="AG652" s="363"/>
      <c r="AH652" s="363"/>
      <c r="AI652" s="363"/>
      <c r="AJ652" s="363"/>
      <c r="AK652" s="363"/>
      <c r="AL652" s="363"/>
      <c r="AM652" s="363"/>
    </row>
    <row r="653" spans="2:39" ht="12.75" customHeight="1" x14ac:dyDescent="0.2">
      <c r="B653" s="362"/>
      <c r="C653" s="363"/>
      <c r="D653" s="363"/>
      <c r="E653" s="363"/>
      <c r="F653" s="363"/>
      <c r="G653" s="363"/>
      <c r="H653" s="363"/>
      <c r="I653" s="363"/>
      <c r="J653" s="363"/>
      <c r="K653" s="363"/>
      <c r="L653" s="363"/>
      <c r="M653" s="363"/>
      <c r="N653" s="363"/>
      <c r="O653" s="363"/>
      <c r="P653" s="363"/>
      <c r="Q653" s="363"/>
      <c r="R653" s="363"/>
      <c r="S653" s="363"/>
      <c r="T653" s="363"/>
      <c r="U653" s="363"/>
      <c r="V653" s="363"/>
      <c r="W653" s="363"/>
      <c r="X653" s="363"/>
      <c r="Y653" s="363"/>
      <c r="Z653" s="363"/>
      <c r="AA653" s="363"/>
      <c r="AB653" s="363"/>
      <c r="AC653" s="363"/>
      <c r="AD653" s="363"/>
      <c r="AE653" s="363"/>
      <c r="AF653" s="363"/>
      <c r="AG653" s="363"/>
      <c r="AH653" s="363"/>
      <c r="AI653" s="363"/>
      <c r="AJ653" s="363"/>
      <c r="AK653" s="363"/>
      <c r="AL653" s="363"/>
      <c r="AM653" s="363"/>
    </row>
    <row r="654" spans="2:39" ht="12.75" customHeight="1" x14ac:dyDescent="0.2">
      <c r="B654" s="362"/>
      <c r="C654" s="363"/>
      <c r="D654" s="363"/>
      <c r="E654" s="363"/>
      <c r="F654" s="363"/>
      <c r="G654" s="363"/>
      <c r="H654" s="363"/>
      <c r="I654" s="363"/>
      <c r="J654" s="363"/>
      <c r="K654" s="363"/>
      <c r="L654" s="363"/>
      <c r="M654" s="363"/>
      <c r="N654" s="363"/>
      <c r="O654" s="363"/>
      <c r="P654" s="363"/>
      <c r="Q654" s="363"/>
      <c r="R654" s="363"/>
      <c r="S654" s="363"/>
      <c r="T654" s="363"/>
      <c r="U654" s="363"/>
      <c r="V654" s="363"/>
      <c r="W654" s="363"/>
      <c r="X654" s="363"/>
      <c r="Y654" s="363"/>
      <c r="Z654" s="363"/>
      <c r="AA654" s="363"/>
      <c r="AB654" s="363"/>
      <c r="AC654" s="363"/>
      <c r="AD654" s="363"/>
      <c r="AE654" s="363"/>
      <c r="AF654" s="363"/>
      <c r="AG654" s="363"/>
      <c r="AH654" s="363"/>
      <c r="AI654" s="363"/>
      <c r="AJ654" s="363"/>
      <c r="AK654" s="363"/>
      <c r="AL654" s="363"/>
      <c r="AM654" s="363"/>
    </row>
    <row r="655" spans="2:39" ht="12.75" customHeight="1" x14ac:dyDescent="0.2">
      <c r="B655" s="362"/>
      <c r="C655" s="363"/>
      <c r="D655" s="363"/>
      <c r="E655" s="363"/>
      <c r="F655" s="363"/>
      <c r="G655" s="363"/>
      <c r="H655" s="363"/>
      <c r="I655" s="363"/>
      <c r="J655" s="363"/>
      <c r="K655" s="363"/>
      <c r="L655" s="363"/>
      <c r="M655" s="363"/>
      <c r="N655" s="363"/>
      <c r="O655" s="363"/>
      <c r="P655" s="363"/>
      <c r="Q655" s="363"/>
      <c r="R655" s="363"/>
      <c r="S655" s="363"/>
      <c r="T655" s="363"/>
      <c r="U655" s="363"/>
      <c r="V655" s="363"/>
      <c r="W655" s="363"/>
      <c r="X655" s="363"/>
      <c r="Y655" s="363"/>
      <c r="Z655" s="363"/>
      <c r="AA655" s="363"/>
      <c r="AB655" s="363"/>
      <c r="AC655" s="363"/>
      <c r="AD655" s="363"/>
      <c r="AE655" s="363"/>
      <c r="AF655" s="363"/>
      <c r="AG655" s="363"/>
      <c r="AH655" s="363"/>
      <c r="AI655" s="363"/>
      <c r="AJ655" s="363"/>
      <c r="AK655" s="363"/>
      <c r="AL655" s="363"/>
      <c r="AM655" s="363"/>
    </row>
    <row r="656" spans="2:39" ht="12.75" customHeight="1" x14ac:dyDescent="0.2">
      <c r="B656" s="362"/>
      <c r="C656" s="363"/>
      <c r="D656" s="363"/>
      <c r="E656" s="363"/>
      <c r="F656" s="363"/>
      <c r="G656" s="363"/>
      <c r="H656" s="363"/>
      <c r="I656" s="363"/>
      <c r="J656" s="363"/>
      <c r="K656" s="363"/>
      <c r="L656" s="363"/>
      <c r="M656" s="363"/>
      <c r="N656" s="363"/>
      <c r="O656" s="363"/>
      <c r="P656" s="363"/>
      <c r="Q656" s="363"/>
      <c r="R656" s="363"/>
      <c r="S656" s="363"/>
      <c r="T656" s="363"/>
      <c r="U656" s="363"/>
      <c r="V656" s="363"/>
      <c r="W656" s="363"/>
      <c r="X656" s="363"/>
      <c r="Y656" s="363"/>
      <c r="Z656" s="363"/>
      <c r="AA656" s="363"/>
      <c r="AB656" s="363"/>
      <c r="AC656" s="363"/>
      <c r="AD656" s="363"/>
      <c r="AE656" s="363"/>
      <c r="AF656" s="363"/>
      <c r="AG656" s="363"/>
      <c r="AH656" s="363"/>
      <c r="AI656" s="363"/>
      <c r="AJ656" s="363"/>
      <c r="AK656" s="363"/>
      <c r="AL656" s="363"/>
      <c r="AM656" s="363"/>
    </row>
    <row r="657" spans="2:39" ht="12.75" customHeight="1" x14ac:dyDescent="0.2">
      <c r="B657" s="362"/>
      <c r="C657" s="363"/>
      <c r="D657" s="363"/>
      <c r="E657" s="363"/>
      <c r="F657" s="363"/>
      <c r="G657" s="363"/>
      <c r="H657" s="363"/>
      <c r="I657" s="363"/>
      <c r="J657" s="363"/>
      <c r="K657" s="363"/>
      <c r="L657" s="363"/>
      <c r="M657" s="363"/>
      <c r="N657" s="363"/>
      <c r="O657" s="363"/>
      <c r="P657" s="363"/>
      <c r="Q657" s="363"/>
      <c r="R657" s="363"/>
      <c r="S657" s="363"/>
      <c r="T657" s="363"/>
      <c r="U657" s="363"/>
      <c r="V657" s="363"/>
      <c r="W657" s="363"/>
      <c r="X657" s="363"/>
      <c r="Y657" s="363"/>
      <c r="Z657" s="363"/>
      <c r="AA657" s="363"/>
      <c r="AB657" s="363"/>
      <c r="AC657" s="363"/>
      <c r="AD657" s="363"/>
      <c r="AE657" s="363"/>
      <c r="AF657" s="363"/>
      <c r="AG657" s="363"/>
      <c r="AH657" s="363"/>
      <c r="AI657" s="363"/>
      <c r="AJ657" s="363"/>
      <c r="AK657" s="363"/>
      <c r="AL657" s="363"/>
      <c r="AM657" s="363"/>
    </row>
    <row r="658" spans="2:39" ht="12.75" customHeight="1" x14ac:dyDescent="0.2">
      <c r="B658" s="362"/>
      <c r="C658" s="363"/>
      <c r="D658" s="363"/>
      <c r="E658" s="363"/>
      <c r="F658" s="363"/>
      <c r="G658" s="363"/>
      <c r="H658" s="363"/>
      <c r="I658" s="363"/>
      <c r="J658" s="363"/>
      <c r="K658" s="363"/>
      <c r="L658" s="363"/>
      <c r="M658" s="363"/>
      <c r="N658" s="363"/>
      <c r="O658" s="363"/>
      <c r="P658" s="363"/>
      <c r="Q658" s="363"/>
      <c r="R658" s="363"/>
      <c r="S658" s="363"/>
      <c r="T658" s="363"/>
      <c r="U658" s="363"/>
      <c r="V658" s="363"/>
      <c r="W658" s="363"/>
      <c r="X658" s="363"/>
      <c r="Y658" s="363"/>
      <c r="Z658" s="363"/>
      <c r="AA658" s="363"/>
      <c r="AB658" s="363"/>
      <c r="AC658" s="363"/>
      <c r="AD658" s="363"/>
      <c r="AE658" s="363"/>
      <c r="AF658" s="363"/>
      <c r="AG658" s="363"/>
      <c r="AH658" s="363"/>
      <c r="AI658" s="363"/>
      <c r="AJ658" s="363"/>
      <c r="AK658" s="363"/>
      <c r="AL658" s="363"/>
      <c r="AM658" s="363"/>
    </row>
    <row r="659" spans="2:39" ht="12.75" customHeight="1" x14ac:dyDescent="0.2">
      <c r="B659" s="362"/>
      <c r="C659" s="363"/>
      <c r="D659" s="363"/>
      <c r="E659" s="363"/>
      <c r="F659" s="363"/>
      <c r="G659" s="363"/>
      <c r="H659" s="363"/>
      <c r="I659" s="363"/>
      <c r="J659" s="363"/>
      <c r="K659" s="363"/>
      <c r="L659" s="363"/>
      <c r="M659" s="363"/>
      <c r="N659" s="363"/>
      <c r="O659" s="363"/>
      <c r="P659" s="363"/>
      <c r="Q659" s="363"/>
      <c r="R659" s="363"/>
      <c r="S659" s="363"/>
      <c r="T659" s="363"/>
      <c r="U659" s="363"/>
      <c r="V659" s="363"/>
      <c r="W659" s="363"/>
      <c r="X659" s="363"/>
      <c r="Y659" s="363"/>
      <c r="Z659" s="363"/>
      <c r="AA659" s="363"/>
      <c r="AB659" s="363"/>
      <c r="AC659" s="363"/>
      <c r="AD659" s="363"/>
      <c r="AE659" s="363"/>
      <c r="AF659" s="363"/>
      <c r="AG659" s="363"/>
      <c r="AH659" s="363"/>
      <c r="AI659" s="363"/>
      <c r="AJ659" s="363"/>
      <c r="AK659" s="363"/>
      <c r="AL659" s="363"/>
      <c r="AM659" s="363"/>
    </row>
    <row r="660" spans="2:39" ht="12.75" customHeight="1" x14ac:dyDescent="0.2">
      <c r="B660" s="362"/>
      <c r="C660" s="363"/>
      <c r="D660" s="363"/>
      <c r="E660" s="363"/>
      <c r="F660" s="363"/>
      <c r="G660" s="363"/>
      <c r="H660" s="363"/>
      <c r="I660" s="363"/>
      <c r="J660" s="363"/>
      <c r="K660" s="363"/>
      <c r="L660" s="363"/>
      <c r="M660" s="363"/>
      <c r="N660" s="363"/>
      <c r="O660" s="363"/>
      <c r="P660" s="363"/>
      <c r="Q660" s="363"/>
      <c r="R660" s="363"/>
      <c r="S660" s="363"/>
      <c r="T660" s="363"/>
      <c r="U660" s="363"/>
      <c r="V660" s="363"/>
      <c r="W660" s="363"/>
      <c r="X660" s="363"/>
      <c r="Y660" s="363"/>
      <c r="Z660" s="363"/>
      <c r="AA660" s="363"/>
      <c r="AB660" s="363"/>
      <c r="AC660" s="363"/>
      <c r="AD660" s="363"/>
      <c r="AE660" s="363"/>
      <c r="AF660" s="363"/>
      <c r="AG660" s="363"/>
      <c r="AH660" s="363"/>
      <c r="AI660" s="363"/>
      <c r="AJ660" s="363"/>
      <c r="AK660" s="363"/>
      <c r="AL660" s="363"/>
      <c r="AM660" s="363"/>
    </row>
    <row r="661" spans="2:39" ht="12.75" customHeight="1" x14ac:dyDescent="0.2">
      <c r="B661" s="362"/>
      <c r="C661" s="363"/>
      <c r="D661" s="363"/>
      <c r="E661" s="363"/>
      <c r="F661" s="363"/>
      <c r="G661" s="363"/>
      <c r="H661" s="363"/>
      <c r="I661" s="363"/>
      <c r="J661" s="363"/>
      <c r="K661" s="363"/>
      <c r="L661" s="363"/>
      <c r="M661" s="363"/>
      <c r="N661" s="363"/>
      <c r="O661" s="363"/>
      <c r="P661" s="363"/>
      <c r="Q661" s="363"/>
      <c r="R661" s="363"/>
      <c r="S661" s="363"/>
      <c r="T661" s="363"/>
      <c r="U661" s="363"/>
      <c r="V661" s="363"/>
      <c r="W661" s="363"/>
      <c r="X661" s="363"/>
      <c r="Y661" s="363"/>
      <c r="Z661" s="363"/>
      <c r="AA661" s="363"/>
      <c r="AB661" s="363"/>
      <c r="AC661" s="363"/>
      <c r="AD661" s="363"/>
      <c r="AE661" s="363"/>
      <c r="AF661" s="363"/>
      <c r="AG661" s="363"/>
      <c r="AH661" s="363"/>
      <c r="AI661" s="363"/>
      <c r="AJ661" s="363"/>
      <c r="AK661" s="363"/>
      <c r="AL661" s="363"/>
      <c r="AM661" s="363"/>
    </row>
    <row r="662" spans="2:39" ht="12.75" customHeight="1" x14ac:dyDescent="0.2">
      <c r="B662" s="362"/>
      <c r="C662" s="363"/>
      <c r="D662" s="363"/>
      <c r="E662" s="363"/>
      <c r="F662" s="363"/>
      <c r="G662" s="363"/>
      <c r="H662" s="363"/>
      <c r="I662" s="363"/>
      <c r="J662" s="363"/>
      <c r="K662" s="363"/>
      <c r="L662" s="363"/>
      <c r="M662" s="363"/>
      <c r="N662" s="363"/>
      <c r="O662" s="363"/>
      <c r="P662" s="363"/>
      <c r="Q662" s="363"/>
      <c r="R662" s="363"/>
      <c r="S662" s="363"/>
      <c r="T662" s="363"/>
      <c r="U662" s="363"/>
      <c r="V662" s="363"/>
      <c r="W662" s="363"/>
      <c r="X662" s="363"/>
      <c r="Y662" s="363"/>
      <c r="Z662" s="363"/>
      <c r="AA662" s="363"/>
      <c r="AB662" s="363"/>
      <c r="AC662" s="363"/>
      <c r="AD662" s="363"/>
      <c r="AE662" s="363"/>
      <c r="AF662" s="363"/>
      <c r="AG662" s="363"/>
      <c r="AH662" s="363"/>
      <c r="AI662" s="363"/>
      <c r="AJ662" s="363"/>
      <c r="AK662" s="363"/>
      <c r="AL662" s="363"/>
      <c r="AM662" s="363"/>
    </row>
    <row r="663" spans="2:39" ht="12.75" customHeight="1" x14ac:dyDescent="0.2">
      <c r="B663" s="362"/>
      <c r="C663" s="363"/>
      <c r="D663" s="363"/>
      <c r="E663" s="363"/>
      <c r="F663" s="363"/>
      <c r="G663" s="363"/>
      <c r="H663" s="363"/>
      <c r="I663" s="363"/>
      <c r="J663" s="363"/>
      <c r="K663" s="363"/>
      <c r="L663" s="363"/>
      <c r="M663" s="363"/>
      <c r="N663" s="363"/>
      <c r="O663" s="363"/>
      <c r="P663" s="363"/>
      <c r="Q663" s="363"/>
      <c r="R663" s="363"/>
      <c r="S663" s="363"/>
      <c r="T663" s="363"/>
      <c r="U663" s="363"/>
      <c r="V663" s="363"/>
      <c r="W663" s="363"/>
      <c r="X663" s="363"/>
      <c r="Y663" s="363"/>
      <c r="Z663" s="363"/>
      <c r="AA663" s="363"/>
      <c r="AB663" s="363"/>
      <c r="AC663" s="363"/>
      <c r="AD663" s="363"/>
      <c r="AE663" s="363"/>
      <c r="AF663" s="363"/>
      <c r="AG663" s="363"/>
      <c r="AH663" s="363"/>
      <c r="AI663" s="363"/>
      <c r="AJ663" s="363"/>
      <c r="AK663" s="363"/>
      <c r="AL663" s="363"/>
      <c r="AM663" s="363"/>
    </row>
    <row r="664" spans="2:39" ht="12.75" customHeight="1" x14ac:dyDescent="0.2">
      <c r="B664" s="362"/>
      <c r="C664" s="363"/>
      <c r="D664" s="363"/>
      <c r="E664" s="363"/>
      <c r="F664" s="363"/>
      <c r="G664" s="363"/>
      <c r="H664" s="363"/>
      <c r="I664" s="363"/>
      <c r="J664" s="363"/>
      <c r="K664" s="363"/>
      <c r="L664" s="363"/>
      <c r="M664" s="363"/>
      <c r="N664" s="363"/>
      <c r="O664" s="363"/>
      <c r="P664" s="363"/>
      <c r="Q664" s="363"/>
      <c r="R664" s="363"/>
      <c r="S664" s="363"/>
      <c r="T664" s="363"/>
      <c r="U664" s="363"/>
      <c r="V664" s="363"/>
      <c r="W664" s="363"/>
      <c r="X664" s="363"/>
      <c r="Y664" s="363"/>
      <c r="Z664" s="363"/>
      <c r="AA664" s="363"/>
      <c r="AB664" s="363"/>
      <c r="AC664" s="363"/>
      <c r="AD664" s="363"/>
      <c r="AE664" s="363"/>
      <c r="AF664" s="363"/>
      <c r="AG664" s="363"/>
      <c r="AH664" s="363"/>
      <c r="AI664" s="363"/>
      <c r="AJ664" s="363"/>
      <c r="AK664" s="363"/>
      <c r="AL664" s="363"/>
      <c r="AM664" s="363"/>
    </row>
    <row r="665" spans="2:39" ht="12.75" customHeight="1" x14ac:dyDescent="0.2">
      <c r="B665" s="362"/>
      <c r="C665" s="363"/>
      <c r="D665" s="363"/>
      <c r="E665" s="363"/>
      <c r="F665" s="363"/>
      <c r="G665" s="363"/>
      <c r="H665" s="363"/>
      <c r="I665" s="363"/>
      <c r="J665" s="363"/>
      <c r="K665" s="363"/>
      <c r="L665" s="363"/>
      <c r="M665" s="363"/>
      <c r="N665" s="363"/>
      <c r="O665" s="363"/>
      <c r="P665" s="363"/>
      <c r="Q665" s="363"/>
      <c r="R665" s="363"/>
      <c r="S665" s="363"/>
      <c r="T665" s="363"/>
      <c r="U665" s="363"/>
      <c r="V665" s="363"/>
      <c r="W665" s="363"/>
      <c r="X665" s="363"/>
      <c r="Y665" s="363"/>
      <c r="Z665" s="363"/>
      <c r="AA665" s="363"/>
      <c r="AB665" s="363"/>
      <c r="AC665" s="363"/>
      <c r="AD665" s="363"/>
      <c r="AE665" s="363"/>
      <c r="AF665" s="363"/>
      <c r="AG665" s="363"/>
      <c r="AH665" s="363"/>
      <c r="AI665" s="363"/>
      <c r="AJ665" s="363"/>
      <c r="AK665" s="363"/>
      <c r="AL665" s="363"/>
      <c r="AM665" s="363"/>
    </row>
    <row r="666" spans="2:39" ht="12.75" customHeight="1" x14ac:dyDescent="0.2">
      <c r="B666" s="362"/>
      <c r="C666" s="363"/>
      <c r="D666" s="363"/>
      <c r="E666" s="363"/>
      <c r="F666" s="363"/>
      <c r="G666" s="363"/>
      <c r="H666" s="363"/>
      <c r="I666" s="363"/>
      <c r="J666" s="363"/>
      <c r="K666" s="363"/>
      <c r="L666" s="363"/>
      <c r="M666" s="363"/>
      <c r="N666" s="363"/>
      <c r="O666" s="363"/>
      <c r="P666" s="363"/>
      <c r="Q666" s="363"/>
      <c r="R666" s="363"/>
      <c r="S666" s="363"/>
      <c r="T666" s="363"/>
      <c r="U666" s="363"/>
      <c r="V666" s="363"/>
      <c r="W666" s="363"/>
      <c r="X666" s="363"/>
      <c r="Y666" s="363"/>
      <c r="Z666" s="363"/>
      <c r="AA666" s="363"/>
      <c r="AB666" s="363"/>
      <c r="AC666" s="363"/>
      <c r="AD666" s="363"/>
      <c r="AE666" s="363"/>
      <c r="AF666" s="363"/>
      <c r="AG666" s="363"/>
      <c r="AH666" s="363"/>
      <c r="AI666" s="363"/>
      <c r="AJ666" s="363"/>
      <c r="AK666" s="363"/>
      <c r="AL666" s="363"/>
      <c r="AM666" s="363"/>
    </row>
    <row r="667" spans="2:39" ht="12.75" customHeight="1" x14ac:dyDescent="0.2">
      <c r="B667" s="362"/>
      <c r="C667" s="363"/>
      <c r="D667" s="363"/>
      <c r="E667" s="363"/>
      <c r="F667" s="363"/>
      <c r="G667" s="363"/>
      <c r="H667" s="363"/>
      <c r="I667" s="363"/>
      <c r="J667" s="363"/>
      <c r="K667" s="363"/>
      <c r="L667" s="363"/>
      <c r="M667" s="363"/>
      <c r="N667" s="363"/>
      <c r="O667" s="363"/>
      <c r="P667" s="363"/>
      <c r="Q667" s="363"/>
      <c r="R667" s="363"/>
      <c r="S667" s="363"/>
      <c r="T667" s="363"/>
      <c r="U667" s="363"/>
      <c r="V667" s="363"/>
      <c r="W667" s="363"/>
      <c r="X667" s="363"/>
      <c r="Y667" s="363"/>
      <c r="Z667" s="363"/>
      <c r="AA667" s="363"/>
      <c r="AB667" s="363"/>
      <c r="AC667" s="363"/>
      <c r="AD667" s="363"/>
      <c r="AE667" s="363"/>
      <c r="AF667" s="363"/>
      <c r="AG667" s="363"/>
      <c r="AH667" s="363"/>
      <c r="AI667" s="363"/>
      <c r="AJ667" s="363"/>
      <c r="AK667" s="363"/>
      <c r="AL667" s="363"/>
      <c r="AM667" s="363"/>
    </row>
    <row r="668" spans="2:39" ht="12.75" customHeight="1" x14ac:dyDescent="0.2">
      <c r="B668" s="362"/>
      <c r="C668" s="363"/>
      <c r="D668" s="363"/>
      <c r="E668" s="363"/>
      <c r="F668" s="363"/>
      <c r="G668" s="363"/>
      <c r="H668" s="363"/>
      <c r="I668" s="363"/>
      <c r="J668" s="363"/>
      <c r="K668" s="363"/>
      <c r="L668" s="363"/>
      <c r="M668" s="363"/>
      <c r="N668" s="363"/>
      <c r="O668" s="363"/>
      <c r="P668" s="363"/>
      <c r="Q668" s="363"/>
      <c r="R668" s="363"/>
      <c r="S668" s="363"/>
      <c r="T668" s="363"/>
      <c r="U668" s="363"/>
      <c r="V668" s="363"/>
      <c r="W668" s="363"/>
      <c r="X668" s="363"/>
      <c r="Y668" s="363"/>
      <c r="Z668" s="363"/>
      <c r="AA668" s="363"/>
      <c r="AB668" s="363"/>
      <c r="AC668" s="363"/>
      <c r="AD668" s="363"/>
      <c r="AE668" s="363"/>
      <c r="AF668" s="363"/>
      <c r="AG668" s="363"/>
      <c r="AH668" s="363"/>
      <c r="AI668" s="363"/>
      <c r="AJ668" s="363"/>
      <c r="AK668" s="363"/>
      <c r="AL668" s="363"/>
      <c r="AM668" s="363"/>
    </row>
    <row r="669" spans="2:39" ht="12.75" customHeight="1" x14ac:dyDescent="0.2">
      <c r="B669" s="362"/>
      <c r="C669" s="363"/>
      <c r="D669" s="363"/>
      <c r="E669" s="363"/>
      <c r="F669" s="363"/>
      <c r="G669" s="363"/>
      <c r="H669" s="363"/>
      <c r="I669" s="363"/>
      <c r="J669" s="363"/>
      <c r="K669" s="363"/>
      <c r="L669" s="363"/>
      <c r="M669" s="363"/>
      <c r="N669" s="363"/>
      <c r="O669" s="363"/>
      <c r="P669" s="363"/>
      <c r="Q669" s="363"/>
      <c r="R669" s="363"/>
      <c r="S669" s="363"/>
      <c r="T669" s="363"/>
      <c r="U669" s="363"/>
      <c r="V669" s="363"/>
      <c r="W669" s="363"/>
      <c r="X669" s="363"/>
      <c r="Y669" s="363"/>
      <c r="Z669" s="363"/>
      <c r="AA669" s="363"/>
      <c r="AB669" s="363"/>
      <c r="AC669" s="363"/>
      <c r="AD669" s="363"/>
      <c r="AE669" s="363"/>
      <c r="AF669" s="363"/>
      <c r="AG669" s="363"/>
      <c r="AH669" s="363"/>
      <c r="AI669" s="363"/>
      <c r="AJ669" s="363"/>
      <c r="AK669" s="363"/>
      <c r="AL669" s="363"/>
      <c r="AM669" s="363"/>
    </row>
    <row r="670" spans="2:39" ht="12.75" customHeight="1" x14ac:dyDescent="0.2">
      <c r="B670" s="362"/>
      <c r="C670" s="363"/>
      <c r="D670" s="363"/>
      <c r="E670" s="363"/>
      <c r="F670" s="363"/>
      <c r="G670" s="363"/>
      <c r="H670" s="363"/>
      <c r="I670" s="363"/>
      <c r="J670" s="363"/>
      <c r="K670" s="363"/>
      <c r="L670" s="363"/>
      <c r="M670" s="363"/>
      <c r="N670" s="363"/>
      <c r="O670" s="363"/>
      <c r="P670" s="363"/>
      <c r="Q670" s="363"/>
      <c r="R670" s="363"/>
      <c r="S670" s="363"/>
      <c r="T670" s="363"/>
      <c r="U670" s="363"/>
      <c r="V670" s="363"/>
      <c r="W670" s="363"/>
      <c r="X670" s="363"/>
      <c r="Y670" s="363"/>
      <c r="Z670" s="363"/>
      <c r="AA670" s="363"/>
      <c r="AB670" s="363"/>
      <c r="AC670" s="363"/>
      <c r="AD670" s="363"/>
      <c r="AE670" s="363"/>
      <c r="AF670" s="363"/>
      <c r="AG670" s="363"/>
      <c r="AH670" s="363"/>
      <c r="AI670" s="363"/>
      <c r="AJ670" s="363"/>
      <c r="AK670" s="363"/>
      <c r="AL670" s="363"/>
      <c r="AM670" s="363"/>
    </row>
    <row r="671" spans="2:39" ht="12.75" customHeight="1" x14ac:dyDescent="0.2">
      <c r="B671" s="362"/>
      <c r="C671" s="363"/>
      <c r="D671" s="363"/>
      <c r="E671" s="363"/>
      <c r="F671" s="363"/>
      <c r="G671" s="363"/>
      <c r="H671" s="363"/>
      <c r="I671" s="363"/>
      <c r="J671" s="363"/>
      <c r="K671" s="363"/>
      <c r="L671" s="363"/>
      <c r="M671" s="363"/>
      <c r="N671" s="363"/>
      <c r="O671" s="363"/>
      <c r="P671" s="363"/>
      <c r="Q671" s="363"/>
      <c r="R671" s="363"/>
      <c r="S671" s="363"/>
      <c r="T671" s="363"/>
      <c r="U671" s="363"/>
      <c r="V671" s="363"/>
      <c r="W671" s="363"/>
      <c r="X671" s="363"/>
      <c r="Y671" s="363"/>
      <c r="Z671" s="363"/>
      <c r="AA671" s="363"/>
      <c r="AB671" s="363"/>
      <c r="AC671" s="363"/>
      <c r="AD671" s="363"/>
      <c r="AE671" s="363"/>
      <c r="AF671" s="363"/>
      <c r="AG671" s="363"/>
      <c r="AH671" s="363"/>
      <c r="AI671" s="363"/>
      <c r="AJ671" s="363"/>
      <c r="AK671" s="363"/>
      <c r="AL671" s="363"/>
      <c r="AM671" s="363"/>
    </row>
    <row r="672" spans="2:39" ht="12.75" customHeight="1" x14ac:dyDescent="0.2">
      <c r="B672" s="362"/>
      <c r="C672" s="363"/>
      <c r="D672" s="363"/>
      <c r="E672" s="363"/>
      <c r="F672" s="363"/>
      <c r="G672" s="363"/>
      <c r="H672" s="363"/>
      <c r="I672" s="363"/>
      <c r="J672" s="363"/>
      <c r="K672" s="363"/>
      <c r="L672" s="363"/>
      <c r="M672" s="363"/>
      <c r="N672" s="363"/>
      <c r="O672" s="363"/>
      <c r="P672" s="363"/>
      <c r="Q672" s="363"/>
      <c r="R672" s="363"/>
      <c r="S672" s="363"/>
      <c r="T672" s="363"/>
      <c r="U672" s="363"/>
      <c r="V672" s="363"/>
      <c r="W672" s="363"/>
      <c r="X672" s="363"/>
      <c r="Y672" s="363"/>
      <c r="Z672" s="363"/>
      <c r="AA672" s="363"/>
      <c r="AB672" s="363"/>
      <c r="AC672" s="363"/>
      <c r="AD672" s="363"/>
      <c r="AE672" s="363"/>
      <c r="AF672" s="363"/>
      <c r="AG672" s="363"/>
      <c r="AH672" s="363"/>
      <c r="AI672" s="363"/>
      <c r="AJ672" s="363"/>
      <c r="AK672" s="363"/>
      <c r="AL672" s="363"/>
      <c r="AM672" s="363"/>
    </row>
    <row r="673" spans="2:39" ht="12.75" customHeight="1" x14ac:dyDescent="0.2">
      <c r="B673" s="362"/>
      <c r="C673" s="363"/>
      <c r="D673" s="363"/>
      <c r="E673" s="363"/>
      <c r="F673" s="363"/>
      <c r="G673" s="363"/>
      <c r="H673" s="363"/>
      <c r="I673" s="363"/>
      <c r="J673" s="363"/>
      <c r="K673" s="363"/>
      <c r="L673" s="363"/>
      <c r="M673" s="363"/>
      <c r="N673" s="363"/>
      <c r="O673" s="363"/>
      <c r="P673" s="363"/>
      <c r="Q673" s="363"/>
      <c r="R673" s="363"/>
      <c r="S673" s="363"/>
      <c r="T673" s="363"/>
      <c r="U673" s="363"/>
      <c r="V673" s="363"/>
      <c r="W673" s="363"/>
      <c r="X673" s="363"/>
      <c r="Y673" s="363"/>
      <c r="Z673" s="363"/>
      <c r="AA673" s="363"/>
      <c r="AB673" s="363"/>
      <c r="AC673" s="363"/>
      <c r="AD673" s="363"/>
      <c r="AE673" s="363"/>
      <c r="AF673" s="363"/>
      <c r="AG673" s="363"/>
      <c r="AH673" s="363"/>
      <c r="AI673" s="363"/>
      <c r="AJ673" s="363"/>
      <c r="AK673" s="363"/>
      <c r="AL673" s="363"/>
      <c r="AM673" s="363"/>
    </row>
    <row r="674" spans="2:39" ht="12.75" customHeight="1" x14ac:dyDescent="0.2">
      <c r="B674" s="362"/>
      <c r="C674" s="363"/>
      <c r="D674" s="363"/>
      <c r="E674" s="363"/>
      <c r="F674" s="363"/>
      <c r="G674" s="363"/>
      <c r="H674" s="363"/>
      <c r="I674" s="363"/>
      <c r="J674" s="363"/>
      <c r="K674" s="363"/>
      <c r="L674" s="363"/>
      <c r="M674" s="363"/>
      <c r="N674" s="363"/>
      <c r="O674" s="363"/>
      <c r="P674" s="363"/>
      <c r="Q674" s="363"/>
      <c r="R674" s="363"/>
      <c r="S674" s="363"/>
      <c r="T674" s="363"/>
      <c r="U674" s="363"/>
      <c r="V674" s="363"/>
      <c r="W674" s="363"/>
      <c r="X674" s="363"/>
      <c r="Y674" s="363"/>
      <c r="Z674" s="363"/>
      <c r="AA674" s="363"/>
      <c r="AB674" s="363"/>
      <c r="AC674" s="363"/>
      <c r="AD674" s="363"/>
      <c r="AE674" s="363"/>
      <c r="AF674" s="363"/>
      <c r="AG674" s="363"/>
      <c r="AH674" s="363"/>
      <c r="AI674" s="363"/>
      <c r="AJ674" s="363"/>
      <c r="AK674" s="363"/>
      <c r="AL674" s="363"/>
      <c r="AM674" s="363"/>
    </row>
    <row r="675" spans="2:39" ht="12.75" customHeight="1" x14ac:dyDescent="0.2">
      <c r="B675" s="362"/>
      <c r="C675" s="363"/>
      <c r="D675" s="363"/>
      <c r="E675" s="363"/>
      <c r="F675" s="363"/>
      <c r="G675" s="363"/>
      <c r="H675" s="363"/>
      <c r="I675" s="363"/>
      <c r="J675" s="363"/>
      <c r="K675" s="363"/>
      <c r="L675" s="363"/>
      <c r="M675" s="363"/>
      <c r="N675" s="363"/>
      <c r="O675" s="363"/>
      <c r="P675" s="363"/>
      <c r="Q675" s="363"/>
      <c r="R675" s="363"/>
      <c r="S675" s="363"/>
      <c r="T675" s="363"/>
      <c r="U675" s="363"/>
      <c r="V675" s="363"/>
      <c r="W675" s="363"/>
      <c r="X675" s="363"/>
      <c r="Y675" s="363"/>
      <c r="Z675" s="363"/>
      <c r="AA675" s="363"/>
      <c r="AB675" s="363"/>
      <c r="AC675" s="363"/>
      <c r="AD675" s="363"/>
      <c r="AE675" s="363"/>
      <c r="AF675" s="363"/>
      <c r="AG675" s="363"/>
      <c r="AH675" s="363"/>
      <c r="AI675" s="363"/>
      <c r="AJ675" s="363"/>
      <c r="AK675" s="363"/>
      <c r="AL675" s="363"/>
      <c r="AM675" s="363"/>
    </row>
    <row r="676" spans="2:39" ht="12.75" customHeight="1" x14ac:dyDescent="0.2">
      <c r="B676" s="362"/>
      <c r="C676" s="363"/>
      <c r="D676" s="363"/>
      <c r="E676" s="363"/>
      <c r="F676" s="363"/>
      <c r="G676" s="363"/>
      <c r="H676" s="363"/>
      <c r="I676" s="363"/>
      <c r="J676" s="363"/>
      <c r="K676" s="363"/>
      <c r="L676" s="363"/>
      <c r="M676" s="363"/>
      <c r="N676" s="363"/>
      <c r="O676" s="363"/>
      <c r="P676" s="363"/>
      <c r="Q676" s="363"/>
      <c r="R676" s="363"/>
      <c r="S676" s="363"/>
      <c r="T676" s="363"/>
      <c r="U676" s="363"/>
      <c r="V676" s="363"/>
      <c r="W676" s="363"/>
      <c r="X676" s="363"/>
      <c r="Y676" s="363"/>
      <c r="Z676" s="363"/>
      <c r="AA676" s="363"/>
      <c r="AB676" s="363"/>
      <c r="AC676" s="363"/>
      <c r="AD676" s="363"/>
      <c r="AE676" s="363"/>
      <c r="AF676" s="363"/>
      <c r="AG676" s="363"/>
      <c r="AH676" s="363"/>
      <c r="AI676" s="363"/>
      <c r="AJ676" s="363"/>
      <c r="AK676" s="363"/>
      <c r="AL676" s="363"/>
      <c r="AM676" s="363"/>
    </row>
    <row r="677" spans="2:39" ht="12.75" customHeight="1" x14ac:dyDescent="0.2">
      <c r="B677" s="362"/>
      <c r="C677" s="363"/>
      <c r="D677" s="363"/>
      <c r="E677" s="363"/>
      <c r="F677" s="363"/>
      <c r="G677" s="363"/>
      <c r="H677" s="363"/>
      <c r="I677" s="363"/>
      <c r="J677" s="363"/>
      <c r="K677" s="363"/>
      <c r="L677" s="363"/>
      <c r="M677" s="363"/>
      <c r="N677" s="363"/>
      <c r="O677" s="363"/>
      <c r="P677" s="363"/>
      <c r="Q677" s="363"/>
      <c r="R677" s="363"/>
      <c r="S677" s="363"/>
      <c r="T677" s="363"/>
      <c r="U677" s="363"/>
      <c r="V677" s="363"/>
      <c r="W677" s="363"/>
      <c r="X677" s="363"/>
      <c r="Y677" s="363"/>
      <c r="Z677" s="363"/>
      <c r="AA677" s="363"/>
      <c r="AB677" s="363"/>
      <c r="AC677" s="363"/>
      <c r="AD677" s="363"/>
      <c r="AE677" s="363"/>
      <c r="AF677" s="363"/>
      <c r="AG677" s="363"/>
      <c r="AH677" s="363"/>
      <c r="AI677" s="363"/>
      <c r="AJ677" s="363"/>
      <c r="AK677" s="363"/>
      <c r="AL677" s="363"/>
      <c r="AM677" s="363"/>
    </row>
    <row r="678" spans="2:39" ht="12.75" customHeight="1" x14ac:dyDescent="0.2">
      <c r="B678" s="362"/>
      <c r="C678" s="363"/>
      <c r="D678" s="363"/>
      <c r="E678" s="363"/>
      <c r="F678" s="363"/>
      <c r="G678" s="363"/>
      <c r="H678" s="363"/>
      <c r="I678" s="363"/>
      <c r="J678" s="363"/>
      <c r="K678" s="363"/>
      <c r="L678" s="363"/>
      <c r="M678" s="363"/>
      <c r="N678" s="363"/>
      <c r="O678" s="363"/>
      <c r="P678" s="363"/>
      <c r="Q678" s="363"/>
      <c r="R678" s="363"/>
      <c r="S678" s="363"/>
      <c r="T678" s="363"/>
      <c r="U678" s="363"/>
      <c r="V678" s="363"/>
      <c r="W678" s="363"/>
      <c r="X678" s="363"/>
      <c r="Y678" s="363"/>
      <c r="Z678" s="363"/>
      <c r="AA678" s="363"/>
      <c r="AB678" s="363"/>
      <c r="AC678" s="363"/>
      <c r="AD678" s="363"/>
      <c r="AE678" s="363"/>
      <c r="AF678" s="363"/>
      <c r="AG678" s="363"/>
      <c r="AH678" s="363"/>
      <c r="AI678" s="363"/>
      <c r="AJ678" s="363"/>
      <c r="AK678" s="363"/>
      <c r="AL678" s="363"/>
      <c r="AM678" s="363"/>
    </row>
    <row r="679" spans="2:39" ht="12.75" customHeight="1" x14ac:dyDescent="0.2">
      <c r="B679" s="362"/>
      <c r="C679" s="363"/>
      <c r="D679" s="363"/>
      <c r="E679" s="363"/>
      <c r="F679" s="363"/>
      <c r="G679" s="363"/>
      <c r="H679" s="363"/>
      <c r="I679" s="363"/>
      <c r="J679" s="363"/>
      <c r="K679" s="363"/>
      <c r="L679" s="363"/>
      <c r="M679" s="363"/>
      <c r="N679" s="363"/>
      <c r="O679" s="363"/>
      <c r="P679" s="363"/>
      <c r="Q679" s="363"/>
      <c r="R679" s="363"/>
      <c r="S679" s="363"/>
      <c r="T679" s="363"/>
      <c r="U679" s="363"/>
      <c r="V679" s="363"/>
      <c r="W679" s="363"/>
      <c r="X679" s="363"/>
      <c r="Y679" s="363"/>
      <c r="Z679" s="363"/>
      <c r="AA679" s="363"/>
      <c r="AB679" s="363"/>
      <c r="AC679" s="363"/>
      <c r="AD679" s="363"/>
      <c r="AE679" s="363"/>
      <c r="AF679" s="363"/>
      <c r="AG679" s="363"/>
      <c r="AH679" s="363"/>
      <c r="AI679" s="363"/>
      <c r="AJ679" s="363"/>
      <c r="AK679" s="363"/>
      <c r="AL679" s="363"/>
      <c r="AM679" s="363"/>
    </row>
    <row r="680" spans="2:39" ht="12.75" customHeight="1" x14ac:dyDescent="0.2">
      <c r="B680" s="362"/>
      <c r="C680" s="363"/>
      <c r="D680" s="363"/>
      <c r="E680" s="363"/>
      <c r="F680" s="363"/>
      <c r="G680" s="363"/>
      <c r="H680" s="363"/>
      <c r="I680" s="363"/>
      <c r="J680" s="363"/>
      <c r="K680" s="363"/>
      <c r="L680" s="363"/>
      <c r="M680" s="363"/>
      <c r="N680" s="363"/>
      <c r="O680" s="363"/>
      <c r="P680" s="363"/>
      <c r="Q680" s="363"/>
      <c r="R680" s="363"/>
      <c r="S680" s="363"/>
      <c r="T680" s="363"/>
      <c r="U680" s="363"/>
      <c r="V680" s="363"/>
      <c r="W680" s="363"/>
      <c r="X680" s="363"/>
      <c r="Y680" s="363"/>
      <c r="Z680" s="363"/>
      <c r="AA680" s="363"/>
      <c r="AB680" s="363"/>
      <c r="AC680" s="363"/>
      <c r="AD680" s="363"/>
      <c r="AE680" s="363"/>
      <c r="AF680" s="363"/>
      <c r="AG680" s="363"/>
      <c r="AH680" s="363"/>
      <c r="AI680" s="363"/>
      <c r="AJ680" s="363"/>
      <c r="AK680" s="363"/>
      <c r="AL680" s="363"/>
      <c r="AM680" s="363"/>
    </row>
    <row r="681" spans="2:39" ht="12.75" customHeight="1" x14ac:dyDescent="0.2">
      <c r="B681" s="362"/>
      <c r="C681" s="363"/>
      <c r="D681" s="363"/>
      <c r="E681" s="363"/>
      <c r="F681" s="363"/>
      <c r="G681" s="363"/>
      <c r="H681" s="363"/>
      <c r="I681" s="363"/>
      <c r="J681" s="363"/>
      <c r="K681" s="363"/>
      <c r="L681" s="363"/>
      <c r="M681" s="363"/>
      <c r="N681" s="363"/>
      <c r="O681" s="363"/>
      <c r="P681" s="363"/>
      <c r="Q681" s="363"/>
      <c r="R681" s="363"/>
      <c r="S681" s="363"/>
      <c r="T681" s="363"/>
      <c r="U681" s="363"/>
      <c r="V681" s="363"/>
      <c r="W681" s="363"/>
      <c r="X681" s="363"/>
      <c r="Y681" s="363"/>
      <c r="Z681" s="363"/>
      <c r="AA681" s="363"/>
      <c r="AB681" s="363"/>
      <c r="AC681" s="363"/>
      <c r="AD681" s="363"/>
      <c r="AE681" s="363"/>
      <c r="AF681" s="363"/>
      <c r="AG681" s="363"/>
      <c r="AH681" s="363"/>
      <c r="AI681" s="363"/>
      <c r="AJ681" s="363"/>
      <c r="AK681" s="363"/>
      <c r="AL681" s="363"/>
      <c r="AM681" s="363"/>
    </row>
    <row r="682" spans="2:39" ht="12.75" customHeight="1" x14ac:dyDescent="0.2">
      <c r="B682" s="362"/>
      <c r="C682" s="363"/>
      <c r="D682" s="363"/>
      <c r="E682" s="363"/>
      <c r="F682" s="363"/>
      <c r="G682" s="363"/>
      <c r="H682" s="363"/>
      <c r="I682" s="363"/>
      <c r="J682" s="363"/>
      <c r="K682" s="363"/>
      <c r="L682" s="363"/>
      <c r="M682" s="363"/>
      <c r="N682" s="363"/>
      <c r="O682" s="363"/>
      <c r="P682" s="363"/>
      <c r="Q682" s="363"/>
      <c r="R682" s="363"/>
      <c r="S682" s="363"/>
      <c r="T682" s="363"/>
      <c r="U682" s="363"/>
      <c r="V682" s="363"/>
      <c r="W682" s="363"/>
      <c r="X682" s="363"/>
      <c r="Y682" s="363"/>
      <c r="Z682" s="363"/>
      <c r="AA682" s="363"/>
      <c r="AB682" s="363"/>
      <c r="AC682" s="363"/>
      <c r="AD682" s="363"/>
      <c r="AE682" s="363"/>
      <c r="AF682" s="363"/>
      <c r="AG682" s="363"/>
      <c r="AH682" s="363"/>
      <c r="AI682" s="363"/>
      <c r="AJ682" s="363"/>
      <c r="AK682" s="363"/>
      <c r="AL682" s="363"/>
      <c r="AM682" s="363"/>
    </row>
    <row r="683" spans="2:39" ht="12.75" customHeight="1" x14ac:dyDescent="0.2">
      <c r="B683" s="362"/>
      <c r="C683" s="363"/>
      <c r="D683" s="363"/>
      <c r="E683" s="363"/>
      <c r="F683" s="363"/>
      <c r="G683" s="363"/>
      <c r="H683" s="363"/>
      <c r="I683" s="363"/>
      <c r="J683" s="363"/>
      <c r="K683" s="363"/>
      <c r="L683" s="363"/>
      <c r="M683" s="363"/>
      <c r="N683" s="363"/>
      <c r="O683" s="363"/>
      <c r="P683" s="363"/>
      <c r="Q683" s="363"/>
      <c r="R683" s="363"/>
      <c r="S683" s="363"/>
      <c r="T683" s="363"/>
      <c r="U683" s="363"/>
      <c r="V683" s="363"/>
      <c r="W683" s="363"/>
      <c r="X683" s="363"/>
      <c r="Y683" s="363"/>
      <c r="Z683" s="363"/>
      <c r="AA683" s="363"/>
      <c r="AB683" s="363"/>
      <c r="AC683" s="363"/>
      <c r="AD683" s="363"/>
      <c r="AE683" s="363"/>
      <c r="AF683" s="363"/>
      <c r="AG683" s="363"/>
      <c r="AH683" s="363"/>
      <c r="AI683" s="363"/>
      <c r="AJ683" s="363"/>
      <c r="AK683" s="363"/>
      <c r="AL683" s="363"/>
      <c r="AM683" s="363"/>
    </row>
    <row r="684" spans="2:39" ht="12.75" customHeight="1" x14ac:dyDescent="0.2">
      <c r="B684" s="362"/>
      <c r="C684" s="363"/>
      <c r="D684" s="363"/>
      <c r="E684" s="363"/>
      <c r="F684" s="363"/>
      <c r="G684" s="363"/>
      <c r="H684" s="363"/>
      <c r="I684" s="363"/>
      <c r="J684" s="363"/>
      <c r="K684" s="363"/>
      <c r="L684" s="363"/>
      <c r="M684" s="363"/>
      <c r="N684" s="363"/>
      <c r="O684" s="363"/>
      <c r="P684" s="363"/>
      <c r="Q684" s="363"/>
      <c r="R684" s="363"/>
      <c r="S684" s="363"/>
      <c r="T684" s="363"/>
      <c r="U684" s="363"/>
      <c r="V684" s="363"/>
      <c r="W684" s="363"/>
      <c r="X684" s="363"/>
      <c r="Y684" s="363"/>
      <c r="Z684" s="363"/>
      <c r="AA684" s="363"/>
      <c r="AB684" s="363"/>
      <c r="AC684" s="363"/>
      <c r="AD684" s="363"/>
      <c r="AE684" s="363"/>
      <c r="AF684" s="363"/>
      <c r="AG684" s="363"/>
      <c r="AH684" s="363"/>
      <c r="AI684" s="363"/>
      <c r="AJ684" s="363"/>
      <c r="AK684" s="363"/>
      <c r="AL684" s="363"/>
      <c r="AM684" s="363"/>
    </row>
    <row r="685" spans="2:39" ht="12.75" customHeight="1" x14ac:dyDescent="0.2">
      <c r="B685" s="362"/>
      <c r="C685" s="363"/>
      <c r="D685" s="363"/>
      <c r="E685" s="363"/>
      <c r="F685" s="363"/>
      <c r="G685" s="363"/>
      <c r="H685" s="363"/>
      <c r="I685" s="363"/>
      <c r="J685" s="363"/>
      <c r="K685" s="363"/>
      <c r="L685" s="363"/>
      <c r="M685" s="363"/>
      <c r="N685" s="363"/>
      <c r="O685" s="363"/>
      <c r="P685" s="363"/>
      <c r="Q685" s="363"/>
      <c r="R685" s="363"/>
      <c r="S685" s="363"/>
      <c r="T685" s="363"/>
      <c r="U685" s="363"/>
      <c r="V685" s="363"/>
      <c r="W685" s="363"/>
      <c r="X685" s="363"/>
      <c r="Y685" s="363"/>
      <c r="Z685" s="363"/>
      <c r="AA685" s="363"/>
      <c r="AB685" s="363"/>
      <c r="AC685" s="363"/>
      <c r="AD685" s="363"/>
      <c r="AE685" s="363"/>
      <c r="AF685" s="363"/>
      <c r="AG685" s="363"/>
      <c r="AH685" s="363"/>
      <c r="AI685" s="363"/>
      <c r="AJ685" s="363"/>
      <c r="AK685" s="363"/>
      <c r="AL685" s="363"/>
      <c r="AM685" s="363"/>
    </row>
    <row r="686" spans="2:39" ht="12.75" customHeight="1" x14ac:dyDescent="0.2">
      <c r="B686" s="362"/>
      <c r="C686" s="363"/>
      <c r="D686" s="363"/>
      <c r="E686" s="363"/>
      <c r="F686" s="363"/>
      <c r="G686" s="363"/>
      <c r="H686" s="363"/>
      <c r="I686" s="363"/>
      <c r="J686" s="363"/>
      <c r="K686" s="363"/>
      <c r="L686" s="363"/>
      <c r="M686" s="363"/>
      <c r="N686" s="363"/>
      <c r="O686" s="363"/>
      <c r="P686" s="363"/>
      <c r="Q686" s="363"/>
      <c r="R686" s="363"/>
      <c r="S686" s="363"/>
      <c r="T686" s="363"/>
      <c r="U686" s="363"/>
      <c r="V686" s="363"/>
      <c r="W686" s="363"/>
      <c r="X686" s="363"/>
      <c r="Y686" s="363"/>
      <c r="Z686" s="363"/>
      <c r="AA686" s="363"/>
      <c r="AB686" s="363"/>
      <c r="AC686" s="363"/>
      <c r="AD686" s="363"/>
      <c r="AE686" s="363"/>
      <c r="AF686" s="363"/>
      <c r="AG686" s="363"/>
      <c r="AH686" s="363"/>
      <c r="AI686" s="363"/>
      <c r="AJ686" s="363"/>
      <c r="AK686" s="363"/>
      <c r="AL686" s="363"/>
      <c r="AM686" s="363"/>
    </row>
    <row r="687" spans="2:39" ht="12.75" customHeight="1" x14ac:dyDescent="0.2">
      <c r="B687" s="362"/>
      <c r="C687" s="363"/>
      <c r="D687" s="363"/>
      <c r="E687" s="363"/>
      <c r="F687" s="363"/>
      <c r="G687" s="363"/>
      <c r="H687" s="363"/>
      <c r="I687" s="363"/>
      <c r="J687" s="363"/>
      <c r="K687" s="363"/>
      <c r="L687" s="363"/>
      <c r="M687" s="363"/>
      <c r="N687" s="363"/>
      <c r="O687" s="363"/>
      <c r="P687" s="363"/>
      <c r="Q687" s="363"/>
      <c r="R687" s="363"/>
      <c r="S687" s="363"/>
      <c r="T687" s="363"/>
      <c r="U687" s="363"/>
      <c r="V687" s="363"/>
      <c r="W687" s="363"/>
      <c r="X687" s="363"/>
      <c r="Y687" s="363"/>
      <c r="Z687" s="363"/>
      <c r="AA687" s="363"/>
      <c r="AB687" s="363"/>
      <c r="AC687" s="363"/>
      <c r="AD687" s="363"/>
      <c r="AE687" s="363"/>
      <c r="AF687" s="363"/>
      <c r="AG687" s="363"/>
      <c r="AH687" s="363"/>
      <c r="AI687" s="363"/>
      <c r="AJ687" s="363"/>
      <c r="AK687" s="363"/>
      <c r="AL687" s="363"/>
      <c r="AM687" s="363"/>
    </row>
    <row r="688" spans="2:39" ht="12.75" customHeight="1" x14ac:dyDescent="0.2">
      <c r="B688" s="362"/>
      <c r="C688" s="363"/>
      <c r="D688" s="363"/>
      <c r="E688" s="363"/>
      <c r="F688" s="363"/>
      <c r="G688" s="363"/>
      <c r="H688" s="363"/>
      <c r="I688" s="363"/>
      <c r="J688" s="363"/>
      <c r="K688" s="363"/>
      <c r="L688" s="363"/>
      <c r="M688" s="363"/>
      <c r="N688" s="363"/>
      <c r="O688" s="363"/>
      <c r="P688" s="363"/>
      <c r="Q688" s="363"/>
      <c r="R688" s="363"/>
      <c r="S688" s="363"/>
      <c r="T688" s="363"/>
      <c r="U688" s="363"/>
      <c r="V688" s="363"/>
      <c r="W688" s="363"/>
      <c r="X688" s="363"/>
      <c r="Y688" s="363"/>
      <c r="Z688" s="363"/>
      <c r="AA688" s="363"/>
      <c r="AB688" s="363"/>
      <c r="AC688" s="363"/>
      <c r="AD688" s="363"/>
      <c r="AE688" s="363"/>
      <c r="AF688" s="363"/>
      <c r="AG688" s="363"/>
      <c r="AH688" s="363"/>
      <c r="AI688" s="363"/>
      <c r="AJ688" s="363"/>
      <c r="AK688" s="363"/>
      <c r="AL688" s="363"/>
      <c r="AM688" s="363"/>
    </row>
    <row r="689" spans="2:39" ht="12.75" customHeight="1" x14ac:dyDescent="0.2">
      <c r="B689" s="362"/>
      <c r="C689" s="363"/>
      <c r="D689" s="363"/>
      <c r="E689" s="363"/>
      <c r="F689" s="363"/>
      <c r="G689" s="363"/>
      <c r="H689" s="363"/>
      <c r="I689" s="363"/>
      <c r="J689" s="363"/>
      <c r="K689" s="363"/>
      <c r="L689" s="363"/>
      <c r="M689" s="363"/>
      <c r="N689" s="363"/>
      <c r="O689" s="363"/>
      <c r="P689" s="363"/>
      <c r="Q689" s="363"/>
      <c r="R689" s="363"/>
      <c r="S689" s="363"/>
      <c r="T689" s="363"/>
      <c r="U689" s="363"/>
      <c r="V689" s="363"/>
      <c r="W689" s="363"/>
      <c r="X689" s="363"/>
      <c r="Y689" s="363"/>
      <c r="Z689" s="363"/>
      <c r="AA689" s="363"/>
      <c r="AB689" s="363"/>
      <c r="AC689" s="363"/>
      <c r="AD689" s="363"/>
      <c r="AE689" s="363"/>
      <c r="AF689" s="363"/>
      <c r="AG689" s="363"/>
      <c r="AH689" s="363"/>
      <c r="AI689" s="363"/>
      <c r="AJ689" s="363"/>
      <c r="AK689" s="363"/>
      <c r="AL689" s="363"/>
      <c r="AM689" s="363"/>
    </row>
    <row r="690" spans="2:39" ht="12.75" customHeight="1" x14ac:dyDescent="0.2">
      <c r="B690" s="362"/>
      <c r="C690" s="363"/>
      <c r="D690" s="363"/>
      <c r="E690" s="363"/>
      <c r="F690" s="363"/>
      <c r="G690" s="363"/>
      <c r="H690" s="363"/>
      <c r="I690" s="363"/>
      <c r="J690" s="363"/>
      <c r="K690" s="363"/>
      <c r="L690" s="363"/>
      <c r="M690" s="363"/>
      <c r="N690" s="363"/>
      <c r="O690" s="363"/>
      <c r="P690" s="363"/>
      <c r="Q690" s="363"/>
      <c r="R690" s="363"/>
      <c r="S690" s="363"/>
      <c r="T690" s="363"/>
      <c r="U690" s="363"/>
      <c r="V690" s="363"/>
      <c r="W690" s="363"/>
      <c r="X690" s="363"/>
      <c r="Y690" s="363"/>
      <c r="Z690" s="363"/>
      <c r="AA690" s="363"/>
      <c r="AB690" s="363"/>
      <c r="AC690" s="363"/>
      <c r="AD690" s="363"/>
      <c r="AE690" s="363"/>
      <c r="AF690" s="363"/>
      <c r="AG690" s="363"/>
      <c r="AH690" s="363"/>
      <c r="AI690" s="363"/>
      <c r="AJ690" s="363"/>
      <c r="AK690" s="363"/>
      <c r="AL690" s="363"/>
      <c r="AM690" s="363"/>
    </row>
    <row r="691" spans="2:39" ht="12.75" customHeight="1" x14ac:dyDescent="0.2">
      <c r="B691" s="362"/>
      <c r="C691" s="363"/>
      <c r="D691" s="363"/>
      <c r="E691" s="363"/>
      <c r="F691" s="363"/>
      <c r="G691" s="363"/>
      <c r="H691" s="363"/>
      <c r="I691" s="363"/>
      <c r="J691" s="363"/>
      <c r="K691" s="363"/>
      <c r="L691" s="363"/>
      <c r="M691" s="363"/>
      <c r="N691" s="363"/>
      <c r="O691" s="363"/>
      <c r="P691" s="363"/>
      <c r="Q691" s="363"/>
      <c r="R691" s="363"/>
      <c r="S691" s="363"/>
      <c r="T691" s="363"/>
      <c r="U691" s="363"/>
      <c r="V691" s="363"/>
      <c r="W691" s="363"/>
      <c r="X691" s="363"/>
      <c r="Y691" s="363"/>
      <c r="Z691" s="363"/>
      <c r="AA691" s="363"/>
      <c r="AB691" s="363"/>
      <c r="AC691" s="363"/>
      <c r="AD691" s="363"/>
      <c r="AE691" s="363"/>
      <c r="AF691" s="363"/>
      <c r="AG691" s="363"/>
      <c r="AH691" s="363"/>
      <c r="AI691" s="363"/>
      <c r="AJ691" s="363"/>
      <c r="AK691" s="363"/>
      <c r="AL691" s="363"/>
      <c r="AM691" s="363"/>
    </row>
    <row r="692" spans="2:39" ht="12.75" customHeight="1" x14ac:dyDescent="0.2">
      <c r="B692" s="362"/>
      <c r="C692" s="363"/>
      <c r="D692" s="363"/>
      <c r="E692" s="363"/>
      <c r="F692" s="363"/>
      <c r="G692" s="363"/>
      <c r="H692" s="363"/>
      <c r="I692" s="363"/>
      <c r="J692" s="363"/>
      <c r="K692" s="363"/>
      <c r="L692" s="363"/>
      <c r="M692" s="363"/>
      <c r="N692" s="363"/>
      <c r="O692" s="363"/>
      <c r="P692" s="363"/>
      <c r="Q692" s="363"/>
      <c r="R692" s="363"/>
      <c r="S692" s="363"/>
      <c r="T692" s="363"/>
      <c r="U692" s="363"/>
      <c r="V692" s="363"/>
      <c r="W692" s="363"/>
      <c r="X692" s="363"/>
      <c r="Y692" s="363"/>
      <c r="Z692" s="363"/>
      <c r="AA692" s="363"/>
      <c r="AB692" s="363"/>
      <c r="AC692" s="363"/>
      <c r="AD692" s="363"/>
      <c r="AE692" s="363"/>
      <c r="AF692" s="363"/>
      <c r="AG692" s="363"/>
      <c r="AH692" s="363"/>
      <c r="AI692" s="363"/>
      <c r="AJ692" s="363"/>
      <c r="AK692" s="363"/>
      <c r="AL692" s="363"/>
      <c r="AM692" s="363"/>
    </row>
    <row r="693" spans="2:39" ht="12.75" customHeight="1" x14ac:dyDescent="0.2">
      <c r="B693" s="362"/>
      <c r="C693" s="363"/>
      <c r="D693" s="363"/>
      <c r="E693" s="363"/>
      <c r="F693" s="363"/>
      <c r="G693" s="363"/>
      <c r="H693" s="363"/>
      <c r="I693" s="363"/>
      <c r="J693" s="363"/>
      <c r="K693" s="363"/>
      <c r="L693" s="363"/>
      <c r="M693" s="363"/>
      <c r="N693" s="363"/>
      <c r="O693" s="363"/>
      <c r="P693" s="363"/>
      <c r="Q693" s="363"/>
      <c r="R693" s="363"/>
      <c r="S693" s="363"/>
      <c r="T693" s="363"/>
      <c r="U693" s="363"/>
      <c r="V693" s="363"/>
      <c r="W693" s="363"/>
      <c r="X693" s="363"/>
      <c r="Y693" s="363"/>
      <c r="Z693" s="363"/>
      <c r="AA693" s="363"/>
      <c r="AB693" s="363"/>
      <c r="AC693" s="363"/>
      <c r="AD693" s="363"/>
      <c r="AE693" s="363"/>
      <c r="AF693" s="363"/>
      <c r="AG693" s="363"/>
      <c r="AH693" s="363"/>
      <c r="AI693" s="363"/>
      <c r="AJ693" s="363"/>
      <c r="AK693" s="363"/>
      <c r="AL693" s="363"/>
      <c r="AM693" s="363"/>
    </row>
    <row r="694" spans="2:39" ht="12.75" customHeight="1" x14ac:dyDescent="0.2">
      <c r="B694" s="362"/>
      <c r="C694" s="363"/>
      <c r="D694" s="363"/>
      <c r="E694" s="363"/>
      <c r="F694" s="363"/>
      <c r="G694" s="363"/>
      <c r="H694" s="363"/>
      <c r="I694" s="363"/>
      <c r="J694" s="363"/>
      <c r="K694" s="363"/>
      <c r="L694" s="363"/>
      <c r="M694" s="363"/>
      <c r="N694" s="363"/>
      <c r="O694" s="363"/>
      <c r="P694" s="363"/>
      <c r="Q694" s="363"/>
      <c r="R694" s="363"/>
      <c r="S694" s="363"/>
      <c r="T694" s="363"/>
      <c r="U694" s="363"/>
      <c r="V694" s="363"/>
      <c r="W694" s="363"/>
      <c r="X694" s="363"/>
      <c r="Y694" s="363"/>
      <c r="Z694" s="363"/>
      <c r="AA694" s="363"/>
      <c r="AB694" s="363"/>
      <c r="AC694" s="363"/>
      <c r="AD694" s="363"/>
      <c r="AE694" s="363"/>
      <c r="AF694" s="363"/>
      <c r="AG694" s="363"/>
      <c r="AH694" s="363"/>
      <c r="AI694" s="363"/>
      <c r="AJ694" s="363"/>
      <c r="AK694" s="363"/>
      <c r="AL694" s="363"/>
      <c r="AM694" s="363"/>
    </row>
    <row r="695" spans="2:39" ht="12.75" customHeight="1" x14ac:dyDescent="0.2">
      <c r="B695" s="362"/>
      <c r="C695" s="363"/>
      <c r="D695" s="363"/>
      <c r="E695" s="363"/>
      <c r="F695" s="363"/>
      <c r="G695" s="363"/>
      <c r="H695" s="363"/>
      <c r="I695" s="363"/>
      <c r="J695" s="363"/>
      <c r="K695" s="363"/>
      <c r="L695" s="363"/>
      <c r="M695" s="363"/>
      <c r="N695" s="363"/>
      <c r="O695" s="363"/>
      <c r="P695" s="363"/>
      <c r="Q695" s="363"/>
      <c r="R695" s="363"/>
      <c r="S695" s="363"/>
      <c r="T695" s="363"/>
      <c r="U695" s="363"/>
      <c r="V695" s="363"/>
      <c r="W695" s="363"/>
      <c r="X695" s="363"/>
      <c r="Y695" s="363"/>
      <c r="Z695" s="363"/>
      <c r="AA695" s="363"/>
      <c r="AB695" s="363"/>
      <c r="AC695" s="363"/>
      <c r="AD695" s="363"/>
      <c r="AE695" s="363"/>
      <c r="AF695" s="363"/>
      <c r="AG695" s="363"/>
      <c r="AH695" s="363"/>
      <c r="AI695" s="363"/>
      <c r="AJ695" s="363"/>
      <c r="AK695" s="363"/>
      <c r="AL695" s="363"/>
      <c r="AM695" s="363"/>
    </row>
    <row r="696" spans="2:39" ht="12.75" customHeight="1" x14ac:dyDescent="0.2">
      <c r="B696" s="362"/>
      <c r="C696" s="363"/>
      <c r="D696" s="363"/>
      <c r="E696" s="363"/>
      <c r="F696" s="363"/>
      <c r="G696" s="363"/>
      <c r="H696" s="363"/>
      <c r="I696" s="363"/>
      <c r="J696" s="363"/>
      <c r="K696" s="363"/>
      <c r="L696" s="363"/>
      <c r="M696" s="363"/>
      <c r="N696" s="363"/>
      <c r="O696" s="363"/>
      <c r="P696" s="363"/>
      <c r="Q696" s="363"/>
      <c r="R696" s="363"/>
      <c r="S696" s="363"/>
      <c r="T696" s="363"/>
      <c r="U696" s="363"/>
      <c r="V696" s="363"/>
      <c r="W696" s="363"/>
      <c r="X696" s="363"/>
      <c r="Y696" s="363"/>
      <c r="Z696" s="363"/>
      <c r="AA696" s="363"/>
      <c r="AB696" s="363"/>
      <c r="AC696" s="363"/>
      <c r="AD696" s="363"/>
      <c r="AE696" s="363"/>
      <c r="AF696" s="363"/>
      <c r="AG696" s="363"/>
      <c r="AH696" s="363"/>
      <c r="AI696" s="363"/>
      <c r="AJ696" s="363"/>
      <c r="AK696" s="363"/>
      <c r="AL696" s="363"/>
      <c r="AM696" s="363"/>
    </row>
    <row r="697" spans="2:39" ht="12.75" customHeight="1" x14ac:dyDescent="0.2">
      <c r="B697" s="362"/>
      <c r="C697" s="363"/>
      <c r="D697" s="363"/>
      <c r="E697" s="363"/>
      <c r="F697" s="363"/>
      <c r="G697" s="363"/>
      <c r="H697" s="363"/>
      <c r="I697" s="363"/>
      <c r="J697" s="363"/>
      <c r="K697" s="363"/>
      <c r="L697" s="363"/>
      <c r="M697" s="363"/>
      <c r="N697" s="363"/>
      <c r="O697" s="363"/>
      <c r="P697" s="363"/>
      <c r="Q697" s="363"/>
      <c r="R697" s="363"/>
      <c r="S697" s="363"/>
      <c r="T697" s="363"/>
      <c r="U697" s="363"/>
      <c r="V697" s="363"/>
      <c r="W697" s="363"/>
      <c r="X697" s="363"/>
      <c r="Y697" s="363"/>
      <c r="Z697" s="363"/>
      <c r="AA697" s="363"/>
      <c r="AB697" s="363"/>
      <c r="AC697" s="363"/>
      <c r="AD697" s="363"/>
      <c r="AE697" s="363"/>
      <c r="AF697" s="363"/>
      <c r="AG697" s="363"/>
      <c r="AH697" s="363"/>
      <c r="AI697" s="363"/>
      <c r="AJ697" s="363"/>
      <c r="AK697" s="363"/>
      <c r="AL697" s="363"/>
      <c r="AM697" s="363"/>
    </row>
    <row r="698" spans="2:39" ht="12.75" customHeight="1" x14ac:dyDescent="0.2">
      <c r="B698" s="362"/>
      <c r="C698" s="363"/>
      <c r="D698" s="363"/>
      <c r="E698" s="363"/>
      <c r="F698" s="363"/>
      <c r="G698" s="363"/>
      <c r="H698" s="363"/>
      <c r="I698" s="363"/>
      <c r="J698" s="363"/>
      <c r="K698" s="363"/>
      <c r="L698" s="363"/>
      <c r="M698" s="363"/>
      <c r="N698" s="363"/>
      <c r="O698" s="363"/>
      <c r="P698" s="363"/>
      <c r="Q698" s="363"/>
      <c r="R698" s="363"/>
      <c r="S698" s="363"/>
      <c r="T698" s="363"/>
      <c r="U698" s="363"/>
      <c r="V698" s="363"/>
      <c r="W698" s="363"/>
      <c r="X698" s="363"/>
      <c r="Y698" s="363"/>
      <c r="Z698" s="363"/>
      <c r="AA698" s="363"/>
      <c r="AB698" s="363"/>
      <c r="AC698" s="363"/>
      <c r="AD698" s="363"/>
      <c r="AE698" s="363"/>
      <c r="AF698" s="363"/>
      <c r="AG698" s="363"/>
      <c r="AH698" s="363"/>
      <c r="AI698" s="363"/>
      <c r="AJ698" s="363"/>
      <c r="AK698" s="363"/>
      <c r="AL698" s="363"/>
      <c r="AM698" s="363"/>
    </row>
    <row r="699" spans="2:39" ht="12.75" customHeight="1" x14ac:dyDescent="0.2">
      <c r="B699" s="362"/>
      <c r="C699" s="363"/>
      <c r="D699" s="363"/>
      <c r="E699" s="363"/>
      <c r="F699" s="363"/>
      <c r="G699" s="363"/>
      <c r="H699" s="363"/>
      <c r="I699" s="363"/>
      <c r="J699" s="363"/>
      <c r="K699" s="363"/>
      <c r="L699" s="363"/>
      <c r="M699" s="363"/>
      <c r="N699" s="363"/>
      <c r="O699" s="363"/>
      <c r="P699" s="363"/>
      <c r="Q699" s="363"/>
      <c r="R699" s="363"/>
      <c r="S699" s="363"/>
      <c r="T699" s="363"/>
      <c r="U699" s="363"/>
      <c r="V699" s="363"/>
      <c r="W699" s="363"/>
      <c r="X699" s="363"/>
      <c r="Y699" s="363"/>
      <c r="Z699" s="363"/>
      <c r="AA699" s="363"/>
      <c r="AB699" s="363"/>
      <c r="AC699" s="363"/>
      <c r="AD699" s="363"/>
      <c r="AE699" s="363"/>
      <c r="AF699" s="363"/>
      <c r="AG699" s="363"/>
      <c r="AH699" s="363"/>
      <c r="AI699" s="363"/>
      <c r="AJ699" s="363"/>
      <c r="AK699" s="363"/>
      <c r="AL699" s="363"/>
      <c r="AM699" s="363"/>
    </row>
    <row r="700" spans="2:39" ht="12.75" customHeight="1" x14ac:dyDescent="0.2">
      <c r="B700" s="362"/>
      <c r="C700" s="363"/>
      <c r="D700" s="363"/>
      <c r="E700" s="363"/>
      <c r="F700" s="363"/>
      <c r="G700" s="363"/>
      <c r="H700" s="363"/>
      <c r="I700" s="363"/>
      <c r="J700" s="363"/>
      <c r="K700" s="363"/>
      <c r="L700" s="363"/>
      <c r="M700" s="363"/>
      <c r="N700" s="363"/>
      <c r="O700" s="363"/>
      <c r="P700" s="363"/>
      <c r="Q700" s="363"/>
      <c r="R700" s="363"/>
      <c r="S700" s="363"/>
      <c r="T700" s="363"/>
      <c r="U700" s="363"/>
      <c r="V700" s="363"/>
      <c r="W700" s="363"/>
      <c r="X700" s="363"/>
      <c r="Y700" s="363"/>
      <c r="Z700" s="363"/>
      <c r="AA700" s="363"/>
      <c r="AB700" s="363"/>
      <c r="AC700" s="363"/>
      <c r="AD700" s="363"/>
      <c r="AE700" s="363"/>
      <c r="AF700" s="363"/>
      <c r="AG700" s="363"/>
      <c r="AH700" s="363"/>
      <c r="AI700" s="363"/>
      <c r="AJ700" s="363"/>
      <c r="AK700" s="363"/>
      <c r="AL700" s="363"/>
      <c r="AM700" s="363"/>
    </row>
    <row r="701" spans="2:39" ht="12.75" customHeight="1" x14ac:dyDescent="0.2">
      <c r="B701" s="362"/>
      <c r="C701" s="363"/>
      <c r="D701" s="363"/>
      <c r="E701" s="363"/>
      <c r="F701" s="363"/>
      <c r="G701" s="363"/>
      <c r="H701" s="363"/>
      <c r="I701" s="363"/>
      <c r="J701" s="363"/>
      <c r="K701" s="363"/>
      <c r="L701" s="363"/>
      <c r="M701" s="363"/>
      <c r="N701" s="363"/>
      <c r="O701" s="363"/>
      <c r="P701" s="363"/>
      <c r="Q701" s="363"/>
      <c r="R701" s="363"/>
      <c r="S701" s="363"/>
      <c r="T701" s="363"/>
      <c r="U701" s="363"/>
      <c r="V701" s="363"/>
      <c r="W701" s="363"/>
      <c r="X701" s="363"/>
      <c r="Y701" s="363"/>
      <c r="Z701" s="363"/>
      <c r="AA701" s="363"/>
      <c r="AB701" s="363"/>
      <c r="AC701" s="363"/>
      <c r="AD701" s="363"/>
      <c r="AE701" s="363"/>
      <c r="AF701" s="363"/>
      <c r="AG701" s="363"/>
      <c r="AH701" s="363"/>
      <c r="AI701" s="363"/>
      <c r="AJ701" s="363"/>
      <c r="AK701" s="363"/>
      <c r="AL701" s="363"/>
      <c r="AM701" s="363"/>
    </row>
    <row r="702" spans="2:39" ht="12.75" customHeight="1" x14ac:dyDescent="0.2">
      <c r="B702" s="362"/>
      <c r="C702" s="363"/>
      <c r="D702" s="363"/>
      <c r="E702" s="363"/>
      <c r="F702" s="363"/>
      <c r="G702" s="363"/>
      <c r="H702" s="363"/>
      <c r="I702" s="363"/>
      <c r="J702" s="363"/>
      <c r="K702" s="363"/>
      <c r="L702" s="363"/>
      <c r="M702" s="363"/>
      <c r="N702" s="363"/>
      <c r="O702" s="363"/>
      <c r="P702" s="363"/>
      <c r="Q702" s="363"/>
      <c r="R702" s="363"/>
      <c r="S702" s="363"/>
      <c r="T702" s="363"/>
      <c r="U702" s="363"/>
      <c r="V702" s="363"/>
      <c r="W702" s="363"/>
      <c r="X702" s="363"/>
      <c r="Y702" s="363"/>
      <c r="Z702" s="363"/>
      <c r="AA702" s="363"/>
      <c r="AB702" s="363"/>
      <c r="AC702" s="363"/>
      <c r="AD702" s="363"/>
      <c r="AE702" s="363"/>
      <c r="AF702" s="363"/>
      <c r="AG702" s="363"/>
      <c r="AH702" s="363"/>
      <c r="AI702" s="363"/>
      <c r="AJ702" s="363"/>
      <c r="AK702" s="363"/>
      <c r="AL702" s="363"/>
      <c r="AM702" s="363"/>
    </row>
    <row r="703" spans="2:39" ht="12.75" customHeight="1" x14ac:dyDescent="0.2">
      <c r="B703" s="362"/>
      <c r="C703" s="363"/>
      <c r="D703" s="363"/>
      <c r="E703" s="363"/>
      <c r="F703" s="363"/>
      <c r="G703" s="363"/>
      <c r="H703" s="363"/>
      <c r="I703" s="363"/>
      <c r="J703" s="363"/>
      <c r="K703" s="363"/>
      <c r="L703" s="363"/>
      <c r="M703" s="363"/>
      <c r="N703" s="363"/>
      <c r="O703" s="363"/>
      <c r="P703" s="363"/>
      <c r="Q703" s="363"/>
      <c r="R703" s="363"/>
      <c r="S703" s="363"/>
      <c r="T703" s="363"/>
      <c r="U703" s="363"/>
      <c r="V703" s="363"/>
      <c r="W703" s="363"/>
      <c r="X703" s="363"/>
      <c r="Y703" s="363"/>
      <c r="Z703" s="363"/>
      <c r="AA703" s="363"/>
      <c r="AB703" s="363"/>
      <c r="AC703" s="363"/>
      <c r="AD703" s="363"/>
      <c r="AE703" s="363"/>
      <c r="AF703" s="363"/>
      <c r="AG703" s="363"/>
      <c r="AH703" s="363"/>
      <c r="AI703" s="363"/>
      <c r="AJ703" s="363"/>
      <c r="AK703" s="363"/>
      <c r="AL703" s="363"/>
      <c r="AM703" s="363"/>
    </row>
    <row r="704" spans="2:39" ht="12.75" customHeight="1" x14ac:dyDescent="0.2">
      <c r="B704" s="362"/>
      <c r="C704" s="363"/>
      <c r="D704" s="363"/>
      <c r="E704" s="363"/>
      <c r="F704" s="363"/>
      <c r="G704" s="363"/>
      <c r="H704" s="363"/>
      <c r="I704" s="363"/>
      <c r="J704" s="363"/>
      <c r="K704" s="363"/>
      <c r="L704" s="363"/>
      <c r="M704" s="363"/>
      <c r="N704" s="363"/>
      <c r="O704" s="363"/>
      <c r="P704" s="363"/>
      <c r="Q704" s="363"/>
      <c r="R704" s="363"/>
      <c r="S704" s="363"/>
      <c r="T704" s="363"/>
      <c r="U704" s="363"/>
      <c r="V704" s="363"/>
      <c r="W704" s="363"/>
      <c r="X704" s="363"/>
      <c r="Y704" s="363"/>
      <c r="Z704" s="363"/>
      <c r="AA704" s="363"/>
      <c r="AB704" s="363"/>
      <c r="AC704" s="363"/>
      <c r="AD704" s="363"/>
      <c r="AE704" s="363"/>
      <c r="AF704" s="363"/>
      <c r="AG704" s="363"/>
      <c r="AH704" s="363"/>
      <c r="AI704" s="363"/>
      <c r="AJ704" s="363"/>
      <c r="AK704" s="363"/>
      <c r="AL704" s="363"/>
      <c r="AM704" s="363"/>
    </row>
    <row r="705" spans="2:39" ht="12.75" customHeight="1" x14ac:dyDescent="0.2">
      <c r="B705" s="362"/>
      <c r="C705" s="363"/>
      <c r="D705" s="363"/>
      <c r="E705" s="363"/>
      <c r="F705" s="363"/>
      <c r="G705" s="363"/>
      <c r="H705" s="363"/>
      <c r="I705" s="363"/>
      <c r="J705" s="363"/>
      <c r="K705" s="363"/>
      <c r="L705" s="363"/>
      <c r="M705" s="363"/>
      <c r="N705" s="363"/>
      <c r="O705" s="363"/>
      <c r="P705" s="363"/>
      <c r="Q705" s="363"/>
      <c r="R705" s="363"/>
      <c r="S705" s="363"/>
      <c r="T705" s="363"/>
      <c r="U705" s="363"/>
      <c r="V705" s="363"/>
      <c r="W705" s="363"/>
      <c r="X705" s="363"/>
      <c r="Y705" s="363"/>
      <c r="Z705" s="363"/>
      <c r="AA705" s="363"/>
      <c r="AB705" s="363"/>
      <c r="AC705" s="363"/>
      <c r="AD705" s="363"/>
      <c r="AE705" s="363"/>
      <c r="AF705" s="363"/>
      <c r="AG705" s="363"/>
      <c r="AH705" s="363"/>
      <c r="AI705" s="363"/>
      <c r="AJ705" s="363"/>
      <c r="AK705" s="363"/>
      <c r="AL705" s="363"/>
      <c r="AM705" s="363"/>
    </row>
    <row r="706" spans="2:39" ht="12.75" customHeight="1" x14ac:dyDescent="0.2">
      <c r="B706" s="362"/>
      <c r="C706" s="363"/>
      <c r="D706" s="363"/>
      <c r="E706" s="363"/>
      <c r="F706" s="363"/>
      <c r="G706" s="363"/>
      <c r="H706" s="363"/>
      <c r="I706" s="363"/>
      <c r="J706" s="363"/>
      <c r="K706" s="363"/>
      <c r="L706" s="363"/>
      <c r="M706" s="363"/>
      <c r="N706" s="363"/>
      <c r="O706" s="363"/>
      <c r="P706" s="363"/>
      <c r="Q706" s="363"/>
      <c r="R706" s="363"/>
      <c r="S706" s="363"/>
      <c r="T706" s="363"/>
      <c r="U706" s="363"/>
      <c r="V706" s="363"/>
      <c r="W706" s="363"/>
      <c r="X706" s="363"/>
      <c r="Y706" s="363"/>
      <c r="Z706" s="363"/>
      <c r="AA706" s="363"/>
      <c r="AB706" s="363"/>
      <c r="AC706" s="363"/>
      <c r="AD706" s="363"/>
      <c r="AE706" s="363"/>
      <c r="AF706" s="363"/>
      <c r="AG706" s="363"/>
      <c r="AH706" s="363"/>
      <c r="AI706" s="363"/>
      <c r="AJ706" s="363"/>
      <c r="AK706" s="363"/>
      <c r="AL706" s="363"/>
      <c r="AM706" s="363"/>
    </row>
    <row r="707" spans="2:39" ht="12.75" customHeight="1" x14ac:dyDescent="0.2">
      <c r="B707" s="362"/>
      <c r="C707" s="363"/>
      <c r="D707" s="363"/>
      <c r="E707" s="363"/>
      <c r="F707" s="363"/>
      <c r="G707" s="363"/>
      <c r="H707" s="363"/>
      <c r="I707" s="363"/>
      <c r="J707" s="363"/>
      <c r="K707" s="363"/>
      <c r="L707" s="363"/>
      <c r="M707" s="363"/>
      <c r="N707" s="363"/>
      <c r="O707" s="363"/>
      <c r="P707" s="363"/>
      <c r="Q707" s="363"/>
      <c r="R707" s="363"/>
      <c r="S707" s="363"/>
      <c r="T707" s="363"/>
      <c r="U707" s="363"/>
      <c r="V707" s="363"/>
      <c r="W707" s="363"/>
      <c r="X707" s="363"/>
      <c r="Y707" s="363"/>
      <c r="Z707" s="363"/>
      <c r="AA707" s="363"/>
      <c r="AB707" s="363"/>
      <c r="AC707" s="363"/>
      <c r="AD707" s="363"/>
      <c r="AE707" s="363"/>
      <c r="AF707" s="363"/>
      <c r="AG707" s="363"/>
      <c r="AH707" s="363"/>
      <c r="AI707" s="363"/>
      <c r="AJ707" s="363"/>
      <c r="AK707" s="363"/>
      <c r="AL707" s="363"/>
      <c r="AM707" s="363"/>
    </row>
    <row r="708" spans="2:39" ht="12.75" customHeight="1" x14ac:dyDescent="0.2">
      <c r="B708" s="362"/>
      <c r="C708" s="363"/>
      <c r="D708" s="363"/>
      <c r="E708" s="363"/>
      <c r="F708" s="363"/>
      <c r="G708" s="363"/>
      <c r="H708" s="363"/>
      <c r="I708" s="363"/>
      <c r="J708" s="363"/>
      <c r="K708" s="363"/>
      <c r="L708" s="363"/>
      <c r="M708" s="363"/>
      <c r="N708" s="363"/>
      <c r="O708" s="363"/>
      <c r="P708" s="363"/>
      <c r="Q708" s="363"/>
      <c r="R708" s="363"/>
      <c r="S708" s="363"/>
      <c r="T708" s="363"/>
      <c r="U708" s="363"/>
      <c r="V708" s="363"/>
      <c r="W708" s="363"/>
      <c r="X708" s="363"/>
      <c r="Y708" s="363"/>
      <c r="Z708" s="363"/>
      <c r="AA708" s="363"/>
      <c r="AB708" s="363"/>
      <c r="AC708" s="363"/>
      <c r="AD708" s="363"/>
      <c r="AE708" s="363"/>
      <c r="AF708" s="363"/>
      <c r="AG708" s="363"/>
      <c r="AH708" s="363"/>
      <c r="AI708" s="363"/>
      <c r="AJ708" s="363"/>
      <c r="AK708" s="363"/>
      <c r="AL708" s="363"/>
      <c r="AM708" s="363"/>
    </row>
    <row r="709" spans="2:39" ht="12.75" customHeight="1" x14ac:dyDescent="0.2">
      <c r="B709" s="362"/>
      <c r="C709" s="363"/>
      <c r="D709" s="363"/>
      <c r="E709" s="363"/>
      <c r="F709" s="363"/>
      <c r="G709" s="363"/>
      <c r="H709" s="363"/>
      <c r="I709" s="363"/>
      <c r="J709" s="363"/>
      <c r="K709" s="363"/>
      <c r="L709" s="363"/>
      <c r="M709" s="363"/>
      <c r="N709" s="363"/>
      <c r="O709" s="363"/>
      <c r="P709" s="363"/>
      <c r="Q709" s="363"/>
      <c r="R709" s="363"/>
      <c r="S709" s="363"/>
      <c r="T709" s="363"/>
      <c r="U709" s="363"/>
      <c r="V709" s="363"/>
      <c r="W709" s="363"/>
      <c r="X709" s="363"/>
      <c r="Y709" s="363"/>
      <c r="Z709" s="363"/>
      <c r="AA709" s="363"/>
      <c r="AB709" s="363"/>
      <c r="AC709" s="363"/>
      <c r="AD709" s="363"/>
      <c r="AE709" s="363"/>
      <c r="AF709" s="363"/>
      <c r="AG709" s="363"/>
      <c r="AH709" s="363"/>
      <c r="AI709" s="363"/>
      <c r="AJ709" s="363"/>
      <c r="AK709" s="363"/>
      <c r="AL709" s="363"/>
      <c r="AM709" s="363"/>
    </row>
    <row r="710" spans="2:39" ht="12.75" customHeight="1" x14ac:dyDescent="0.2">
      <c r="B710" s="362"/>
      <c r="C710" s="363"/>
      <c r="D710" s="363"/>
      <c r="E710" s="363"/>
      <c r="F710" s="363"/>
      <c r="G710" s="363"/>
      <c r="H710" s="363"/>
      <c r="I710" s="363"/>
      <c r="J710" s="363"/>
      <c r="K710" s="363"/>
      <c r="L710" s="363"/>
      <c r="M710" s="363"/>
      <c r="N710" s="363"/>
      <c r="O710" s="363"/>
      <c r="P710" s="363"/>
      <c r="Q710" s="363"/>
      <c r="R710" s="363"/>
      <c r="S710" s="363"/>
      <c r="T710" s="363"/>
      <c r="U710" s="363"/>
      <c r="V710" s="363"/>
      <c r="W710" s="363"/>
      <c r="X710" s="363"/>
      <c r="Y710" s="363"/>
      <c r="Z710" s="363"/>
      <c r="AA710" s="363"/>
      <c r="AB710" s="363"/>
      <c r="AC710" s="363"/>
      <c r="AD710" s="363"/>
      <c r="AE710" s="363"/>
      <c r="AF710" s="363"/>
      <c r="AG710" s="363"/>
      <c r="AH710" s="363"/>
      <c r="AI710" s="363"/>
      <c r="AJ710" s="363"/>
      <c r="AK710" s="363"/>
      <c r="AL710" s="363"/>
      <c r="AM710" s="363"/>
    </row>
    <row r="711" spans="2:39" ht="12.75" customHeight="1" x14ac:dyDescent="0.2">
      <c r="B711" s="362"/>
      <c r="C711" s="363"/>
      <c r="D711" s="363"/>
      <c r="E711" s="363"/>
      <c r="F711" s="363"/>
      <c r="G711" s="363"/>
      <c r="H711" s="363"/>
      <c r="I711" s="363"/>
      <c r="J711" s="363"/>
      <c r="K711" s="363"/>
      <c r="L711" s="363"/>
      <c r="M711" s="363"/>
      <c r="N711" s="363"/>
      <c r="O711" s="363"/>
      <c r="P711" s="363"/>
      <c r="Q711" s="363"/>
      <c r="R711" s="363"/>
      <c r="S711" s="363"/>
      <c r="T711" s="363"/>
      <c r="U711" s="363"/>
      <c r="V711" s="363"/>
      <c r="W711" s="363"/>
      <c r="X711" s="363"/>
      <c r="Y711" s="363"/>
      <c r="Z711" s="363"/>
      <c r="AA711" s="363"/>
      <c r="AB711" s="363"/>
      <c r="AC711" s="363"/>
      <c r="AD711" s="363"/>
      <c r="AE711" s="363"/>
      <c r="AF711" s="363"/>
      <c r="AG711" s="363"/>
      <c r="AH711" s="363"/>
      <c r="AI711" s="363"/>
      <c r="AJ711" s="363"/>
      <c r="AK711" s="363"/>
      <c r="AL711" s="363"/>
      <c r="AM711" s="363"/>
    </row>
    <row r="712" spans="2:39" ht="12.75" customHeight="1" x14ac:dyDescent="0.2">
      <c r="B712" s="362"/>
      <c r="C712" s="363"/>
      <c r="D712" s="363"/>
      <c r="E712" s="363"/>
      <c r="F712" s="363"/>
      <c r="G712" s="363"/>
      <c r="H712" s="363"/>
      <c r="I712" s="363"/>
      <c r="J712" s="363"/>
      <c r="K712" s="363"/>
      <c r="L712" s="363"/>
      <c r="M712" s="363"/>
      <c r="N712" s="363"/>
      <c r="O712" s="363"/>
      <c r="P712" s="363"/>
      <c r="Q712" s="363"/>
      <c r="R712" s="363"/>
      <c r="S712" s="363"/>
      <c r="T712" s="363"/>
      <c r="U712" s="363"/>
      <c r="V712" s="363"/>
      <c r="W712" s="363"/>
      <c r="X712" s="363"/>
      <c r="Y712" s="363"/>
      <c r="Z712" s="363"/>
      <c r="AA712" s="363"/>
      <c r="AB712" s="363"/>
      <c r="AC712" s="363"/>
      <c r="AD712" s="363"/>
      <c r="AE712" s="363"/>
      <c r="AF712" s="363"/>
      <c r="AG712" s="363"/>
      <c r="AH712" s="363"/>
      <c r="AI712" s="363"/>
      <c r="AJ712" s="363"/>
      <c r="AK712" s="363"/>
      <c r="AL712" s="363"/>
      <c r="AM712" s="363"/>
    </row>
    <row r="713" spans="2:39" ht="12.75" customHeight="1" x14ac:dyDescent="0.2">
      <c r="B713" s="362"/>
      <c r="C713" s="363"/>
      <c r="D713" s="363"/>
      <c r="E713" s="363"/>
      <c r="F713" s="363"/>
      <c r="G713" s="363"/>
      <c r="H713" s="363"/>
      <c r="I713" s="363"/>
      <c r="J713" s="363"/>
      <c r="K713" s="363"/>
      <c r="L713" s="363"/>
      <c r="M713" s="363"/>
      <c r="N713" s="363"/>
      <c r="O713" s="363"/>
      <c r="P713" s="363"/>
      <c r="Q713" s="363"/>
      <c r="R713" s="363"/>
      <c r="S713" s="363"/>
      <c r="T713" s="363"/>
      <c r="U713" s="363"/>
      <c r="V713" s="363"/>
      <c r="W713" s="363"/>
      <c r="X713" s="363"/>
      <c r="Y713" s="363"/>
      <c r="Z713" s="363"/>
      <c r="AA713" s="363"/>
      <c r="AB713" s="363"/>
      <c r="AC713" s="363"/>
      <c r="AD713" s="363"/>
      <c r="AE713" s="363"/>
      <c r="AF713" s="363"/>
      <c r="AG713" s="363"/>
      <c r="AH713" s="363"/>
      <c r="AI713" s="363"/>
      <c r="AJ713" s="363"/>
      <c r="AK713" s="363"/>
      <c r="AL713" s="363"/>
      <c r="AM713" s="363"/>
    </row>
    <row r="714" spans="2:39" ht="12.75" customHeight="1" x14ac:dyDescent="0.2">
      <c r="B714" s="362"/>
      <c r="C714" s="363"/>
      <c r="D714" s="363"/>
      <c r="E714" s="363"/>
      <c r="F714" s="363"/>
      <c r="G714" s="363"/>
      <c r="H714" s="363"/>
      <c r="I714" s="363"/>
      <c r="J714" s="363"/>
      <c r="K714" s="363"/>
      <c r="L714" s="363"/>
      <c r="M714" s="363"/>
      <c r="N714" s="363"/>
      <c r="O714" s="363"/>
      <c r="P714" s="363"/>
      <c r="Q714" s="363"/>
      <c r="R714" s="363"/>
      <c r="S714" s="363"/>
      <c r="T714" s="363"/>
      <c r="U714" s="363"/>
      <c r="V714" s="363"/>
      <c r="W714" s="363"/>
      <c r="X714" s="363"/>
      <c r="Y714" s="363"/>
      <c r="Z714" s="363"/>
      <c r="AA714" s="363"/>
      <c r="AB714" s="363"/>
      <c r="AC714" s="363"/>
      <c r="AD714" s="363"/>
      <c r="AE714" s="363"/>
      <c r="AF714" s="363"/>
      <c r="AG714" s="363"/>
      <c r="AH714" s="363"/>
      <c r="AI714" s="363"/>
      <c r="AJ714" s="363"/>
      <c r="AK714" s="363"/>
      <c r="AL714" s="363"/>
      <c r="AM714" s="363"/>
    </row>
    <row r="715" spans="2:39" ht="12.75" customHeight="1" x14ac:dyDescent="0.2">
      <c r="B715" s="362"/>
      <c r="C715" s="363"/>
      <c r="D715" s="363"/>
      <c r="E715" s="363"/>
      <c r="F715" s="363"/>
      <c r="G715" s="363"/>
      <c r="H715" s="363"/>
      <c r="I715" s="363"/>
      <c r="J715" s="363"/>
      <c r="K715" s="363"/>
      <c r="L715" s="363"/>
      <c r="M715" s="363"/>
      <c r="N715" s="363"/>
      <c r="O715" s="363"/>
      <c r="P715" s="363"/>
      <c r="Q715" s="363"/>
      <c r="R715" s="363"/>
      <c r="S715" s="363"/>
      <c r="T715" s="363"/>
      <c r="U715" s="363"/>
      <c r="V715" s="363"/>
      <c r="W715" s="363"/>
      <c r="X715" s="363"/>
      <c r="Y715" s="363"/>
      <c r="Z715" s="363"/>
      <c r="AA715" s="363"/>
      <c r="AB715" s="363"/>
      <c r="AC715" s="363"/>
      <c r="AD715" s="363"/>
      <c r="AE715" s="363"/>
      <c r="AF715" s="363"/>
      <c r="AG715" s="363"/>
      <c r="AH715" s="363"/>
      <c r="AI715" s="363"/>
      <c r="AJ715" s="363"/>
      <c r="AK715" s="363"/>
      <c r="AL715" s="363"/>
      <c r="AM715" s="363"/>
    </row>
    <row r="716" spans="2:39" ht="12.75" customHeight="1" x14ac:dyDescent="0.2">
      <c r="B716" s="362"/>
      <c r="C716" s="363"/>
      <c r="D716" s="363"/>
      <c r="E716" s="363"/>
      <c r="F716" s="363"/>
      <c r="G716" s="363"/>
      <c r="H716" s="363"/>
      <c r="I716" s="363"/>
      <c r="J716" s="363"/>
      <c r="K716" s="363"/>
      <c r="L716" s="363"/>
      <c r="M716" s="363"/>
      <c r="N716" s="363"/>
      <c r="O716" s="363"/>
      <c r="P716" s="363"/>
      <c r="Q716" s="363"/>
      <c r="R716" s="363"/>
      <c r="S716" s="363"/>
      <c r="T716" s="363"/>
      <c r="U716" s="363"/>
      <c r="V716" s="363"/>
      <c r="W716" s="363"/>
      <c r="X716" s="363"/>
      <c r="Y716" s="363"/>
      <c r="Z716" s="363"/>
      <c r="AA716" s="363"/>
      <c r="AB716" s="363"/>
      <c r="AC716" s="363"/>
      <c r="AD716" s="363"/>
      <c r="AE716" s="363"/>
      <c r="AF716" s="363"/>
      <c r="AG716" s="363"/>
      <c r="AH716" s="363"/>
      <c r="AI716" s="363"/>
      <c r="AJ716" s="363"/>
      <c r="AK716" s="363"/>
      <c r="AL716" s="363"/>
      <c r="AM716" s="363"/>
    </row>
    <row r="717" spans="2:39" ht="12.75" customHeight="1" x14ac:dyDescent="0.2">
      <c r="B717" s="362"/>
      <c r="C717" s="363"/>
      <c r="D717" s="363"/>
      <c r="E717" s="363"/>
      <c r="F717" s="363"/>
      <c r="G717" s="363"/>
      <c r="H717" s="363"/>
      <c r="I717" s="363"/>
      <c r="J717" s="363"/>
      <c r="K717" s="363"/>
      <c r="L717" s="363"/>
      <c r="M717" s="363"/>
      <c r="N717" s="363"/>
      <c r="O717" s="363"/>
      <c r="P717" s="363"/>
      <c r="Q717" s="363"/>
      <c r="R717" s="363"/>
      <c r="S717" s="363"/>
      <c r="T717" s="363"/>
      <c r="U717" s="363"/>
      <c r="V717" s="363"/>
      <c r="W717" s="363"/>
      <c r="X717" s="363"/>
      <c r="Y717" s="363"/>
      <c r="Z717" s="363"/>
      <c r="AA717" s="363"/>
      <c r="AB717" s="363"/>
      <c r="AC717" s="363"/>
      <c r="AD717" s="363"/>
      <c r="AE717" s="363"/>
      <c r="AF717" s="363"/>
      <c r="AG717" s="363"/>
      <c r="AH717" s="363"/>
      <c r="AI717" s="363"/>
      <c r="AJ717" s="363"/>
      <c r="AK717" s="363"/>
      <c r="AL717" s="363"/>
      <c r="AM717" s="363"/>
    </row>
    <row r="718" spans="2:39" ht="12.75" customHeight="1" x14ac:dyDescent="0.2">
      <c r="B718" s="362"/>
      <c r="C718" s="363"/>
      <c r="D718" s="363"/>
      <c r="E718" s="363"/>
      <c r="F718" s="363"/>
      <c r="G718" s="363"/>
      <c r="H718" s="363"/>
      <c r="I718" s="363"/>
      <c r="J718" s="363"/>
      <c r="K718" s="363"/>
      <c r="L718" s="363"/>
      <c r="M718" s="363"/>
      <c r="N718" s="363"/>
      <c r="O718" s="363"/>
      <c r="P718" s="363"/>
      <c r="Q718" s="363"/>
      <c r="R718" s="363"/>
      <c r="S718" s="363"/>
      <c r="T718" s="363"/>
      <c r="U718" s="363"/>
      <c r="V718" s="363"/>
      <c r="W718" s="363"/>
      <c r="X718" s="363"/>
      <c r="Y718" s="363"/>
      <c r="Z718" s="363"/>
      <c r="AA718" s="363"/>
      <c r="AB718" s="363"/>
      <c r="AC718" s="363"/>
      <c r="AD718" s="363"/>
      <c r="AE718" s="363"/>
      <c r="AF718" s="363"/>
      <c r="AG718" s="363"/>
      <c r="AH718" s="363"/>
      <c r="AI718" s="363"/>
      <c r="AJ718" s="363"/>
      <c r="AK718" s="363"/>
      <c r="AL718" s="363"/>
      <c r="AM718" s="363"/>
    </row>
    <row r="719" spans="2:39" ht="12.75" customHeight="1" x14ac:dyDescent="0.2">
      <c r="B719" s="362"/>
      <c r="C719" s="363"/>
      <c r="D719" s="363"/>
      <c r="E719" s="363"/>
      <c r="F719" s="363"/>
      <c r="G719" s="363"/>
      <c r="H719" s="363"/>
      <c r="I719" s="363"/>
      <c r="J719" s="363"/>
      <c r="K719" s="363"/>
      <c r="L719" s="363"/>
      <c r="M719" s="363"/>
      <c r="N719" s="363"/>
      <c r="O719" s="363"/>
      <c r="P719" s="363"/>
      <c r="Q719" s="363"/>
      <c r="R719" s="363"/>
      <c r="S719" s="363"/>
      <c r="T719" s="363"/>
      <c r="U719" s="363"/>
      <c r="V719" s="363"/>
      <c r="W719" s="363"/>
      <c r="X719" s="363"/>
      <c r="Y719" s="363"/>
      <c r="Z719" s="363"/>
      <c r="AA719" s="363"/>
      <c r="AB719" s="363"/>
      <c r="AC719" s="363"/>
      <c r="AD719" s="363"/>
      <c r="AE719" s="363"/>
      <c r="AF719" s="363"/>
      <c r="AG719" s="363"/>
      <c r="AH719" s="363"/>
      <c r="AI719" s="363"/>
      <c r="AJ719" s="363"/>
      <c r="AK719" s="363"/>
      <c r="AL719" s="363"/>
      <c r="AM719" s="363"/>
    </row>
    <row r="720" spans="2:39" ht="12.75" customHeight="1" x14ac:dyDescent="0.2">
      <c r="B720" s="362"/>
      <c r="C720" s="363"/>
      <c r="D720" s="363"/>
      <c r="E720" s="363"/>
      <c r="F720" s="363"/>
      <c r="G720" s="363"/>
      <c r="H720" s="363"/>
      <c r="I720" s="363"/>
      <c r="J720" s="363"/>
      <c r="K720" s="363"/>
      <c r="L720" s="363"/>
      <c r="M720" s="363"/>
      <c r="N720" s="363"/>
      <c r="O720" s="363"/>
      <c r="P720" s="363"/>
      <c r="Q720" s="363"/>
      <c r="R720" s="363"/>
      <c r="S720" s="363"/>
      <c r="T720" s="363"/>
      <c r="U720" s="363"/>
      <c r="V720" s="363"/>
      <c r="W720" s="363"/>
      <c r="X720" s="363"/>
      <c r="Y720" s="363"/>
      <c r="Z720" s="363"/>
      <c r="AA720" s="363"/>
      <c r="AB720" s="363"/>
      <c r="AC720" s="363"/>
      <c r="AD720" s="363"/>
      <c r="AE720" s="363"/>
      <c r="AF720" s="363"/>
      <c r="AG720" s="363"/>
      <c r="AH720" s="363"/>
      <c r="AI720" s="363"/>
      <c r="AJ720" s="363"/>
      <c r="AK720" s="363"/>
      <c r="AL720" s="363"/>
      <c r="AM720" s="363"/>
    </row>
    <row r="721" spans="2:39" ht="12.75" customHeight="1" x14ac:dyDescent="0.2">
      <c r="B721" s="362"/>
      <c r="C721" s="363"/>
      <c r="D721" s="363"/>
      <c r="E721" s="363"/>
      <c r="F721" s="363"/>
      <c r="G721" s="363"/>
      <c r="H721" s="363"/>
      <c r="I721" s="363"/>
      <c r="J721" s="363"/>
      <c r="K721" s="363"/>
      <c r="L721" s="363"/>
      <c r="M721" s="363"/>
      <c r="N721" s="363"/>
      <c r="O721" s="363"/>
      <c r="P721" s="363"/>
      <c r="Q721" s="363"/>
      <c r="R721" s="363"/>
      <c r="S721" s="363"/>
      <c r="T721" s="363"/>
      <c r="U721" s="363"/>
      <c r="V721" s="363"/>
      <c r="W721" s="363"/>
      <c r="X721" s="363"/>
      <c r="Y721" s="363"/>
      <c r="Z721" s="363"/>
      <c r="AA721" s="363"/>
      <c r="AB721" s="363"/>
      <c r="AC721" s="363"/>
      <c r="AD721" s="363"/>
      <c r="AE721" s="363"/>
      <c r="AF721" s="363"/>
      <c r="AG721" s="363"/>
      <c r="AH721" s="363"/>
      <c r="AI721" s="363"/>
      <c r="AJ721" s="363"/>
      <c r="AK721" s="363"/>
      <c r="AL721" s="363"/>
      <c r="AM721" s="363"/>
    </row>
    <row r="722" spans="2:39" ht="12.75" customHeight="1" x14ac:dyDescent="0.2">
      <c r="B722" s="362"/>
      <c r="C722" s="363"/>
      <c r="D722" s="363"/>
      <c r="E722" s="363"/>
      <c r="F722" s="363"/>
      <c r="G722" s="363"/>
      <c r="H722" s="363"/>
      <c r="I722" s="363"/>
      <c r="J722" s="363"/>
      <c r="K722" s="363"/>
      <c r="L722" s="363"/>
      <c r="M722" s="363"/>
      <c r="N722" s="363"/>
      <c r="O722" s="363"/>
      <c r="P722" s="363"/>
      <c r="Q722" s="363"/>
      <c r="R722" s="363"/>
      <c r="S722" s="363"/>
      <c r="T722" s="363"/>
      <c r="U722" s="363"/>
      <c r="V722" s="363"/>
      <c r="W722" s="363"/>
      <c r="X722" s="363"/>
      <c r="Y722" s="363"/>
      <c r="Z722" s="363"/>
      <c r="AA722" s="363"/>
      <c r="AB722" s="363"/>
      <c r="AC722" s="363"/>
      <c r="AD722" s="363"/>
      <c r="AE722" s="363"/>
      <c r="AF722" s="363"/>
      <c r="AG722" s="363"/>
      <c r="AH722" s="363"/>
      <c r="AI722" s="363"/>
      <c r="AJ722" s="363"/>
      <c r="AK722" s="363"/>
      <c r="AL722" s="363"/>
      <c r="AM722" s="363"/>
    </row>
    <row r="723" spans="2:39" ht="12.75" customHeight="1" x14ac:dyDescent="0.2">
      <c r="B723" s="362"/>
      <c r="C723" s="363"/>
      <c r="D723" s="363"/>
      <c r="E723" s="363"/>
      <c r="F723" s="363"/>
      <c r="G723" s="363"/>
      <c r="H723" s="363"/>
      <c r="I723" s="363"/>
      <c r="J723" s="363"/>
      <c r="K723" s="363"/>
      <c r="L723" s="363"/>
      <c r="M723" s="363"/>
      <c r="N723" s="363"/>
      <c r="O723" s="363"/>
      <c r="P723" s="363"/>
      <c r="Q723" s="363"/>
      <c r="R723" s="363"/>
      <c r="S723" s="363"/>
      <c r="T723" s="363"/>
      <c r="U723" s="363"/>
      <c r="V723" s="363"/>
      <c r="W723" s="363"/>
      <c r="X723" s="363"/>
      <c r="Y723" s="363"/>
      <c r="Z723" s="363"/>
      <c r="AA723" s="363"/>
      <c r="AB723" s="363"/>
      <c r="AC723" s="363"/>
      <c r="AD723" s="363"/>
      <c r="AE723" s="363"/>
      <c r="AF723" s="363"/>
      <c r="AG723" s="363"/>
      <c r="AH723" s="363"/>
      <c r="AI723" s="363"/>
      <c r="AJ723" s="363"/>
      <c r="AK723" s="363"/>
      <c r="AL723" s="363"/>
      <c r="AM723" s="363"/>
    </row>
    <row r="724" spans="2:39" ht="12.75" customHeight="1" x14ac:dyDescent="0.2">
      <c r="B724" s="362"/>
      <c r="C724" s="363"/>
      <c r="D724" s="363"/>
      <c r="E724" s="363"/>
      <c r="F724" s="363"/>
      <c r="G724" s="363"/>
      <c r="H724" s="363"/>
      <c r="I724" s="363"/>
      <c r="J724" s="363"/>
      <c r="K724" s="363"/>
      <c r="L724" s="363"/>
      <c r="M724" s="363"/>
      <c r="N724" s="363"/>
      <c r="O724" s="363"/>
      <c r="P724" s="363"/>
      <c r="Q724" s="363"/>
      <c r="R724" s="363"/>
      <c r="S724" s="363"/>
      <c r="T724" s="363"/>
      <c r="U724" s="363"/>
      <c r="V724" s="363"/>
      <c r="W724" s="363"/>
      <c r="X724" s="363"/>
      <c r="Y724" s="363"/>
      <c r="Z724" s="363"/>
      <c r="AA724" s="363"/>
      <c r="AB724" s="363"/>
      <c r="AC724" s="363"/>
      <c r="AD724" s="363"/>
      <c r="AE724" s="363"/>
      <c r="AF724" s="363"/>
      <c r="AG724" s="363"/>
      <c r="AH724" s="363"/>
      <c r="AI724" s="363"/>
      <c r="AJ724" s="363"/>
      <c r="AK724" s="363"/>
      <c r="AL724" s="363"/>
      <c r="AM724" s="363"/>
    </row>
    <row r="725" spans="2:39" ht="12.75" customHeight="1" x14ac:dyDescent="0.2">
      <c r="B725" s="362"/>
      <c r="C725" s="363"/>
      <c r="D725" s="363"/>
      <c r="E725" s="363"/>
      <c r="F725" s="363"/>
      <c r="G725" s="363"/>
      <c r="H725" s="363"/>
      <c r="I725" s="363"/>
      <c r="J725" s="363"/>
      <c r="K725" s="363"/>
      <c r="L725" s="363"/>
      <c r="M725" s="363"/>
      <c r="N725" s="363"/>
      <c r="O725" s="363"/>
      <c r="P725" s="363"/>
      <c r="Q725" s="363"/>
      <c r="R725" s="363"/>
      <c r="S725" s="363"/>
      <c r="T725" s="363"/>
      <c r="U725" s="363"/>
      <c r="V725" s="363"/>
      <c r="W725" s="363"/>
      <c r="X725" s="363"/>
      <c r="Y725" s="363"/>
      <c r="Z725" s="363"/>
      <c r="AA725" s="363"/>
      <c r="AB725" s="363"/>
      <c r="AC725" s="363"/>
      <c r="AD725" s="363"/>
      <c r="AE725" s="363"/>
      <c r="AF725" s="363"/>
      <c r="AG725" s="363"/>
      <c r="AH725" s="363"/>
      <c r="AI725" s="363"/>
      <c r="AJ725" s="363"/>
      <c r="AK725" s="363"/>
      <c r="AL725" s="363"/>
      <c r="AM725" s="363"/>
    </row>
    <row r="726" spans="2:39" ht="12.75" customHeight="1" x14ac:dyDescent="0.2">
      <c r="B726" s="362"/>
      <c r="C726" s="363"/>
      <c r="D726" s="363"/>
      <c r="E726" s="363"/>
      <c r="F726" s="363"/>
      <c r="G726" s="363"/>
      <c r="H726" s="363"/>
      <c r="I726" s="363"/>
      <c r="J726" s="363"/>
      <c r="K726" s="363"/>
      <c r="L726" s="363"/>
      <c r="M726" s="363"/>
      <c r="N726" s="363"/>
      <c r="O726" s="363"/>
      <c r="P726" s="363"/>
      <c r="Q726" s="363"/>
      <c r="R726" s="363"/>
      <c r="S726" s="363"/>
      <c r="T726" s="363"/>
      <c r="U726" s="363"/>
      <c r="V726" s="363"/>
      <c r="W726" s="363"/>
      <c r="X726" s="363"/>
      <c r="Y726" s="363"/>
      <c r="Z726" s="363"/>
      <c r="AA726" s="363"/>
      <c r="AB726" s="363"/>
      <c r="AC726" s="363"/>
      <c r="AD726" s="363"/>
      <c r="AE726" s="363"/>
      <c r="AF726" s="363"/>
      <c r="AG726" s="363"/>
      <c r="AH726" s="363"/>
      <c r="AI726" s="363"/>
      <c r="AJ726" s="363"/>
      <c r="AK726" s="363"/>
      <c r="AL726" s="363"/>
      <c r="AM726" s="363"/>
    </row>
    <row r="727" spans="2:39" ht="12.75" customHeight="1" x14ac:dyDescent="0.2">
      <c r="B727" s="362"/>
      <c r="C727" s="363"/>
      <c r="D727" s="363"/>
      <c r="E727" s="363"/>
      <c r="F727" s="363"/>
      <c r="G727" s="363"/>
      <c r="H727" s="363"/>
      <c r="I727" s="363"/>
      <c r="J727" s="363"/>
      <c r="K727" s="363"/>
      <c r="L727" s="363"/>
      <c r="M727" s="363"/>
      <c r="N727" s="363"/>
      <c r="O727" s="363"/>
      <c r="P727" s="363"/>
      <c r="Q727" s="363"/>
      <c r="R727" s="363"/>
      <c r="S727" s="363"/>
      <c r="T727" s="363"/>
      <c r="U727" s="363"/>
      <c r="V727" s="363"/>
      <c r="W727" s="363"/>
      <c r="X727" s="363"/>
      <c r="Y727" s="363"/>
      <c r="Z727" s="363"/>
      <c r="AA727" s="363"/>
      <c r="AB727" s="363"/>
      <c r="AC727" s="363"/>
      <c r="AD727" s="363"/>
      <c r="AE727" s="363"/>
      <c r="AF727" s="363"/>
      <c r="AG727" s="363"/>
      <c r="AH727" s="363"/>
      <c r="AI727" s="363"/>
      <c r="AJ727" s="363"/>
      <c r="AK727" s="363"/>
      <c r="AL727" s="363"/>
      <c r="AM727" s="363"/>
    </row>
    <row r="728" spans="2:39" ht="12.75" customHeight="1" x14ac:dyDescent="0.2">
      <c r="B728" s="362"/>
      <c r="C728" s="363"/>
      <c r="D728" s="363"/>
      <c r="E728" s="363"/>
      <c r="F728" s="363"/>
      <c r="G728" s="363"/>
      <c r="H728" s="363"/>
      <c r="I728" s="363"/>
      <c r="J728" s="363"/>
      <c r="K728" s="363"/>
      <c r="L728" s="363"/>
      <c r="M728" s="363"/>
      <c r="N728" s="363"/>
      <c r="O728" s="363"/>
      <c r="P728" s="363"/>
      <c r="Q728" s="363"/>
      <c r="R728" s="363"/>
      <c r="S728" s="363"/>
      <c r="T728" s="363"/>
      <c r="U728" s="363"/>
      <c r="V728" s="363"/>
      <c r="W728" s="363"/>
      <c r="X728" s="363"/>
      <c r="Y728" s="363"/>
      <c r="Z728" s="363"/>
      <c r="AA728" s="363"/>
      <c r="AB728" s="363"/>
      <c r="AC728" s="363"/>
      <c r="AD728" s="363"/>
      <c r="AE728" s="363"/>
      <c r="AF728" s="363"/>
      <c r="AG728" s="363"/>
      <c r="AH728" s="363"/>
      <c r="AI728" s="363"/>
      <c r="AJ728" s="363"/>
      <c r="AK728" s="363"/>
      <c r="AL728" s="363"/>
      <c r="AM728" s="363"/>
    </row>
    <row r="729" spans="2:39" ht="12.75" customHeight="1" x14ac:dyDescent="0.2">
      <c r="B729" s="362"/>
      <c r="C729" s="363"/>
      <c r="D729" s="363"/>
      <c r="E729" s="363"/>
      <c r="F729" s="363"/>
      <c r="G729" s="363"/>
      <c r="H729" s="363"/>
      <c r="I729" s="363"/>
      <c r="J729" s="363"/>
      <c r="K729" s="363"/>
      <c r="L729" s="363"/>
      <c r="M729" s="363"/>
      <c r="N729" s="363"/>
      <c r="O729" s="363"/>
      <c r="P729" s="363"/>
      <c r="Q729" s="363"/>
      <c r="R729" s="363"/>
      <c r="S729" s="363"/>
      <c r="T729" s="363"/>
      <c r="U729" s="363"/>
      <c r="V729" s="363"/>
      <c r="W729" s="363"/>
      <c r="X729" s="363"/>
      <c r="Y729" s="363"/>
      <c r="Z729" s="363"/>
      <c r="AA729" s="363"/>
      <c r="AB729" s="363"/>
      <c r="AC729" s="363"/>
      <c r="AD729" s="363"/>
      <c r="AE729" s="363"/>
      <c r="AF729" s="363"/>
      <c r="AG729" s="363"/>
      <c r="AH729" s="363"/>
      <c r="AI729" s="363"/>
      <c r="AJ729" s="363"/>
      <c r="AK729" s="363"/>
      <c r="AL729" s="363"/>
      <c r="AM729" s="363"/>
    </row>
    <row r="730" spans="2:39" ht="12.75" customHeight="1" x14ac:dyDescent="0.2">
      <c r="B730" s="362"/>
      <c r="C730" s="363"/>
      <c r="D730" s="363"/>
      <c r="E730" s="363"/>
      <c r="F730" s="363"/>
      <c r="G730" s="363"/>
      <c r="H730" s="363"/>
      <c r="I730" s="363"/>
      <c r="J730" s="363"/>
      <c r="K730" s="363"/>
      <c r="L730" s="363"/>
      <c r="M730" s="363"/>
      <c r="N730" s="363"/>
      <c r="O730" s="363"/>
      <c r="P730" s="363"/>
      <c r="Q730" s="363"/>
      <c r="R730" s="363"/>
      <c r="S730" s="363"/>
      <c r="T730" s="363"/>
      <c r="U730" s="363"/>
      <c r="V730" s="363"/>
      <c r="W730" s="363"/>
      <c r="X730" s="363"/>
      <c r="Y730" s="363"/>
      <c r="Z730" s="363"/>
      <c r="AA730" s="363"/>
      <c r="AB730" s="363"/>
      <c r="AC730" s="363"/>
      <c r="AD730" s="363"/>
      <c r="AE730" s="363"/>
      <c r="AF730" s="363"/>
      <c r="AG730" s="363"/>
      <c r="AH730" s="363"/>
      <c r="AI730" s="363"/>
      <c r="AJ730" s="363"/>
      <c r="AK730" s="363"/>
      <c r="AL730" s="363"/>
      <c r="AM730" s="363"/>
    </row>
    <row r="731" spans="2:39" ht="12.75" customHeight="1" x14ac:dyDescent="0.2">
      <c r="B731" s="362"/>
      <c r="C731" s="363"/>
      <c r="D731" s="363"/>
      <c r="E731" s="363"/>
      <c r="F731" s="363"/>
      <c r="G731" s="363"/>
      <c r="H731" s="363"/>
      <c r="I731" s="363"/>
      <c r="J731" s="363"/>
      <c r="K731" s="363"/>
      <c r="L731" s="363"/>
      <c r="M731" s="363"/>
      <c r="N731" s="363"/>
      <c r="O731" s="363"/>
      <c r="P731" s="363"/>
      <c r="Q731" s="363"/>
      <c r="R731" s="363"/>
      <c r="S731" s="363"/>
      <c r="T731" s="363"/>
      <c r="U731" s="363"/>
      <c r="V731" s="363"/>
      <c r="W731" s="363"/>
      <c r="X731" s="363"/>
      <c r="Y731" s="363"/>
      <c r="Z731" s="363"/>
      <c r="AA731" s="363"/>
      <c r="AB731" s="363"/>
      <c r="AC731" s="363"/>
      <c r="AD731" s="363"/>
      <c r="AE731" s="363"/>
      <c r="AF731" s="363"/>
      <c r="AG731" s="363"/>
      <c r="AH731" s="363"/>
      <c r="AI731" s="363"/>
      <c r="AJ731" s="363"/>
      <c r="AK731" s="363"/>
      <c r="AL731" s="363"/>
      <c r="AM731" s="363"/>
    </row>
    <row r="732" spans="2:39" ht="12.75" customHeight="1" x14ac:dyDescent="0.2">
      <c r="B732" s="362"/>
      <c r="C732" s="363"/>
      <c r="D732" s="363"/>
      <c r="E732" s="363"/>
      <c r="F732" s="363"/>
      <c r="G732" s="363"/>
      <c r="H732" s="363"/>
      <c r="I732" s="363"/>
      <c r="J732" s="363"/>
      <c r="K732" s="363"/>
      <c r="L732" s="363"/>
      <c r="M732" s="363"/>
      <c r="N732" s="363"/>
      <c r="O732" s="363"/>
      <c r="P732" s="363"/>
      <c r="Q732" s="363"/>
      <c r="R732" s="363"/>
      <c r="S732" s="363"/>
      <c r="T732" s="363"/>
      <c r="U732" s="363"/>
      <c r="V732" s="363"/>
      <c r="W732" s="363"/>
      <c r="X732" s="363"/>
      <c r="Y732" s="363"/>
      <c r="Z732" s="363"/>
      <c r="AA732" s="363"/>
      <c r="AB732" s="363"/>
      <c r="AC732" s="363"/>
      <c r="AD732" s="363"/>
      <c r="AE732" s="363"/>
      <c r="AF732" s="363"/>
      <c r="AG732" s="363"/>
      <c r="AH732" s="363"/>
      <c r="AI732" s="363"/>
      <c r="AJ732" s="363"/>
      <c r="AK732" s="363"/>
      <c r="AL732" s="363"/>
      <c r="AM732" s="363"/>
    </row>
    <row r="733" spans="2:39" ht="12.75" customHeight="1" x14ac:dyDescent="0.2">
      <c r="B733" s="362"/>
      <c r="C733" s="363"/>
      <c r="D733" s="363"/>
      <c r="E733" s="363"/>
      <c r="F733" s="363"/>
      <c r="G733" s="363"/>
      <c r="H733" s="363"/>
      <c r="I733" s="363"/>
      <c r="J733" s="363"/>
      <c r="K733" s="363"/>
      <c r="L733" s="363"/>
      <c r="M733" s="363"/>
      <c r="N733" s="363"/>
      <c r="O733" s="363"/>
      <c r="P733" s="363"/>
      <c r="Q733" s="363"/>
      <c r="R733" s="363"/>
      <c r="S733" s="363"/>
      <c r="T733" s="363"/>
      <c r="U733" s="363"/>
      <c r="V733" s="363"/>
      <c r="W733" s="363"/>
      <c r="X733" s="363"/>
      <c r="Y733" s="363"/>
      <c r="Z733" s="363"/>
      <c r="AA733" s="363"/>
      <c r="AB733" s="363"/>
      <c r="AC733" s="363"/>
      <c r="AD733" s="363"/>
      <c r="AE733" s="363"/>
      <c r="AF733" s="363"/>
      <c r="AG733" s="363"/>
      <c r="AH733" s="363"/>
      <c r="AI733" s="363"/>
      <c r="AJ733" s="363"/>
      <c r="AK733" s="363"/>
      <c r="AL733" s="363"/>
      <c r="AM733" s="363"/>
    </row>
    <row r="734" spans="2:39" ht="12.75" customHeight="1" x14ac:dyDescent="0.2">
      <c r="B734" s="362"/>
      <c r="C734" s="363"/>
      <c r="D734" s="363"/>
      <c r="E734" s="363"/>
      <c r="F734" s="363"/>
      <c r="G734" s="363"/>
      <c r="H734" s="363"/>
      <c r="I734" s="363"/>
      <c r="J734" s="363"/>
      <c r="K734" s="363"/>
      <c r="L734" s="363"/>
      <c r="M734" s="363"/>
      <c r="N734" s="363"/>
      <c r="O734" s="363"/>
      <c r="P734" s="363"/>
      <c r="Q734" s="363"/>
      <c r="R734" s="363"/>
      <c r="S734" s="363"/>
      <c r="T734" s="363"/>
      <c r="U734" s="363"/>
      <c r="V734" s="363"/>
      <c r="W734" s="363"/>
      <c r="X734" s="363"/>
      <c r="Y734" s="363"/>
      <c r="Z734" s="363"/>
      <c r="AA734" s="363"/>
      <c r="AB734" s="363"/>
      <c r="AC734" s="363"/>
      <c r="AD734" s="363"/>
      <c r="AE734" s="363"/>
      <c r="AF734" s="363"/>
      <c r="AG734" s="363"/>
      <c r="AH734" s="363"/>
      <c r="AI734" s="363"/>
      <c r="AJ734" s="363"/>
      <c r="AK734" s="363"/>
      <c r="AL734" s="363"/>
      <c r="AM734" s="363"/>
    </row>
    <row r="735" spans="2:39" ht="12.75" customHeight="1" x14ac:dyDescent="0.2">
      <c r="B735" s="362"/>
      <c r="C735" s="363"/>
      <c r="D735" s="363"/>
      <c r="E735" s="363"/>
      <c r="F735" s="363"/>
      <c r="G735" s="363"/>
      <c r="H735" s="363"/>
      <c r="I735" s="363"/>
      <c r="J735" s="363"/>
      <c r="K735" s="363"/>
      <c r="L735" s="363"/>
      <c r="M735" s="363"/>
      <c r="N735" s="363"/>
      <c r="O735" s="363"/>
      <c r="P735" s="363"/>
      <c r="Q735" s="363"/>
      <c r="R735" s="363"/>
      <c r="S735" s="363"/>
      <c r="T735" s="363"/>
      <c r="U735" s="363"/>
      <c r="V735" s="363"/>
      <c r="W735" s="363"/>
      <c r="X735" s="363"/>
      <c r="Y735" s="363"/>
      <c r="Z735" s="363"/>
      <c r="AA735" s="363"/>
      <c r="AB735" s="363"/>
      <c r="AC735" s="363"/>
      <c r="AD735" s="363"/>
      <c r="AE735" s="363"/>
      <c r="AF735" s="363"/>
      <c r="AG735" s="363"/>
      <c r="AH735" s="363"/>
      <c r="AI735" s="363"/>
      <c r="AJ735" s="363"/>
      <c r="AK735" s="363"/>
      <c r="AL735" s="363"/>
      <c r="AM735" s="363"/>
    </row>
    <row r="736" spans="2:39" ht="12.75" customHeight="1" x14ac:dyDescent="0.2">
      <c r="B736" s="362"/>
      <c r="C736" s="363"/>
      <c r="D736" s="363"/>
      <c r="E736" s="363"/>
      <c r="F736" s="363"/>
      <c r="G736" s="363"/>
      <c r="H736" s="363"/>
      <c r="I736" s="363"/>
      <c r="J736" s="363"/>
      <c r="K736" s="363"/>
      <c r="L736" s="363"/>
      <c r="M736" s="363"/>
      <c r="N736" s="363"/>
      <c r="O736" s="363"/>
      <c r="P736" s="363"/>
      <c r="Q736" s="363"/>
      <c r="R736" s="363"/>
      <c r="S736" s="363"/>
      <c r="T736" s="363"/>
      <c r="U736" s="363"/>
      <c r="V736" s="363"/>
      <c r="W736" s="363"/>
      <c r="X736" s="363"/>
      <c r="Y736" s="363"/>
      <c r="Z736" s="363"/>
      <c r="AA736" s="363"/>
      <c r="AB736" s="363"/>
      <c r="AC736" s="363"/>
      <c r="AD736" s="363"/>
      <c r="AE736" s="363"/>
      <c r="AF736" s="363"/>
      <c r="AG736" s="363"/>
      <c r="AH736" s="363"/>
      <c r="AI736" s="363"/>
      <c r="AJ736" s="363"/>
      <c r="AK736" s="363"/>
      <c r="AL736" s="363"/>
      <c r="AM736" s="363"/>
    </row>
    <row r="737" spans="2:39" ht="12.75" customHeight="1" x14ac:dyDescent="0.2">
      <c r="B737" s="362"/>
      <c r="C737" s="363"/>
      <c r="D737" s="363"/>
      <c r="E737" s="363"/>
      <c r="F737" s="363"/>
      <c r="G737" s="363"/>
      <c r="H737" s="363"/>
      <c r="I737" s="363"/>
      <c r="J737" s="363"/>
      <c r="K737" s="363"/>
      <c r="L737" s="363"/>
      <c r="M737" s="363"/>
      <c r="N737" s="363"/>
      <c r="O737" s="363"/>
      <c r="P737" s="363"/>
      <c r="Q737" s="363"/>
      <c r="R737" s="363"/>
      <c r="S737" s="363"/>
      <c r="T737" s="363"/>
      <c r="U737" s="363"/>
      <c r="V737" s="363"/>
      <c r="W737" s="363"/>
      <c r="X737" s="363"/>
      <c r="Y737" s="363"/>
      <c r="Z737" s="363"/>
      <c r="AA737" s="363"/>
      <c r="AB737" s="363"/>
      <c r="AC737" s="363"/>
      <c r="AD737" s="363"/>
      <c r="AE737" s="363"/>
      <c r="AF737" s="363"/>
      <c r="AG737" s="363"/>
      <c r="AH737" s="363"/>
      <c r="AI737" s="363"/>
      <c r="AJ737" s="363"/>
      <c r="AK737" s="363"/>
      <c r="AL737" s="363"/>
      <c r="AM737" s="363"/>
    </row>
    <row r="738" spans="2:39" ht="12.75" customHeight="1" x14ac:dyDescent="0.2">
      <c r="B738" s="362"/>
      <c r="C738" s="363"/>
      <c r="D738" s="363"/>
      <c r="E738" s="363"/>
      <c r="F738" s="363"/>
      <c r="G738" s="363"/>
      <c r="H738" s="363"/>
      <c r="I738" s="363"/>
      <c r="J738" s="363"/>
      <c r="K738" s="363"/>
      <c r="L738" s="363"/>
      <c r="M738" s="363"/>
      <c r="N738" s="363"/>
      <c r="O738" s="363"/>
      <c r="P738" s="363"/>
      <c r="Q738" s="363"/>
      <c r="R738" s="363"/>
      <c r="S738" s="363"/>
      <c r="T738" s="363"/>
      <c r="U738" s="363"/>
      <c r="V738" s="363"/>
      <c r="W738" s="363"/>
      <c r="X738" s="363"/>
      <c r="Y738" s="363"/>
      <c r="Z738" s="363"/>
      <c r="AA738" s="363"/>
      <c r="AB738" s="363"/>
      <c r="AC738" s="363"/>
      <c r="AD738" s="363"/>
      <c r="AE738" s="363"/>
      <c r="AF738" s="363"/>
      <c r="AG738" s="363"/>
      <c r="AH738" s="363"/>
      <c r="AI738" s="363"/>
      <c r="AJ738" s="363"/>
      <c r="AK738" s="363"/>
      <c r="AL738" s="363"/>
      <c r="AM738" s="363"/>
    </row>
    <row r="739" spans="2:39" ht="12.75" customHeight="1" x14ac:dyDescent="0.2">
      <c r="B739" s="362"/>
      <c r="C739" s="363"/>
      <c r="D739" s="363"/>
      <c r="E739" s="363"/>
      <c r="F739" s="363"/>
      <c r="G739" s="363"/>
      <c r="H739" s="363"/>
      <c r="I739" s="363"/>
      <c r="J739" s="363"/>
      <c r="K739" s="363"/>
      <c r="L739" s="363"/>
      <c r="M739" s="363"/>
      <c r="N739" s="363"/>
      <c r="O739" s="363"/>
      <c r="P739" s="363"/>
      <c r="Q739" s="363"/>
      <c r="R739" s="363"/>
      <c r="S739" s="363"/>
      <c r="T739" s="363"/>
      <c r="U739" s="363"/>
      <c r="V739" s="363"/>
      <c r="W739" s="363"/>
      <c r="X739" s="363"/>
      <c r="Y739" s="363"/>
      <c r="Z739" s="363"/>
      <c r="AA739" s="363"/>
      <c r="AB739" s="363"/>
      <c r="AC739" s="363"/>
      <c r="AD739" s="363"/>
      <c r="AE739" s="363"/>
      <c r="AF739" s="363"/>
      <c r="AG739" s="363"/>
      <c r="AH739" s="363"/>
      <c r="AI739" s="363"/>
      <c r="AJ739" s="363"/>
      <c r="AK739" s="363"/>
      <c r="AL739" s="363"/>
      <c r="AM739" s="363"/>
    </row>
    <row r="740" spans="2:39" ht="12.75" customHeight="1" x14ac:dyDescent="0.2">
      <c r="B740" s="362"/>
      <c r="C740" s="363"/>
      <c r="D740" s="363"/>
      <c r="E740" s="363"/>
      <c r="F740" s="363"/>
      <c r="G740" s="363"/>
      <c r="H740" s="363"/>
      <c r="I740" s="363"/>
      <c r="J740" s="363"/>
      <c r="K740" s="363"/>
      <c r="L740" s="363"/>
      <c r="M740" s="363"/>
      <c r="N740" s="363"/>
      <c r="O740" s="363"/>
      <c r="P740" s="363"/>
      <c r="Q740" s="363"/>
      <c r="R740" s="363"/>
      <c r="S740" s="363"/>
      <c r="T740" s="363"/>
      <c r="U740" s="363"/>
      <c r="V740" s="363"/>
      <c r="W740" s="363"/>
      <c r="X740" s="363"/>
      <c r="Y740" s="363"/>
      <c r="Z740" s="363"/>
      <c r="AA740" s="363"/>
      <c r="AB740" s="363"/>
      <c r="AC740" s="363"/>
      <c r="AD740" s="363"/>
      <c r="AE740" s="363"/>
      <c r="AF740" s="363"/>
      <c r="AG740" s="363"/>
      <c r="AH740" s="363"/>
      <c r="AI740" s="363"/>
      <c r="AJ740" s="363"/>
      <c r="AK740" s="363"/>
      <c r="AL740" s="363"/>
      <c r="AM740" s="363"/>
    </row>
    <row r="741" spans="2:39" ht="12.75" customHeight="1" x14ac:dyDescent="0.2">
      <c r="B741" s="362"/>
      <c r="C741" s="363"/>
      <c r="D741" s="363"/>
      <c r="E741" s="363"/>
      <c r="F741" s="363"/>
      <c r="G741" s="363"/>
      <c r="H741" s="363"/>
      <c r="I741" s="363"/>
      <c r="J741" s="363"/>
      <c r="K741" s="363"/>
      <c r="L741" s="363"/>
      <c r="M741" s="363"/>
      <c r="N741" s="363"/>
      <c r="O741" s="363"/>
      <c r="P741" s="363"/>
      <c r="Q741" s="363"/>
      <c r="R741" s="363"/>
      <c r="S741" s="363"/>
      <c r="T741" s="363"/>
      <c r="U741" s="363"/>
      <c r="V741" s="363"/>
      <c r="W741" s="363"/>
      <c r="X741" s="363"/>
      <c r="Y741" s="363"/>
      <c r="Z741" s="363"/>
      <c r="AA741" s="363"/>
      <c r="AB741" s="363"/>
      <c r="AC741" s="363"/>
      <c r="AD741" s="363"/>
      <c r="AE741" s="363"/>
      <c r="AF741" s="363"/>
      <c r="AG741" s="363"/>
      <c r="AH741" s="363"/>
      <c r="AI741" s="363"/>
      <c r="AJ741" s="363"/>
      <c r="AK741" s="363"/>
      <c r="AL741" s="363"/>
      <c r="AM741" s="363"/>
    </row>
    <row r="742" spans="2:39" ht="12.75" customHeight="1" x14ac:dyDescent="0.2">
      <c r="B742" s="362"/>
      <c r="C742" s="363"/>
      <c r="D742" s="363"/>
      <c r="E742" s="363"/>
      <c r="F742" s="363"/>
      <c r="G742" s="363"/>
      <c r="H742" s="363"/>
      <c r="I742" s="363"/>
      <c r="J742" s="363"/>
      <c r="K742" s="363"/>
      <c r="L742" s="363"/>
      <c r="M742" s="363"/>
      <c r="N742" s="363"/>
      <c r="O742" s="363"/>
      <c r="P742" s="363"/>
      <c r="Q742" s="363"/>
      <c r="R742" s="363"/>
      <c r="S742" s="363"/>
      <c r="T742" s="363"/>
      <c r="U742" s="363"/>
      <c r="V742" s="363"/>
      <c r="W742" s="363"/>
      <c r="X742" s="363"/>
      <c r="Y742" s="363"/>
      <c r="Z742" s="363"/>
      <c r="AA742" s="363"/>
      <c r="AB742" s="363"/>
      <c r="AC742" s="363"/>
      <c r="AD742" s="363"/>
      <c r="AE742" s="363"/>
      <c r="AF742" s="363"/>
      <c r="AG742" s="363"/>
      <c r="AH742" s="363"/>
      <c r="AI742" s="363"/>
      <c r="AJ742" s="363"/>
      <c r="AK742" s="363"/>
      <c r="AL742" s="363"/>
      <c r="AM742" s="363"/>
    </row>
    <row r="743" spans="2:39" ht="12.75" customHeight="1" x14ac:dyDescent="0.2">
      <c r="B743" s="362"/>
      <c r="C743" s="363"/>
      <c r="D743" s="363"/>
      <c r="E743" s="363"/>
      <c r="F743" s="363"/>
      <c r="G743" s="363"/>
      <c r="H743" s="363"/>
      <c r="I743" s="363"/>
      <c r="J743" s="363"/>
      <c r="K743" s="363"/>
      <c r="L743" s="363"/>
      <c r="M743" s="363"/>
      <c r="N743" s="363"/>
      <c r="O743" s="363"/>
      <c r="P743" s="363"/>
      <c r="Q743" s="363"/>
      <c r="R743" s="363"/>
      <c r="S743" s="363"/>
      <c r="T743" s="363"/>
      <c r="U743" s="363"/>
      <c r="V743" s="363"/>
      <c r="W743" s="363"/>
      <c r="X743" s="363"/>
      <c r="Y743" s="363"/>
      <c r="Z743" s="363"/>
      <c r="AA743" s="363"/>
      <c r="AB743" s="363"/>
      <c r="AC743" s="363"/>
      <c r="AD743" s="363"/>
      <c r="AE743" s="363"/>
      <c r="AF743" s="363"/>
      <c r="AG743" s="363"/>
      <c r="AH743" s="363"/>
      <c r="AI743" s="363"/>
      <c r="AJ743" s="363"/>
      <c r="AK743" s="363"/>
      <c r="AL743" s="363"/>
      <c r="AM743" s="363"/>
    </row>
    <row r="744" spans="2:39" ht="12.75" customHeight="1" x14ac:dyDescent="0.2">
      <c r="B744" s="362"/>
      <c r="C744" s="363"/>
      <c r="D744" s="363"/>
      <c r="E744" s="363"/>
      <c r="F744" s="363"/>
      <c r="G744" s="363"/>
      <c r="H744" s="363"/>
      <c r="I744" s="363"/>
      <c r="J744" s="363"/>
      <c r="K744" s="363"/>
      <c r="L744" s="363"/>
      <c r="M744" s="363"/>
      <c r="N744" s="363"/>
      <c r="O744" s="363"/>
      <c r="P744" s="363"/>
      <c r="Q744" s="363"/>
      <c r="R744" s="363"/>
      <c r="S744" s="363"/>
      <c r="T744" s="363"/>
      <c r="U744" s="363"/>
      <c r="V744" s="363"/>
      <c r="W744" s="363"/>
      <c r="X744" s="363"/>
      <c r="Y744" s="363"/>
      <c r="Z744" s="363"/>
      <c r="AA744" s="363"/>
      <c r="AB744" s="363"/>
      <c r="AC744" s="363"/>
      <c r="AD744" s="363"/>
      <c r="AE744" s="363"/>
      <c r="AF744" s="363"/>
      <c r="AG744" s="363"/>
      <c r="AH744" s="363"/>
      <c r="AI744" s="363"/>
      <c r="AJ744" s="363"/>
      <c r="AK744" s="363"/>
      <c r="AL744" s="363"/>
      <c r="AM744" s="363"/>
    </row>
    <row r="745" spans="2:39" ht="12.75" customHeight="1" x14ac:dyDescent="0.2">
      <c r="B745" s="362"/>
      <c r="C745" s="363"/>
      <c r="D745" s="363"/>
      <c r="E745" s="363"/>
      <c r="F745" s="363"/>
      <c r="G745" s="363"/>
      <c r="H745" s="363"/>
      <c r="I745" s="363"/>
      <c r="J745" s="363"/>
      <c r="K745" s="363"/>
      <c r="L745" s="363"/>
      <c r="M745" s="363"/>
      <c r="N745" s="363"/>
      <c r="O745" s="363"/>
      <c r="P745" s="363"/>
      <c r="Q745" s="363"/>
      <c r="R745" s="363"/>
      <c r="S745" s="363"/>
      <c r="T745" s="363"/>
      <c r="U745" s="363"/>
      <c r="V745" s="363"/>
      <c r="W745" s="363"/>
      <c r="X745" s="363"/>
      <c r="Y745" s="363"/>
      <c r="Z745" s="363"/>
      <c r="AA745" s="363"/>
      <c r="AB745" s="363"/>
      <c r="AC745" s="363"/>
      <c r="AD745" s="363"/>
      <c r="AE745" s="363"/>
      <c r="AF745" s="363"/>
      <c r="AG745" s="363"/>
      <c r="AH745" s="363"/>
      <c r="AI745" s="363"/>
      <c r="AJ745" s="363"/>
      <c r="AK745" s="363"/>
      <c r="AL745" s="363"/>
      <c r="AM745" s="363"/>
    </row>
    <row r="746" spans="2:39" ht="12.75" customHeight="1" x14ac:dyDescent="0.2">
      <c r="B746" s="362"/>
      <c r="C746" s="363"/>
      <c r="D746" s="363"/>
      <c r="E746" s="363"/>
      <c r="F746" s="363"/>
      <c r="G746" s="363"/>
      <c r="H746" s="363"/>
      <c r="I746" s="363"/>
      <c r="J746" s="363"/>
      <c r="K746" s="363"/>
      <c r="L746" s="363"/>
      <c r="M746" s="363"/>
      <c r="N746" s="363"/>
      <c r="O746" s="363"/>
      <c r="P746" s="363"/>
      <c r="Q746" s="363"/>
      <c r="R746" s="363"/>
      <c r="S746" s="363"/>
      <c r="T746" s="363"/>
      <c r="U746" s="363"/>
      <c r="V746" s="363"/>
      <c r="W746" s="363"/>
      <c r="X746" s="363"/>
      <c r="Y746" s="363"/>
      <c r="Z746" s="363"/>
      <c r="AA746" s="363"/>
      <c r="AB746" s="363"/>
      <c r="AC746" s="363"/>
      <c r="AD746" s="363"/>
      <c r="AE746" s="363"/>
      <c r="AF746" s="363"/>
      <c r="AG746" s="363"/>
      <c r="AH746" s="363"/>
      <c r="AI746" s="363"/>
      <c r="AJ746" s="363"/>
      <c r="AK746" s="363"/>
      <c r="AL746" s="363"/>
      <c r="AM746" s="363"/>
    </row>
    <row r="747" spans="2:39" ht="12.75" customHeight="1" x14ac:dyDescent="0.2">
      <c r="B747" s="362"/>
      <c r="C747" s="363"/>
      <c r="D747" s="363"/>
      <c r="E747" s="363"/>
      <c r="F747" s="363"/>
      <c r="G747" s="363"/>
      <c r="H747" s="363"/>
      <c r="I747" s="363"/>
      <c r="J747" s="363"/>
      <c r="K747" s="363"/>
      <c r="L747" s="363"/>
      <c r="M747" s="363"/>
      <c r="N747" s="363"/>
      <c r="O747" s="363"/>
      <c r="P747" s="363"/>
      <c r="Q747" s="363"/>
      <c r="R747" s="363"/>
      <c r="S747" s="363"/>
      <c r="T747" s="363"/>
      <c r="U747" s="363"/>
      <c r="V747" s="363"/>
      <c r="W747" s="363"/>
      <c r="X747" s="363"/>
      <c r="Y747" s="363"/>
      <c r="Z747" s="363"/>
      <c r="AA747" s="363"/>
      <c r="AB747" s="363"/>
      <c r="AC747" s="363"/>
      <c r="AD747" s="363"/>
      <c r="AE747" s="363"/>
      <c r="AF747" s="363"/>
      <c r="AG747" s="363"/>
      <c r="AH747" s="363"/>
      <c r="AI747" s="363"/>
      <c r="AJ747" s="363"/>
      <c r="AK747" s="363"/>
      <c r="AL747" s="363"/>
      <c r="AM747" s="363"/>
    </row>
    <row r="748" spans="2:39" ht="12.75" customHeight="1" x14ac:dyDescent="0.2">
      <c r="B748" s="362"/>
      <c r="C748" s="363"/>
      <c r="D748" s="363"/>
      <c r="E748" s="363"/>
      <c r="F748" s="363"/>
      <c r="G748" s="363"/>
      <c r="H748" s="363"/>
      <c r="I748" s="363"/>
      <c r="J748" s="363"/>
      <c r="K748" s="363"/>
      <c r="L748" s="363"/>
      <c r="M748" s="363"/>
      <c r="N748" s="363"/>
      <c r="O748" s="363"/>
      <c r="P748" s="363"/>
      <c r="Q748" s="363"/>
      <c r="R748" s="363"/>
      <c r="S748" s="363"/>
      <c r="T748" s="363"/>
      <c r="U748" s="363"/>
      <c r="V748" s="363"/>
      <c r="W748" s="363"/>
      <c r="X748" s="363"/>
      <c r="Y748" s="363"/>
      <c r="Z748" s="363"/>
      <c r="AA748" s="363"/>
      <c r="AB748" s="363"/>
      <c r="AC748" s="363"/>
      <c r="AD748" s="363"/>
      <c r="AE748" s="363"/>
      <c r="AF748" s="363"/>
      <c r="AG748" s="363"/>
      <c r="AH748" s="363"/>
      <c r="AI748" s="363"/>
      <c r="AJ748" s="363"/>
      <c r="AK748" s="363"/>
      <c r="AL748" s="363"/>
      <c r="AM748" s="363"/>
    </row>
    <row r="749" spans="2:39" ht="12.75" customHeight="1" x14ac:dyDescent="0.2">
      <c r="B749" s="362"/>
      <c r="C749" s="363"/>
      <c r="D749" s="363"/>
      <c r="E749" s="363"/>
      <c r="F749" s="363"/>
      <c r="G749" s="363"/>
      <c r="H749" s="363"/>
      <c r="I749" s="363"/>
      <c r="J749" s="363"/>
      <c r="K749" s="363"/>
      <c r="L749" s="363"/>
      <c r="M749" s="363"/>
      <c r="N749" s="363"/>
      <c r="O749" s="363"/>
      <c r="P749" s="363"/>
      <c r="Q749" s="363"/>
      <c r="R749" s="363"/>
      <c r="S749" s="363"/>
      <c r="T749" s="363"/>
      <c r="U749" s="363"/>
      <c r="V749" s="363"/>
      <c r="W749" s="363"/>
      <c r="X749" s="363"/>
      <c r="Y749" s="363"/>
      <c r="Z749" s="363"/>
      <c r="AA749" s="363"/>
      <c r="AB749" s="363"/>
      <c r="AC749" s="363"/>
      <c r="AD749" s="363"/>
      <c r="AE749" s="363"/>
      <c r="AF749" s="363"/>
      <c r="AG749" s="363"/>
      <c r="AH749" s="363"/>
      <c r="AI749" s="363"/>
      <c r="AJ749" s="363"/>
      <c r="AK749" s="363"/>
      <c r="AL749" s="363"/>
      <c r="AM749" s="363"/>
    </row>
    <row r="750" spans="2:39" ht="12.75" customHeight="1" x14ac:dyDescent="0.2">
      <c r="B750" s="362"/>
      <c r="C750" s="363"/>
      <c r="D750" s="363"/>
      <c r="E750" s="363"/>
      <c r="F750" s="363"/>
      <c r="G750" s="363"/>
      <c r="H750" s="363"/>
      <c r="I750" s="363"/>
      <c r="J750" s="363"/>
      <c r="K750" s="363"/>
      <c r="L750" s="363"/>
      <c r="M750" s="363"/>
      <c r="N750" s="363"/>
      <c r="O750" s="363"/>
      <c r="P750" s="363"/>
      <c r="Q750" s="363"/>
      <c r="R750" s="363"/>
      <c r="S750" s="363"/>
      <c r="T750" s="363"/>
      <c r="U750" s="363"/>
      <c r="V750" s="363"/>
      <c r="W750" s="363"/>
      <c r="X750" s="363"/>
      <c r="Y750" s="363"/>
      <c r="Z750" s="363"/>
      <c r="AA750" s="363"/>
      <c r="AB750" s="363"/>
      <c r="AC750" s="363"/>
      <c r="AD750" s="363"/>
      <c r="AE750" s="363"/>
      <c r="AF750" s="363"/>
      <c r="AG750" s="363"/>
      <c r="AH750" s="363"/>
      <c r="AI750" s="363"/>
      <c r="AJ750" s="363"/>
      <c r="AK750" s="363"/>
      <c r="AL750" s="363"/>
      <c r="AM750" s="363"/>
    </row>
    <row r="751" spans="2:39" ht="12.75" customHeight="1" x14ac:dyDescent="0.2">
      <c r="B751" s="362"/>
      <c r="C751" s="363"/>
      <c r="D751" s="363"/>
      <c r="E751" s="363"/>
      <c r="F751" s="363"/>
      <c r="G751" s="363"/>
      <c r="H751" s="363"/>
      <c r="I751" s="363"/>
      <c r="J751" s="363"/>
      <c r="K751" s="363"/>
      <c r="L751" s="363"/>
      <c r="M751" s="363"/>
      <c r="N751" s="363"/>
      <c r="O751" s="363"/>
      <c r="P751" s="363"/>
      <c r="Q751" s="363"/>
      <c r="R751" s="363"/>
      <c r="S751" s="363"/>
      <c r="T751" s="363"/>
      <c r="U751" s="363"/>
      <c r="V751" s="363"/>
      <c r="W751" s="363"/>
      <c r="X751" s="363"/>
      <c r="Y751" s="363"/>
      <c r="Z751" s="363"/>
      <c r="AA751" s="363"/>
      <c r="AB751" s="363"/>
      <c r="AC751" s="363"/>
      <c r="AD751" s="363"/>
      <c r="AE751" s="363"/>
      <c r="AF751" s="363"/>
      <c r="AG751" s="363"/>
      <c r="AH751" s="363"/>
      <c r="AI751" s="363"/>
      <c r="AJ751" s="363"/>
      <c r="AK751" s="363"/>
      <c r="AL751" s="363"/>
      <c r="AM751" s="363"/>
    </row>
    <row r="752" spans="2:39" ht="12.75" customHeight="1" x14ac:dyDescent="0.2">
      <c r="B752" s="362"/>
      <c r="C752" s="363"/>
      <c r="D752" s="363"/>
      <c r="E752" s="363"/>
      <c r="F752" s="363"/>
      <c r="G752" s="363"/>
      <c r="H752" s="363"/>
      <c r="I752" s="363"/>
      <c r="J752" s="363"/>
      <c r="K752" s="363"/>
      <c r="L752" s="363"/>
      <c r="M752" s="363"/>
      <c r="N752" s="363"/>
      <c r="O752" s="363"/>
      <c r="P752" s="363"/>
      <c r="Q752" s="363"/>
      <c r="R752" s="363"/>
      <c r="S752" s="363"/>
      <c r="T752" s="363"/>
      <c r="U752" s="363"/>
      <c r="V752" s="363"/>
      <c r="W752" s="363"/>
      <c r="X752" s="363"/>
      <c r="Y752" s="363"/>
      <c r="Z752" s="363"/>
      <c r="AA752" s="363"/>
      <c r="AB752" s="363"/>
      <c r="AC752" s="363"/>
      <c r="AD752" s="363"/>
      <c r="AE752" s="363"/>
      <c r="AF752" s="363"/>
      <c r="AG752" s="363"/>
      <c r="AH752" s="363"/>
      <c r="AI752" s="363"/>
      <c r="AJ752" s="363"/>
      <c r="AK752" s="363"/>
      <c r="AL752" s="363"/>
      <c r="AM752" s="363"/>
    </row>
    <row r="753" spans="2:39" ht="12.75" customHeight="1" x14ac:dyDescent="0.2">
      <c r="B753" s="362"/>
      <c r="C753" s="363"/>
      <c r="D753" s="363"/>
      <c r="E753" s="363"/>
      <c r="F753" s="363"/>
      <c r="G753" s="363"/>
      <c r="H753" s="363"/>
      <c r="I753" s="363"/>
      <c r="J753" s="363"/>
      <c r="K753" s="363"/>
      <c r="L753" s="363"/>
      <c r="M753" s="363"/>
      <c r="N753" s="363"/>
      <c r="O753" s="363"/>
      <c r="P753" s="363"/>
      <c r="Q753" s="363"/>
      <c r="R753" s="363"/>
      <c r="S753" s="363"/>
      <c r="T753" s="363"/>
      <c r="U753" s="363"/>
      <c r="V753" s="363"/>
      <c r="W753" s="363"/>
      <c r="X753" s="363"/>
      <c r="Y753" s="363"/>
      <c r="Z753" s="363"/>
      <c r="AA753" s="363"/>
      <c r="AB753" s="363"/>
      <c r="AC753" s="363"/>
      <c r="AD753" s="363"/>
      <c r="AE753" s="363"/>
      <c r="AF753" s="363"/>
      <c r="AG753" s="363"/>
      <c r="AH753" s="363"/>
      <c r="AI753" s="363"/>
      <c r="AJ753" s="363"/>
      <c r="AK753" s="363"/>
      <c r="AL753" s="363"/>
      <c r="AM753" s="363"/>
    </row>
    <row r="754" spans="2:39" ht="12.75" customHeight="1" x14ac:dyDescent="0.2">
      <c r="B754" s="362"/>
      <c r="C754" s="363"/>
      <c r="D754" s="363"/>
      <c r="E754" s="363"/>
      <c r="F754" s="363"/>
      <c r="G754" s="363"/>
      <c r="H754" s="363"/>
      <c r="I754" s="363"/>
      <c r="J754" s="363"/>
      <c r="K754" s="363"/>
      <c r="L754" s="363"/>
      <c r="M754" s="363"/>
      <c r="N754" s="363"/>
      <c r="O754" s="363"/>
      <c r="P754" s="363"/>
      <c r="Q754" s="363"/>
      <c r="R754" s="363"/>
      <c r="S754" s="363"/>
      <c r="T754" s="363"/>
      <c r="U754" s="363"/>
      <c r="V754" s="363"/>
      <c r="W754" s="363"/>
      <c r="X754" s="363"/>
      <c r="Y754" s="363"/>
      <c r="Z754" s="363"/>
      <c r="AA754" s="363"/>
      <c r="AB754" s="363"/>
      <c r="AC754" s="363"/>
      <c r="AD754" s="363"/>
      <c r="AE754" s="363"/>
      <c r="AF754" s="363"/>
      <c r="AG754" s="363"/>
      <c r="AH754" s="363"/>
      <c r="AI754" s="363"/>
      <c r="AJ754" s="363"/>
      <c r="AK754" s="363"/>
      <c r="AL754" s="363"/>
      <c r="AM754" s="363"/>
    </row>
    <row r="755" spans="2:39" ht="12.75" customHeight="1" x14ac:dyDescent="0.2">
      <c r="B755" s="362"/>
      <c r="C755" s="363"/>
      <c r="D755" s="363"/>
      <c r="E755" s="363"/>
      <c r="F755" s="363"/>
      <c r="G755" s="363"/>
      <c r="H755" s="363"/>
      <c r="I755" s="363"/>
      <c r="J755" s="363"/>
      <c r="K755" s="363"/>
      <c r="L755" s="363"/>
      <c r="M755" s="363"/>
      <c r="N755" s="363"/>
      <c r="O755" s="363"/>
      <c r="P755" s="363"/>
      <c r="Q755" s="363"/>
      <c r="R755" s="363"/>
      <c r="S755" s="363"/>
      <c r="T755" s="363"/>
      <c r="U755" s="363"/>
      <c r="V755" s="363"/>
      <c r="W755" s="363"/>
      <c r="X755" s="363"/>
      <c r="Y755" s="363"/>
      <c r="Z755" s="363"/>
      <c r="AA755" s="363"/>
      <c r="AB755" s="363"/>
      <c r="AC755" s="363"/>
      <c r="AD755" s="363"/>
      <c r="AE755" s="363"/>
      <c r="AF755" s="363"/>
      <c r="AG755" s="363"/>
      <c r="AH755" s="363"/>
      <c r="AI755" s="363"/>
      <c r="AJ755" s="363"/>
      <c r="AK755" s="363"/>
      <c r="AL755" s="363"/>
      <c r="AM755" s="363"/>
    </row>
    <row r="756" spans="2:39" ht="12.75" customHeight="1" x14ac:dyDescent="0.2">
      <c r="B756" s="362"/>
      <c r="C756" s="363"/>
      <c r="D756" s="363"/>
      <c r="E756" s="363"/>
      <c r="F756" s="363"/>
      <c r="G756" s="363"/>
      <c r="H756" s="363"/>
      <c r="I756" s="363"/>
      <c r="J756" s="363"/>
      <c r="K756" s="363"/>
      <c r="L756" s="363"/>
      <c r="M756" s="363"/>
      <c r="N756" s="363"/>
      <c r="O756" s="363"/>
      <c r="P756" s="363"/>
      <c r="Q756" s="363"/>
      <c r="R756" s="363"/>
      <c r="S756" s="363"/>
      <c r="T756" s="363"/>
      <c r="U756" s="363"/>
      <c r="V756" s="363"/>
      <c r="W756" s="363"/>
      <c r="X756" s="363"/>
      <c r="Y756" s="363"/>
      <c r="Z756" s="363"/>
      <c r="AA756" s="363"/>
      <c r="AB756" s="363"/>
      <c r="AC756" s="363"/>
      <c r="AD756" s="363"/>
      <c r="AE756" s="363"/>
      <c r="AF756" s="363"/>
      <c r="AG756" s="363"/>
      <c r="AH756" s="363"/>
      <c r="AI756" s="363"/>
      <c r="AJ756" s="363"/>
      <c r="AK756" s="363"/>
      <c r="AL756" s="363"/>
      <c r="AM756" s="363"/>
    </row>
    <row r="757" spans="2:39" ht="12.75" customHeight="1" x14ac:dyDescent="0.2">
      <c r="B757" s="362"/>
      <c r="C757" s="363"/>
      <c r="D757" s="363"/>
      <c r="E757" s="363"/>
      <c r="F757" s="363"/>
      <c r="G757" s="363"/>
      <c r="H757" s="363"/>
      <c r="I757" s="363"/>
      <c r="J757" s="363"/>
      <c r="K757" s="363"/>
      <c r="L757" s="363"/>
      <c r="M757" s="363"/>
      <c r="N757" s="363"/>
      <c r="O757" s="363"/>
      <c r="P757" s="363"/>
      <c r="Q757" s="363"/>
      <c r="R757" s="363"/>
      <c r="S757" s="363"/>
      <c r="T757" s="363"/>
      <c r="U757" s="363"/>
      <c r="V757" s="363"/>
      <c r="W757" s="363"/>
      <c r="X757" s="363"/>
      <c r="Y757" s="363"/>
      <c r="Z757" s="363"/>
      <c r="AA757" s="363"/>
      <c r="AB757" s="363"/>
      <c r="AC757" s="363"/>
      <c r="AD757" s="363"/>
      <c r="AE757" s="363"/>
      <c r="AF757" s="363"/>
      <c r="AG757" s="363"/>
      <c r="AH757" s="363"/>
      <c r="AI757" s="363"/>
      <c r="AJ757" s="363"/>
      <c r="AK757" s="363"/>
      <c r="AL757" s="363"/>
      <c r="AM757" s="363"/>
    </row>
    <row r="758" spans="2:39" ht="12.75" customHeight="1" x14ac:dyDescent="0.2">
      <c r="B758" s="362"/>
      <c r="C758" s="363"/>
      <c r="D758" s="363"/>
      <c r="E758" s="363"/>
      <c r="F758" s="363"/>
      <c r="G758" s="363"/>
      <c r="H758" s="363"/>
      <c r="I758" s="363"/>
      <c r="J758" s="363"/>
      <c r="K758" s="363"/>
      <c r="L758" s="363"/>
      <c r="M758" s="363"/>
      <c r="N758" s="363"/>
      <c r="O758" s="363"/>
      <c r="P758" s="363"/>
      <c r="Q758" s="363"/>
      <c r="R758" s="363"/>
      <c r="S758" s="363"/>
      <c r="T758" s="363"/>
      <c r="U758" s="363"/>
      <c r="V758" s="363"/>
      <c r="W758" s="363"/>
      <c r="X758" s="363"/>
      <c r="Y758" s="363"/>
      <c r="Z758" s="363"/>
      <c r="AA758" s="363"/>
      <c r="AB758" s="363"/>
      <c r="AC758" s="363"/>
      <c r="AD758" s="363"/>
      <c r="AE758" s="363"/>
      <c r="AF758" s="363"/>
      <c r="AG758" s="363"/>
      <c r="AH758" s="363"/>
      <c r="AI758" s="363"/>
      <c r="AJ758" s="363"/>
      <c r="AK758" s="363"/>
      <c r="AL758" s="363"/>
      <c r="AM758" s="363"/>
    </row>
    <row r="759" spans="2:39" ht="12.75" customHeight="1" x14ac:dyDescent="0.2">
      <c r="B759" s="362"/>
      <c r="C759" s="363"/>
      <c r="D759" s="363"/>
      <c r="E759" s="363"/>
      <c r="F759" s="363"/>
      <c r="G759" s="363"/>
      <c r="H759" s="363"/>
      <c r="I759" s="363"/>
      <c r="J759" s="363"/>
      <c r="K759" s="363"/>
      <c r="L759" s="363"/>
      <c r="M759" s="363"/>
      <c r="N759" s="363"/>
      <c r="O759" s="363"/>
      <c r="P759" s="363"/>
      <c r="Q759" s="363"/>
      <c r="R759" s="363"/>
      <c r="S759" s="363"/>
      <c r="T759" s="363"/>
      <c r="U759" s="363"/>
      <c r="V759" s="363"/>
      <c r="W759" s="363"/>
      <c r="X759" s="363"/>
      <c r="Y759" s="363"/>
      <c r="Z759" s="363"/>
      <c r="AA759" s="363"/>
      <c r="AB759" s="363"/>
      <c r="AC759" s="363"/>
      <c r="AD759" s="363"/>
      <c r="AE759" s="363"/>
      <c r="AF759" s="363"/>
      <c r="AG759" s="363"/>
      <c r="AH759" s="363"/>
      <c r="AI759" s="363"/>
      <c r="AJ759" s="363"/>
      <c r="AK759" s="363"/>
      <c r="AL759" s="363"/>
      <c r="AM759" s="363"/>
    </row>
    <row r="760" spans="2:39" ht="12.75" customHeight="1" x14ac:dyDescent="0.2">
      <c r="B760" s="362"/>
      <c r="C760" s="363"/>
      <c r="D760" s="363"/>
      <c r="E760" s="363"/>
      <c r="F760" s="363"/>
      <c r="G760" s="363"/>
      <c r="H760" s="363"/>
      <c r="I760" s="363"/>
      <c r="J760" s="363"/>
      <c r="K760" s="363"/>
      <c r="L760" s="363"/>
      <c r="M760" s="363"/>
      <c r="N760" s="363"/>
      <c r="O760" s="363"/>
      <c r="P760" s="363"/>
      <c r="Q760" s="363"/>
      <c r="R760" s="363"/>
      <c r="S760" s="363"/>
      <c r="T760" s="363"/>
      <c r="U760" s="363"/>
      <c r="V760" s="363"/>
      <c r="W760" s="363"/>
      <c r="X760" s="363"/>
      <c r="Y760" s="363"/>
      <c r="Z760" s="363"/>
      <c r="AA760" s="363"/>
      <c r="AB760" s="363"/>
      <c r="AC760" s="363"/>
      <c r="AD760" s="363"/>
      <c r="AE760" s="363"/>
      <c r="AF760" s="363"/>
      <c r="AG760" s="363"/>
      <c r="AH760" s="363"/>
      <c r="AI760" s="363"/>
      <c r="AJ760" s="363"/>
      <c r="AK760" s="363"/>
      <c r="AL760" s="363"/>
      <c r="AM760" s="363"/>
    </row>
    <row r="761" spans="2:39" ht="12.75" customHeight="1" x14ac:dyDescent="0.2">
      <c r="B761" s="362"/>
      <c r="C761" s="363"/>
      <c r="D761" s="363"/>
      <c r="E761" s="363"/>
      <c r="F761" s="363"/>
      <c r="G761" s="363"/>
      <c r="H761" s="363"/>
      <c r="I761" s="363"/>
      <c r="J761" s="363"/>
      <c r="K761" s="363"/>
      <c r="L761" s="363"/>
      <c r="M761" s="363"/>
      <c r="N761" s="363"/>
      <c r="O761" s="363"/>
      <c r="P761" s="363"/>
      <c r="Q761" s="363"/>
      <c r="R761" s="363"/>
      <c r="S761" s="363"/>
      <c r="T761" s="363"/>
      <c r="U761" s="363"/>
      <c r="V761" s="363"/>
      <c r="W761" s="363"/>
      <c r="X761" s="363"/>
      <c r="Y761" s="363"/>
      <c r="Z761" s="363"/>
      <c r="AA761" s="363"/>
      <c r="AB761" s="363"/>
      <c r="AC761" s="363"/>
      <c r="AD761" s="363"/>
      <c r="AE761" s="363"/>
      <c r="AF761" s="363"/>
      <c r="AG761" s="363"/>
      <c r="AH761" s="363"/>
      <c r="AI761" s="363"/>
      <c r="AJ761" s="363"/>
      <c r="AK761" s="363"/>
      <c r="AL761" s="363"/>
      <c r="AM761" s="363"/>
    </row>
    <row r="762" spans="2:39" ht="12.75" customHeight="1" x14ac:dyDescent="0.2">
      <c r="B762" s="362"/>
      <c r="C762" s="363"/>
      <c r="D762" s="363"/>
      <c r="E762" s="363"/>
      <c r="F762" s="363"/>
      <c r="G762" s="363"/>
      <c r="H762" s="363"/>
      <c r="I762" s="363"/>
      <c r="J762" s="363"/>
      <c r="K762" s="363"/>
      <c r="L762" s="363"/>
      <c r="M762" s="363"/>
      <c r="N762" s="363"/>
      <c r="O762" s="363"/>
      <c r="P762" s="363"/>
      <c r="Q762" s="363"/>
      <c r="R762" s="363"/>
      <c r="S762" s="363"/>
      <c r="T762" s="363"/>
      <c r="U762" s="363"/>
      <c r="V762" s="363"/>
      <c r="W762" s="363"/>
      <c r="X762" s="363"/>
      <c r="Y762" s="363"/>
      <c r="Z762" s="363"/>
      <c r="AA762" s="363"/>
      <c r="AB762" s="363"/>
      <c r="AC762" s="363"/>
      <c r="AD762" s="363"/>
      <c r="AE762" s="363"/>
      <c r="AF762" s="363"/>
      <c r="AG762" s="363"/>
      <c r="AH762" s="363"/>
      <c r="AI762" s="363"/>
      <c r="AJ762" s="363"/>
      <c r="AK762" s="363"/>
      <c r="AL762" s="363"/>
      <c r="AM762" s="363"/>
    </row>
    <row r="763" spans="2:39" ht="12.75" customHeight="1" x14ac:dyDescent="0.2">
      <c r="B763" s="362"/>
      <c r="C763" s="363"/>
      <c r="D763" s="363"/>
      <c r="E763" s="363"/>
      <c r="F763" s="363"/>
      <c r="G763" s="363"/>
      <c r="H763" s="363"/>
      <c r="I763" s="363"/>
      <c r="J763" s="363"/>
      <c r="K763" s="363"/>
      <c r="L763" s="363"/>
      <c r="M763" s="363"/>
      <c r="N763" s="363"/>
      <c r="O763" s="363"/>
      <c r="P763" s="363"/>
      <c r="Q763" s="363"/>
      <c r="R763" s="363"/>
      <c r="S763" s="363"/>
      <c r="T763" s="363"/>
      <c r="U763" s="363"/>
      <c r="V763" s="363"/>
      <c r="W763" s="363"/>
      <c r="X763" s="363"/>
      <c r="Y763" s="363"/>
      <c r="Z763" s="363"/>
      <c r="AA763" s="363"/>
      <c r="AB763" s="363"/>
      <c r="AC763" s="363"/>
      <c r="AD763" s="363"/>
      <c r="AE763" s="363"/>
      <c r="AF763" s="363"/>
      <c r="AG763" s="363"/>
      <c r="AH763" s="363"/>
      <c r="AI763" s="363"/>
      <c r="AJ763" s="363"/>
      <c r="AK763" s="363"/>
      <c r="AL763" s="363"/>
      <c r="AM763" s="363"/>
    </row>
    <row r="764" spans="2:39" ht="12.75" customHeight="1" x14ac:dyDescent="0.2">
      <c r="B764" s="362"/>
      <c r="C764" s="363"/>
      <c r="D764" s="363"/>
      <c r="E764" s="363"/>
      <c r="F764" s="363"/>
      <c r="G764" s="363"/>
      <c r="H764" s="363"/>
      <c r="I764" s="363"/>
      <c r="J764" s="363"/>
      <c r="K764" s="363"/>
      <c r="L764" s="363"/>
      <c r="M764" s="363"/>
      <c r="N764" s="363"/>
      <c r="O764" s="363"/>
      <c r="P764" s="363"/>
      <c r="Q764" s="363"/>
      <c r="R764" s="363"/>
      <c r="S764" s="363"/>
      <c r="T764" s="363"/>
      <c r="U764" s="363"/>
      <c r="V764" s="363"/>
      <c r="W764" s="363"/>
      <c r="X764" s="363"/>
      <c r="Y764" s="363"/>
      <c r="Z764" s="363"/>
      <c r="AA764" s="363"/>
      <c r="AB764" s="363"/>
      <c r="AC764" s="363"/>
      <c r="AD764" s="363"/>
      <c r="AE764" s="363"/>
      <c r="AF764" s="363"/>
      <c r="AG764" s="363"/>
      <c r="AH764" s="363"/>
      <c r="AI764" s="363"/>
      <c r="AJ764" s="363"/>
      <c r="AK764" s="363"/>
      <c r="AL764" s="363"/>
      <c r="AM764" s="363"/>
    </row>
    <row r="765" spans="2:39" ht="12.75" customHeight="1" x14ac:dyDescent="0.2">
      <c r="B765" s="362"/>
      <c r="C765" s="363"/>
      <c r="D765" s="363"/>
      <c r="E765" s="363"/>
      <c r="F765" s="363"/>
      <c r="G765" s="363"/>
      <c r="H765" s="363"/>
      <c r="I765" s="363"/>
      <c r="J765" s="363"/>
      <c r="K765" s="363"/>
      <c r="L765" s="363"/>
      <c r="M765" s="363"/>
      <c r="N765" s="363"/>
      <c r="O765" s="363"/>
      <c r="P765" s="363"/>
      <c r="Q765" s="363"/>
      <c r="R765" s="363"/>
      <c r="S765" s="363"/>
      <c r="T765" s="363"/>
      <c r="U765" s="363"/>
      <c r="V765" s="363"/>
      <c r="W765" s="363"/>
      <c r="X765" s="363"/>
      <c r="Y765" s="363"/>
      <c r="Z765" s="363"/>
      <c r="AA765" s="363"/>
      <c r="AB765" s="363"/>
      <c r="AC765" s="363"/>
      <c r="AD765" s="363"/>
      <c r="AE765" s="363"/>
      <c r="AF765" s="363"/>
      <c r="AG765" s="363"/>
      <c r="AH765" s="363"/>
      <c r="AI765" s="363"/>
      <c r="AJ765" s="363"/>
      <c r="AK765" s="363"/>
      <c r="AL765" s="363"/>
      <c r="AM765" s="363"/>
    </row>
    <row r="766" spans="2:39" ht="12.75" customHeight="1" x14ac:dyDescent="0.2">
      <c r="B766" s="362"/>
      <c r="C766" s="363"/>
      <c r="D766" s="363"/>
      <c r="E766" s="363"/>
      <c r="F766" s="363"/>
      <c r="G766" s="363"/>
      <c r="H766" s="363"/>
      <c r="I766" s="363"/>
      <c r="J766" s="363"/>
      <c r="K766" s="363"/>
      <c r="L766" s="363"/>
      <c r="M766" s="363"/>
      <c r="N766" s="363"/>
      <c r="O766" s="363"/>
      <c r="P766" s="363"/>
      <c r="Q766" s="363"/>
      <c r="R766" s="363"/>
      <c r="S766" s="363"/>
      <c r="T766" s="363"/>
      <c r="U766" s="363"/>
      <c r="V766" s="363"/>
      <c r="W766" s="363"/>
      <c r="X766" s="363"/>
      <c r="Y766" s="363"/>
      <c r="Z766" s="363"/>
      <c r="AA766" s="363"/>
      <c r="AB766" s="363"/>
      <c r="AC766" s="363"/>
      <c r="AD766" s="363"/>
      <c r="AE766" s="363"/>
      <c r="AF766" s="363"/>
      <c r="AG766" s="363"/>
      <c r="AH766" s="363"/>
      <c r="AI766" s="363"/>
      <c r="AJ766" s="363"/>
      <c r="AK766" s="363"/>
      <c r="AL766" s="363"/>
      <c r="AM766" s="363"/>
    </row>
    <row r="767" spans="2:39" ht="12.75" customHeight="1" x14ac:dyDescent="0.2">
      <c r="B767" s="362"/>
      <c r="C767" s="363"/>
      <c r="D767" s="363"/>
      <c r="E767" s="363"/>
      <c r="F767" s="363"/>
      <c r="G767" s="363"/>
      <c r="H767" s="363"/>
      <c r="I767" s="363"/>
      <c r="J767" s="363"/>
      <c r="K767" s="363"/>
      <c r="L767" s="363"/>
      <c r="M767" s="363"/>
      <c r="N767" s="363"/>
      <c r="O767" s="363"/>
      <c r="P767" s="363"/>
      <c r="Q767" s="363"/>
      <c r="R767" s="363"/>
      <c r="S767" s="363"/>
      <c r="T767" s="363"/>
      <c r="U767" s="363"/>
      <c r="V767" s="363"/>
      <c r="W767" s="363"/>
      <c r="X767" s="363"/>
      <c r="Y767" s="363"/>
      <c r="Z767" s="363"/>
      <c r="AA767" s="363"/>
      <c r="AB767" s="363"/>
      <c r="AC767" s="363"/>
      <c r="AD767" s="363"/>
      <c r="AE767" s="363"/>
      <c r="AF767" s="363"/>
      <c r="AG767" s="363"/>
      <c r="AH767" s="363"/>
      <c r="AI767" s="363"/>
      <c r="AJ767" s="363"/>
      <c r="AK767" s="363"/>
      <c r="AL767" s="363"/>
      <c r="AM767" s="363"/>
    </row>
    <row r="768" spans="2:39" ht="12.75" customHeight="1" x14ac:dyDescent="0.2">
      <c r="B768" s="362"/>
      <c r="C768" s="363"/>
      <c r="D768" s="363"/>
      <c r="E768" s="363"/>
      <c r="F768" s="363"/>
      <c r="G768" s="363"/>
      <c r="H768" s="363"/>
      <c r="I768" s="363"/>
      <c r="J768" s="363"/>
      <c r="K768" s="363"/>
      <c r="L768" s="363"/>
      <c r="M768" s="363"/>
      <c r="N768" s="363"/>
      <c r="O768" s="363"/>
      <c r="P768" s="363"/>
      <c r="Q768" s="363"/>
      <c r="R768" s="363"/>
      <c r="S768" s="363"/>
      <c r="T768" s="363"/>
      <c r="U768" s="363"/>
      <c r="V768" s="363"/>
      <c r="W768" s="363"/>
      <c r="X768" s="363"/>
      <c r="Y768" s="363"/>
      <c r="Z768" s="363"/>
      <c r="AA768" s="363"/>
      <c r="AB768" s="363"/>
      <c r="AC768" s="363"/>
      <c r="AD768" s="363"/>
      <c r="AE768" s="363"/>
      <c r="AF768" s="363"/>
      <c r="AG768" s="363"/>
      <c r="AH768" s="363"/>
      <c r="AI768" s="363"/>
      <c r="AJ768" s="363"/>
      <c r="AK768" s="363"/>
      <c r="AL768" s="363"/>
      <c r="AM768" s="363"/>
    </row>
    <row r="769" spans="2:39" ht="12.75" customHeight="1" x14ac:dyDescent="0.2">
      <c r="B769" s="362"/>
      <c r="C769" s="363"/>
      <c r="D769" s="363"/>
      <c r="E769" s="363"/>
      <c r="F769" s="363"/>
      <c r="G769" s="363"/>
      <c r="H769" s="363"/>
      <c r="I769" s="363"/>
      <c r="J769" s="363"/>
      <c r="K769" s="363"/>
      <c r="L769" s="363"/>
      <c r="M769" s="363"/>
      <c r="N769" s="363"/>
      <c r="O769" s="363"/>
      <c r="P769" s="363"/>
      <c r="Q769" s="363"/>
      <c r="R769" s="363"/>
      <c r="S769" s="363"/>
      <c r="T769" s="363"/>
      <c r="U769" s="363"/>
      <c r="V769" s="363"/>
      <c r="W769" s="363"/>
      <c r="X769" s="363"/>
      <c r="Y769" s="363"/>
      <c r="Z769" s="363"/>
      <c r="AA769" s="363"/>
      <c r="AB769" s="363"/>
      <c r="AC769" s="363"/>
      <c r="AD769" s="363"/>
      <c r="AE769" s="363"/>
      <c r="AF769" s="363"/>
      <c r="AG769" s="363"/>
      <c r="AH769" s="363"/>
      <c r="AI769" s="363"/>
      <c r="AJ769" s="363"/>
      <c r="AK769" s="363"/>
      <c r="AL769" s="363"/>
      <c r="AM769" s="363"/>
    </row>
    <row r="770" spans="2:39" ht="12.75" customHeight="1" x14ac:dyDescent="0.2">
      <c r="B770" s="362"/>
      <c r="C770" s="363"/>
      <c r="D770" s="363"/>
      <c r="E770" s="363"/>
      <c r="F770" s="363"/>
      <c r="G770" s="363"/>
      <c r="H770" s="363"/>
      <c r="I770" s="363"/>
      <c r="J770" s="363"/>
      <c r="K770" s="363"/>
      <c r="L770" s="363"/>
      <c r="M770" s="363"/>
      <c r="N770" s="363"/>
      <c r="O770" s="363"/>
      <c r="P770" s="363"/>
      <c r="Q770" s="363"/>
      <c r="R770" s="363"/>
      <c r="S770" s="363"/>
      <c r="T770" s="363"/>
      <c r="U770" s="363"/>
      <c r="V770" s="363"/>
      <c r="W770" s="363"/>
      <c r="X770" s="363"/>
      <c r="Y770" s="363"/>
      <c r="Z770" s="363"/>
      <c r="AA770" s="363"/>
      <c r="AB770" s="363"/>
      <c r="AC770" s="363"/>
      <c r="AD770" s="363"/>
      <c r="AE770" s="363"/>
      <c r="AF770" s="363"/>
      <c r="AG770" s="363"/>
      <c r="AH770" s="363"/>
      <c r="AI770" s="363"/>
      <c r="AJ770" s="363"/>
      <c r="AK770" s="363"/>
      <c r="AL770" s="363"/>
      <c r="AM770" s="363"/>
    </row>
    <row r="771" spans="2:39" ht="12.75" customHeight="1" x14ac:dyDescent="0.2">
      <c r="B771" s="362"/>
      <c r="C771" s="363"/>
      <c r="D771" s="363"/>
      <c r="E771" s="363"/>
      <c r="F771" s="363"/>
      <c r="G771" s="363"/>
      <c r="H771" s="363"/>
      <c r="I771" s="363"/>
      <c r="J771" s="363"/>
      <c r="K771" s="363"/>
      <c r="L771" s="363"/>
      <c r="M771" s="363"/>
      <c r="N771" s="363"/>
      <c r="O771" s="363"/>
      <c r="P771" s="363"/>
      <c r="Q771" s="363"/>
      <c r="R771" s="363"/>
      <c r="S771" s="363"/>
      <c r="T771" s="363"/>
      <c r="U771" s="363"/>
      <c r="V771" s="363"/>
      <c r="W771" s="363"/>
      <c r="X771" s="363"/>
      <c r="Y771" s="363"/>
      <c r="Z771" s="363"/>
      <c r="AA771" s="363"/>
      <c r="AB771" s="363"/>
      <c r="AC771" s="363"/>
      <c r="AD771" s="363"/>
      <c r="AE771" s="363"/>
      <c r="AF771" s="363"/>
      <c r="AG771" s="363"/>
      <c r="AH771" s="363"/>
      <c r="AI771" s="363"/>
      <c r="AJ771" s="363"/>
      <c r="AK771" s="363"/>
      <c r="AL771" s="363"/>
      <c r="AM771" s="363"/>
    </row>
    <row r="772" spans="2:39" ht="12.75" customHeight="1" x14ac:dyDescent="0.2">
      <c r="B772" s="362"/>
      <c r="C772" s="363"/>
      <c r="D772" s="363"/>
      <c r="E772" s="363"/>
      <c r="F772" s="363"/>
      <c r="G772" s="363"/>
      <c r="H772" s="363"/>
      <c r="I772" s="363"/>
      <c r="J772" s="363"/>
      <c r="K772" s="363"/>
      <c r="L772" s="363"/>
      <c r="M772" s="363"/>
      <c r="N772" s="363"/>
      <c r="O772" s="363"/>
      <c r="P772" s="363"/>
      <c r="Q772" s="363"/>
      <c r="R772" s="363"/>
      <c r="S772" s="363"/>
      <c r="T772" s="363"/>
      <c r="U772" s="363"/>
      <c r="V772" s="363"/>
      <c r="W772" s="363"/>
      <c r="X772" s="363"/>
      <c r="Y772" s="363"/>
      <c r="Z772" s="363"/>
      <c r="AA772" s="363"/>
      <c r="AB772" s="363"/>
      <c r="AC772" s="363"/>
      <c r="AD772" s="363"/>
      <c r="AE772" s="363"/>
      <c r="AF772" s="363"/>
      <c r="AG772" s="363"/>
      <c r="AH772" s="363"/>
      <c r="AI772" s="363"/>
      <c r="AJ772" s="363"/>
      <c r="AK772" s="363"/>
      <c r="AL772" s="363"/>
      <c r="AM772" s="363"/>
    </row>
    <row r="773" spans="2:39" ht="12.75" customHeight="1" x14ac:dyDescent="0.2">
      <c r="B773" s="362"/>
      <c r="C773" s="363"/>
      <c r="D773" s="363"/>
      <c r="E773" s="363"/>
      <c r="F773" s="363"/>
      <c r="G773" s="363"/>
      <c r="H773" s="363"/>
      <c r="I773" s="363"/>
      <c r="J773" s="363"/>
      <c r="K773" s="363"/>
      <c r="L773" s="363"/>
      <c r="M773" s="363"/>
      <c r="N773" s="363"/>
      <c r="O773" s="363"/>
      <c r="P773" s="363"/>
      <c r="Q773" s="363"/>
      <c r="R773" s="363"/>
      <c r="S773" s="363"/>
      <c r="T773" s="363"/>
      <c r="U773" s="363"/>
      <c r="V773" s="363"/>
      <c r="W773" s="363"/>
      <c r="X773" s="363"/>
      <c r="Y773" s="363"/>
      <c r="Z773" s="363"/>
      <c r="AA773" s="363"/>
      <c r="AB773" s="363"/>
      <c r="AC773" s="363"/>
      <c r="AD773" s="363"/>
      <c r="AE773" s="363"/>
      <c r="AF773" s="363"/>
      <c r="AG773" s="363"/>
      <c r="AH773" s="363"/>
      <c r="AI773" s="363"/>
      <c r="AJ773" s="363"/>
      <c r="AK773" s="363"/>
      <c r="AL773" s="363"/>
      <c r="AM773" s="363"/>
    </row>
    <row r="774" spans="2:39" ht="12.75" customHeight="1" x14ac:dyDescent="0.2">
      <c r="B774" s="362"/>
      <c r="C774" s="363"/>
      <c r="D774" s="363"/>
      <c r="E774" s="363"/>
      <c r="F774" s="363"/>
      <c r="G774" s="363"/>
      <c r="H774" s="363"/>
      <c r="I774" s="363"/>
      <c r="J774" s="363"/>
      <c r="K774" s="363"/>
      <c r="L774" s="363"/>
      <c r="M774" s="363"/>
      <c r="N774" s="363"/>
      <c r="O774" s="363"/>
      <c r="P774" s="363"/>
      <c r="Q774" s="363"/>
      <c r="R774" s="363"/>
      <c r="S774" s="363"/>
      <c r="T774" s="363"/>
      <c r="U774" s="363"/>
      <c r="V774" s="363"/>
      <c r="W774" s="363"/>
      <c r="X774" s="363"/>
      <c r="Y774" s="363"/>
      <c r="Z774" s="363"/>
      <c r="AA774" s="363"/>
      <c r="AB774" s="363"/>
      <c r="AC774" s="363"/>
      <c r="AD774" s="363"/>
      <c r="AE774" s="363"/>
      <c r="AF774" s="363"/>
      <c r="AG774" s="363"/>
      <c r="AH774" s="363"/>
      <c r="AI774" s="363"/>
      <c r="AJ774" s="363"/>
      <c r="AK774" s="363"/>
      <c r="AL774" s="363"/>
      <c r="AM774" s="363"/>
    </row>
    <row r="775" spans="2:39" ht="12.75" customHeight="1" x14ac:dyDescent="0.2">
      <c r="B775" s="362"/>
      <c r="C775" s="363"/>
      <c r="D775" s="363"/>
      <c r="E775" s="363"/>
      <c r="F775" s="363"/>
      <c r="G775" s="363"/>
      <c r="H775" s="363"/>
      <c r="I775" s="363"/>
      <c r="J775" s="363"/>
      <c r="K775" s="363"/>
      <c r="L775" s="363"/>
      <c r="M775" s="363"/>
      <c r="N775" s="363"/>
      <c r="O775" s="363"/>
      <c r="P775" s="363"/>
      <c r="Q775" s="363"/>
      <c r="R775" s="363"/>
      <c r="S775" s="363"/>
      <c r="T775" s="363"/>
      <c r="U775" s="363"/>
      <c r="V775" s="363"/>
      <c r="W775" s="363"/>
      <c r="X775" s="363"/>
      <c r="Y775" s="363"/>
      <c r="Z775" s="363"/>
      <c r="AA775" s="363"/>
      <c r="AB775" s="363"/>
      <c r="AC775" s="363"/>
      <c r="AD775" s="363"/>
      <c r="AE775" s="363"/>
      <c r="AF775" s="363"/>
      <c r="AG775" s="363"/>
      <c r="AH775" s="363"/>
      <c r="AI775" s="363"/>
      <c r="AJ775" s="363"/>
      <c r="AK775" s="363"/>
      <c r="AL775" s="363"/>
      <c r="AM775" s="363"/>
    </row>
    <row r="776" spans="2:39" ht="12.75" customHeight="1" x14ac:dyDescent="0.2">
      <c r="B776" s="362"/>
      <c r="C776" s="363"/>
      <c r="D776" s="363"/>
      <c r="E776" s="363"/>
      <c r="F776" s="363"/>
      <c r="G776" s="363"/>
      <c r="H776" s="363"/>
      <c r="I776" s="363"/>
      <c r="J776" s="363"/>
      <c r="K776" s="363"/>
      <c r="L776" s="363"/>
      <c r="M776" s="363"/>
      <c r="N776" s="363"/>
      <c r="O776" s="363"/>
      <c r="P776" s="363"/>
      <c r="Q776" s="363"/>
      <c r="R776" s="363"/>
      <c r="S776" s="363"/>
      <c r="T776" s="363"/>
      <c r="U776" s="363"/>
      <c r="V776" s="363"/>
      <c r="W776" s="363"/>
      <c r="X776" s="363"/>
      <c r="Y776" s="363"/>
      <c r="Z776" s="363"/>
      <c r="AA776" s="363"/>
      <c r="AB776" s="363"/>
      <c r="AC776" s="363"/>
      <c r="AD776" s="363"/>
      <c r="AE776" s="363"/>
      <c r="AF776" s="363"/>
      <c r="AG776" s="363"/>
      <c r="AH776" s="363"/>
      <c r="AI776" s="363"/>
      <c r="AJ776" s="363"/>
      <c r="AK776" s="363"/>
      <c r="AL776" s="363"/>
      <c r="AM776" s="363"/>
    </row>
    <row r="777" spans="2:39" ht="12.75" customHeight="1" x14ac:dyDescent="0.2">
      <c r="B777" s="362"/>
      <c r="C777" s="363"/>
      <c r="D777" s="363"/>
      <c r="E777" s="363"/>
      <c r="F777" s="363"/>
      <c r="G777" s="363"/>
      <c r="H777" s="363"/>
      <c r="I777" s="363"/>
      <c r="J777" s="363"/>
      <c r="K777" s="363"/>
      <c r="L777" s="363"/>
      <c r="M777" s="363"/>
      <c r="N777" s="363"/>
      <c r="O777" s="363"/>
      <c r="P777" s="363"/>
      <c r="Q777" s="363"/>
      <c r="R777" s="363"/>
      <c r="S777" s="363"/>
      <c r="T777" s="363"/>
      <c r="U777" s="363"/>
      <c r="V777" s="363"/>
      <c r="W777" s="363"/>
      <c r="X777" s="363"/>
      <c r="Y777" s="363"/>
      <c r="Z777" s="363"/>
      <c r="AA777" s="363"/>
      <c r="AB777" s="363"/>
      <c r="AC777" s="363"/>
      <c r="AD777" s="363"/>
      <c r="AE777" s="363"/>
      <c r="AF777" s="363"/>
      <c r="AG777" s="363"/>
      <c r="AH777" s="363"/>
      <c r="AI777" s="363"/>
      <c r="AJ777" s="363"/>
      <c r="AK777" s="363"/>
      <c r="AL777" s="363"/>
      <c r="AM777" s="363"/>
    </row>
    <row r="778" spans="2:39" ht="12.75" customHeight="1" x14ac:dyDescent="0.2">
      <c r="B778" s="362"/>
      <c r="C778" s="363"/>
      <c r="D778" s="363"/>
      <c r="E778" s="363"/>
      <c r="F778" s="363"/>
      <c r="G778" s="363"/>
      <c r="H778" s="363"/>
      <c r="I778" s="363"/>
      <c r="J778" s="363"/>
      <c r="K778" s="363"/>
      <c r="L778" s="363"/>
      <c r="M778" s="363"/>
      <c r="N778" s="363"/>
      <c r="O778" s="363"/>
      <c r="P778" s="363"/>
      <c r="Q778" s="363"/>
      <c r="R778" s="363"/>
      <c r="S778" s="363"/>
      <c r="T778" s="363"/>
      <c r="U778" s="363"/>
      <c r="V778" s="363"/>
      <c r="W778" s="363"/>
      <c r="X778" s="363"/>
      <c r="Y778" s="363"/>
      <c r="Z778" s="363"/>
      <c r="AA778" s="363"/>
      <c r="AB778" s="363"/>
      <c r="AC778" s="363"/>
      <c r="AD778" s="363"/>
      <c r="AE778" s="363"/>
      <c r="AF778" s="363"/>
      <c r="AG778" s="363"/>
      <c r="AH778" s="363"/>
      <c r="AI778" s="363"/>
      <c r="AJ778" s="363"/>
      <c r="AK778" s="363"/>
      <c r="AL778" s="363"/>
      <c r="AM778" s="363"/>
    </row>
    <row r="779" spans="2:39" ht="12.75" customHeight="1" x14ac:dyDescent="0.2">
      <c r="B779" s="362"/>
      <c r="C779" s="363"/>
      <c r="D779" s="363"/>
      <c r="E779" s="363"/>
      <c r="F779" s="363"/>
      <c r="G779" s="363"/>
      <c r="H779" s="363"/>
      <c r="I779" s="363"/>
      <c r="J779" s="363"/>
      <c r="K779" s="363"/>
      <c r="L779" s="363"/>
      <c r="M779" s="363"/>
      <c r="N779" s="363"/>
      <c r="O779" s="363"/>
      <c r="P779" s="363"/>
      <c r="Q779" s="363"/>
      <c r="R779" s="363"/>
      <c r="S779" s="363"/>
      <c r="T779" s="363"/>
      <c r="U779" s="363"/>
      <c r="V779" s="363"/>
      <c r="W779" s="363"/>
      <c r="X779" s="363"/>
      <c r="Y779" s="363"/>
      <c r="Z779" s="363"/>
      <c r="AA779" s="363"/>
      <c r="AB779" s="363"/>
      <c r="AC779" s="363"/>
      <c r="AD779" s="363"/>
      <c r="AE779" s="363"/>
      <c r="AF779" s="363"/>
      <c r="AG779" s="363"/>
      <c r="AH779" s="363"/>
      <c r="AI779" s="363"/>
      <c r="AJ779" s="363"/>
      <c r="AK779" s="363"/>
      <c r="AL779" s="363"/>
      <c r="AM779" s="363"/>
    </row>
    <row r="780" spans="2:39" ht="12.75" customHeight="1" x14ac:dyDescent="0.2">
      <c r="B780" s="362"/>
      <c r="C780" s="363"/>
      <c r="D780" s="363"/>
      <c r="E780" s="363"/>
      <c r="F780" s="363"/>
      <c r="G780" s="363"/>
      <c r="H780" s="363"/>
      <c r="I780" s="363"/>
      <c r="J780" s="363"/>
      <c r="K780" s="363"/>
      <c r="L780" s="363"/>
      <c r="M780" s="363"/>
      <c r="N780" s="363"/>
      <c r="O780" s="363"/>
      <c r="P780" s="363"/>
      <c r="Q780" s="363"/>
      <c r="R780" s="363"/>
      <c r="S780" s="363"/>
      <c r="T780" s="363"/>
      <c r="U780" s="363"/>
      <c r="V780" s="363"/>
      <c r="W780" s="363"/>
      <c r="X780" s="363"/>
      <c r="Y780" s="363"/>
      <c r="Z780" s="363"/>
      <c r="AA780" s="363"/>
      <c r="AB780" s="363"/>
      <c r="AC780" s="363"/>
      <c r="AD780" s="363"/>
      <c r="AE780" s="363"/>
      <c r="AF780" s="363"/>
      <c r="AG780" s="363"/>
      <c r="AH780" s="363"/>
      <c r="AI780" s="363"/>
      <c r="AJ780" s="363"/>
      <c r="AK780" s="363"/>
      <c r="AL780" s="363"/>
      <c r="AM780" s="363"/>
    </row>
    <row r="781" spans="2:39" ht="12.75" customHeight="1" x14ac:dyDescent="0.2">
      <c r="B781" s="362"/>
      <c r="C781" s="363"/>
      <c r="D781" s="363"/>
      <c r="E781" s="363"/>
      <c r="F781" s="363"/>
      <c r="G781" s="363"/>
      <c r="H781" s="363"/>
      <c r="I781" s="363"/>
      <c r="J781" s="363"/>
      <c r="K781" s="363"/>
      <c r="L781" s="363"/>
      <c r="M781" s="363"/>
      <c r="N781" s="363"/>
      <c r="O781" s="363"/>
      <c r="P781" s="363"/>
      <c r="Q781" s="363"/>
      <c r="R781" s="363"/>
      <c r="S781" s="363"/>
      <c r="T781" s="363"/>
      <c r="U781" s="363"/>
      <c r="V781" s="363"/>
      <c r="W781" s="363"/>
      <c r="X781" s="363"/>
      <c r="Y781" s="363"/>
      <c r="Z781" s="363"/>
      <c r="AA781" s="363"/>
      <c r="AB781" s="363"/>
      <c r="AC781" s="363"/>
      <c r="AD781" s="363"/>
      <c r="AE781" s="363"/>
      <c r="AF781" s="363"/>
      <c r="AG781" s="363"/>
      <c r="AH781" s="363"/>
      <c r="AI781" s="363"/>
      <c r="AJ781" s="363"/>
      <c r="AK781" s="363"/>
      <c r="AL781" s="363"/>
      <c r="AM781" s="363"/>
    </row>
    <row r="782" spans="2:39" ht="12.75" customHeight="1" x14ac:dyDescent="0.2">
      <c r="B782" s="362"/>
      <c r="C782" s="363"/>
      <c r="D782" s="363"/>
      <c r="E782" s="363"/>
      <c r="F782" s="363"/>
      <c r="G782" s="363"/>
      <c r="H782" s="363"/>
      <c r="I782" s="363"/>
      <c r="J782" s="363"/>
      <c r="K782" s="363"/>
      <c r="L782" s="363"/>
      <c r="M782" s="363"/>
      <c r="N782" s="363"/>
      <c r="O782" s="363"/>
      <c r="P782" s="363"/>
      <c r="Q782" s="363"/>
      <c r="R782" s="363"/>
      <c r="S782" s="363"/>
      <c r="T782" s="363"/>
      <c r="U782" s="363"/>
      <c r="V782" s="363"/>
      <c r="W782" s="363"/>
      <c r="X782" s="363"/>
      <c r="Y782" s="363"/>
      <c r="Z782" s="363"/>
      <c r="AA782" s="363"/>
      <c r="AB782" s="363"/>
      <c r="AC782" s="363"/>
      <c r="AD782" s="363"/>
      <c r="AE782" s="363"/>
      <c r="AF782" s="363"/>
      <c r="AG782" s="363"/>
      <c r="AH782" s="363"/>
      <c r="AI782" s="363"/>
      <c r="AJ782" s="363"/>
      <c r="AK782" s="363"/>
      <c r="AL782" s="363"/>
      <c r="AM782" s="363"/>
    </row>
    <row r="783" spans="2:39" ht="12.75" customHeight="1" x14ac:dyDescent="0.2">
      <c r="B783" s="362"/>
      <c r="C783" s="363"/>
      <c r="D783" s="363"/>
      <c r="E783" s="363"/>
      <c r="F783" s="363"/>
      <c r="G783" s="363"/>
      <c r="H783" s="363"/>
      <c r="I783" s="363"/>
      <c r="J783" s="363"/>
      <c r="K783" s="363"/>
      <c r="L783" s="363"/>
      <c r="M783" s="363"/>
      <c r="N783" s="363"/>
      <c r="O783" s="363"/>
      <c r="P783" s="363"/>
      <c r="Q783" s="363"/>
      <c r="R783" s="363"/>
      <c r="S783" s="363"/>
      <c r="T783" s="363"/>
      <c r="U783" s="363"/>
      <c r="V783" s="363"/>
      <c r="W783" s="363"/>
      <c r="X783" s="363"/>
      <c r="Y783" s="363"/>
      <c r="Z783" s="363"/>
      <c r="AA783" s="363"/>
      <c r="AB783" s="363"/>
      <c r="AC783" s="363"/>
      <c r="AD783" s="363"/>
      <c r="AE783" s="363"/>
      <c r="AF783" s="363"/>
      <c r="AG783" s="363"/>
      <c r="AH783" s="363"/>
      <c r="AI783" s="363"/>
      <c r="AJ783" s="363"/>
      <c r="AK783" s="363"/>
      <c r="AL783" s="363"/>
      <c r="AM783" s="363"/>
    </row>
    <row r="784" spans="2:39" ht="12.75" customHeight="1" x14ac:dyDescent="0.2">
      <c r="B784" s="362"/>
      <c r="C784" s="363"/>
      <c r="D784" s="363"/>
      <c r="E784" s="363"/>
      <c r="F784" s="363"/>
      <c r="G784" s="363"/>
      <c r="H784" s="363"/>
      <c r="I784" s="363"/>
      <c r="J784" s="363"/>
      <c r="K784" s="363"/>
      <c r="L784" s="363"/>
      <c r="M784" s="363"/>
      <c r="N784" s="363"/>
      <c r="O784" s="363"/>
      <c r="P784" s="363"/>
      <c r="Q784" s="363"/>
      <c r="R784" s="363"/>
      <c r="S784" s="363"/>
      <c r="T784" s="363"/>
      <c r="U784" s="363"/>
      <c r="V784" s="363"/>
      <c r="W784" s="363"/>
      <c r="X784" s="363"/>
      <c r="Y784" s="363"/>
      <c r="Z784" s="363"/>
      <c r="AA784" s="363"/>
      <c r="AB784" s="363"/>
      <c r="AC784" s="363"/>
      <c r="AD784" s="363"/>
      <c r="AE784" s="363"/>
      <c r="AF784" s="363"/>
      <c r="AG784" s="363"/>
      <c r="AH784" s="363"/>
      <c r="AI784" s="363"/>
      <c r="AJ784" s="363"/>
      <c r="AK784" s="363"/>
      <c r="AL784" s="363"/>
      <c r="AM784" s="363"/>
    </row>
    <row r="785" spans="2:39" ht="12.75" customHeight="1" x14ac:dyDescent="0.2">
      <c r="B785" s="362"/>
      <c r="C785" s="363"/>
      <c r="D785" s="363"/>
      <c r="E785" s="363"/>
      <c r="F785" s="363"/>
      <c r="G785" s="363"/>
      <c r="H785" s="363"/>
      <c r="I785" s="363"/>
      <c r="J785" s="363"/>
      <c r="K785" s="363"/>
      <c r="L785" s="363"/>
      <c r="M785" s="363"/>
      <c r="N785" s="363"/>
      <c r="O785" s="363"/>
      <c r="P785" s="363"/>
      <c r="Q785" s="363"/>
      <c r="R785" s="363"/>
      <c r="S785" s="363"/>
      <c r="T785" s="363"/>
      <c r="U785" s="363"/>
      <c r="V785" s="363"/>
      <c r="W785" s="363"/>
      <c r="X785" s="363"/>
      <c r="Y785" s="363"/>
      <c r="Z785" s="363"/>
      <c r="AA785" s="363"/>
      <c r="AB785" s="363"/>
      <c r="AC785" s="363"/>
      <c r="AD785" s="363"/>
      <c r="AE785" s="363"/>
      <c r="AF785" s="363"/>
      <c r="AG785" s="363"/>
      <c r="AH785" s="363"/>
      <c r="AI785" s="363"/>
      <c r="AJ785" s="363"/>
      <c r="AK785" s="363"/>
      <c r="AL785" s="363"/>
      <c r="AM785" s="363"/>
    </row>
    <row r="786" spans="2:39" ht="12.75" customHeight="1" x14ac:dyDescent="0.2">
      <c r="B786" s="362"/>
      <c r="C786" s="363"/>
      <c r="D786" s="363"/>
      <c r="E786" s="363"/>
      <c r="F786" s="363"/>
      <c r="G786" s="363"/>
      <c r="H786" s="363"/>
      <c r="I786" s="363"/>
      <c r="J786" s="363"/>
      <c r="K786" s="363"/>
      <c r="L786" s="363"/>
      <c r="M786" s="363"/>
      <c r="N786" s="363"/>
      <c r="O786" s="363"/>
      <c r="P786" s="363"/>
      <c r="Q786" s="363"/>
      <c r="R786" s="363"/>
      <c r="S786" s="363"/>
      <c r="T786" s="363"/>
      <c r="U786" s="363"/>
      <c r="V786" s="363"/>
      <c r="W786" s="363"/>
      <c r="X786" s="363"/>
      <c r="Y786" s="363"/>
      <c r="Z786" s="363"/>
      <c r="AA786" s="363"/>
      <c r="AB786" s="363"/>
      <c r="AC786" s="363"/>
      <c r="AD786" s="363"/>
      <c r="AE786" s="363"/>
      <c r="AF786" s="363"/>
      <c r="AG786" s="363"/>
      <c r="AH786" s="363"/>
      <c r="AI786" s="363"/>
      <c r="AJ786" s="363"/>
      <c r="AK786" s="363"/>
      <c r="AL786" s="363"/>
      <c r="AM786" s="363"/>
    </row>
    <row r="787" spans="2:39" ht="12.75" customHeight="1" x14ac:dyDescent="0.2">
      <c r="B787" s="362"/>
      <c r="C787" s="363"/>
      <c r="D787" s="363"/>
      <c r="E787" s="363"/>
      <c r="F787" s="363"/>
      <c r="G787" s="363"/>
      <c r="H787" s="363"/>
      <c r="I787" s="363"/>
      <c r="J787" s="363"/>
      <c r="K787" s="363"/>
      <c r="L787" s="363"/>
      <c r="M787" s="363"/>
      <c r="N787" s="363"/>
      <c r="O787" s="363"/>
      <c r="P787" s="363"/>
      <c r="Q787" s="363"/>
      <c r="R787" s="363"/>
      <c r="S787" s="363"/>
      <c r="T787" s="363"/>
      <c r="U787" s="363"/>
      <c r="V787" s="363"/>
      <c r="W787" s="363"/>
      <c r="X787" s="363"/>
      <c r="Y787" s="363"/>
      <c r="Z787" s="363"/>
      <c r="AA787" s="363"/>
      <c r="AB787" s="363"/>
      <c r="AC787" s="363"/>
      <c r="AD787" s="363"/>
      <c r="AE787" s="363"/>
      <c r="AF787" s="363"/>
      <c r="AG787" s="363"/>
      <c r="AH787" s="363"/>
      <c r="AI787" s="363"/>
      <c r="AJ787" s="363"/>
      <c r="AK787" s="363"/>
      <c r="AL787" s="363"/>
      <c r="AM787" s="363"/>
    </row>
    <row r="788" spans="2:39" ht="12.75" customHeight="1" x14ac:dyDescent="0.2">
      <c r="B788" s="362"/>
      <c r="C788" s="363"/>
      <c r="D788" s="363"/>
      <c r="E788" s="363"/>
      <c r="F788" s="363"/>
      <c r="G788" s="363"/>
      <c r="H788" s="363"/>
      <c r="I788" s="363"/>
      <c r="J788" s="363"/>
      <c r="K788" s="363"/>
      <c r="L788" s="363"/>
      <c r="M788" s="363"/>
      <c r="N788" s="363"/>
      <c r="O788" s="363"/>
      <c r="P788" s="363"/>
      <c r="Q788" s="363"/>
      <c r="R788" s="363"/>
      <c r="S788" s="363"/>
      <c r="T788" s="363"/>
      <c r="U788" s="363"/>
      <c r="V788" s="363"/>
      <c r="W788" s="363"/>
      <c r="X788" s="363"/>
      <c r="Y788" s="363"/>
      <c r="Z788" s="363"/>
      <c r="AA788" s="363"/>
      <c r="AB788" s="363"/>
      <c r="AC788" s="363"/>
      <c r="AD788" s="363"/>
      <c r="AE788" s="363"/>
      <c r="AF788" s="363"/>
      <c r="AG788" s="363"/>
      <c r="AH788" s="363"/>
      <c r="AI788" s="363"/>
      <c r="AJ788" s="363"/>
      <c r="AK788" s="363"/>
      <c r="AL788" s="363"/>
      <c r="AM788" s="363"/>
    </row>
    <row r="789" spans="2:39" ht="12.75" customHeight="1" x14ac:dyDescent="0.2">
      <c r="B789" s="362"/>
      <c r="C789" s="363"/>
      <c r="D789" s="363"/>
      <c r="E789" s="363"/>
      <c r="F789" s="363"/>
      <c r="G789" s="363"/>
      <c r="H789" s="363"/>
      <c r="I789" s="363"/>
      <c r="J789" s="363"/>
      <c r="K789" s="363"/>
      <c r="L789" s="363"/>
      <c r="M789" s="363"/>
      <c r="N789" s="363"/>
      <c r="O789" s="363"/>
      <c r="P789" s="363"/>
      <c r="Q789" s="363"/>
      <c r="R789" s="363"/>
      <c r="S789" s="363"/>
      <c r="T789" s="363"/>
      <c r="U789" s="363"/>
      <c r="V789" s="363"/>
      <c r="W789" s="363"/>
      <c r="X789" s="363"/>
      <c r="Y789" s="363"/>
      <c r="Z789" s="363"/>
      <c r="AA789" s="363"/>
      <c r="AB789" s="363"/>
      <c r="AC789" s="363"/>
      <c r="AD789" s="363"/>
      <c r="AE789" s="363"/>
      <c r="AF789" s="363"/>
      <c r="AG789" s="363"/>
      <c r="AH789" s="363"/>
      <c r="AI789" s="363"/>
      <c r="AJ789" s="363"/>
      <c r="AK789" s="363"/>
      <c r="AL789" s="363"/>
      <c r="AM789" s="363"/>
    </row>
    <row r="790" spans="2:39" ht="12.75" customHeight="1" x14ac:dyDescent="0.2">
      <c r="B790" s="362"/>
      <c r="C790" s="363"/>
      <c r="D790" s="363"/>
      <c r="E790" s="363"/>
      <c r="F790" s="363"/>
      <c r="G790" s="363"/>
      <c r="H790" s="363"/>
      <c r="I790" s="363"/>
      <c r="J790" s="363"/>
      <c r="K790" s="363"/>
      <c r="L790" s="363"/>
      <c r="M790" s="363"/>
      <c r="N790" s="363"/>
      <c r="O790" s="363"/>
      <c r="P790" s="363"/>
      <c r="Q790" s="363"/>
      <c r="R790" s="363"/>
      <c r="S790" s="363"/>
      <c r="T790" s="363"/>
      <c r="U790" s="363"/>
      <c r="V790" s="363"/>
      <c r="W790" s="363"/>
      <c r="X790" s="363"/>
      <c r="Y790" s="363"/>
      <c r="Z790" s="363"/>
      <c r="AA790" s="363"/>
      <c r="AB790" s="363"/>
      <c r="AC790" s="363"/>
      <c r="AD790" s="363"/>
      <c r="AE790" s="363"/>
      <c r="AF790" s="363"/>
      <c r="AG790" s="363"/>
      <c r="AH790" s="363"/>
      <c r="AI790" s="363"/>
      <c r="AJ790" s="363"/>
      <c r="AK790" s="363"/>
      <c r="AL790" s="363"/>
      <c r="AM790" s="363"/>
    </row>
    <row r="791" spans="2:39" ht="12.75" customHeight="1" x14ac:dyDescent="0.2">
      <c r="B791" s="362"/>
      <c r="C791" s="363"/>
      <c r="D791" s="363"/>
      <c r="E791" s="363"/>
      <c r="F791" s="363"/>
      <c r="G791" s="363"/>
      <c r="H791" s="363"/>
      <c r="I791" s="363"/>
      <c r="J791" s="363"/>
      <c r="K791" s="363"/>
      <c r="L791" s="363"/>
      <c r="M791" s="363"/>
      <c r="N791" s="363"/>
      <c r="O791" s="363"/>
      <c r="P791" s="363"/>
      <c r="Q791" s="363"/>
      <c r="R791" s="363"/>
      <c r="S791" s="363"/>
      <c r="T791" s="363"/>
      <c r="U791" s="363"/>
      <c r="V791" s="363"/>
      <c r="W791" s="363"/>
      <c r="X791" s="363"/>
      <c r="Y791" s="363"/>
      <c r="Z791" s="363"/>
      <c r="AA791" s="363"/>
      <c r="AB791" s="363"/>
      <c r="AC791" s="363"/>
      <c r="AD791" s="363"/>
      <c r="AE791" s="363"/>
      <c r="AF791" s="363"/>
      <c r="AG791" s="363"/>
      <c r="AH791" s="363"/>
      <c r="AI791" s="363"/>
      <c r="AJ791" s="363"/>
      <c r="AK791" s="363"/>
      <c r="AL791" s="363"/>
      <c r="AM791" s="363"/>
    </row>
    <row r="792" spans="2:39" ht="12.75" customHeight="1" x14ac:dyDescent="0.2">
      <c r="B792" s="362"/>
      <c r="C792" s="363"/>
      <c r="D792" s="363"/>
      <c r="E792" s="363"/>
      <c r="F792" s="363"/>
      <c r="G792" s="363"/>
      <c r="H792" s="363"/>
      <c r="I792" s="363"/>
      <c r="J792" s="363"/>
      <c r="K792" s="363"/>
      <c r="L792" s="363"/>
      <c r="M792" s="363"/>
      <c r="N792" s="363"/>
      <c r="O792" s="363"/>
      <c r="P792" s="363"/>
      <c r="Q792" s="363"/>
      <c r="R792" s="363"/>
      <c r="S792" s="363"/>
      <c r="T792" s="363"/>
      <c r="U792" s="363"/>
      <c r="V792" s="363"/>
      <c r="W792" s="363"/>
      <c r="X792" s="363"/>
      <c r="Y792" s="363"/>
      <c r="Z792" s="363"/>
      <c r="AA792" s="363"/>
      <c r="AB792" s="363"/>
      <c r="AC792" s="363"/>
      <c r="AD792" s="363"/>
      <c r="AE792" s="363"/>
      <c r="AF792" s="363"/>
      <c r="AG792" s="363"/>
      <c r="AH792" s="363"/>
      <c r="AI792" s="363"/>
      <c r="AJ792" s="363"/>
      <c r="AK792" s="363"/>
      <c r="AL792" s="363"/>
      <c r="AM792" s="363"/>
    </row>
    <row r="793" spans="2:39" ht="12.75" customHeight="1" x14ac:dyDescent="0.2">
      <c r="B793" s="362"/>
      <c r="C793" s="363"/>
      <c r="D793" s="363"/>
      <c r="E793" s="363"/>
      <c r="F793" s="363"/>
      <c r="G793" s="363"/>
      <c r="H793" s="363"/>
      <c r="I793" s="363"/>
      <c r="J793" s="363"/>
      <c r="K793" s="363"/>
      <c r="L793" s="363"/>
      <c r="M793" s="363"/>
      <c r="N793" s="363"/>
      <c r="O793" s="363"/>
      <c r="P793" s="363"/>
      <c r="Q793" s="363"/>
      <c r="R793" s="363"/>
      <c r="S793" s="363"/>
      <c r="T793" s="363"/>
      <c r="U793" s="363"/>
      <c r="V793" s="363"/>
      <c r="W793" s="363"/>
      <c r="X793" s="363"/>
      <c r="Y793" s="363"/>
      <c r="Z793" s="363"/>
      <c r="AA793" s="363"/>
      <c r="AB793" s="363"/>
      <c r="AC793" s="363"/>
      <c r="AD793" s="363"/>
      <c r="AE793" s="363"/>
      <c r="AF793" s="363"/>
      <c r="AG793" s="363"/>
      <c r="AH793" s="363"/>
      <c r="AI793" s="363"/>
      <c r="AJ793" s="363"/>
      <c r="AK793" s="363"/>
      <c r="AL793" s="363"/>
      <c r="AM793" s="363"/>
    </row>
    <row r="794" spans="2:39" ht="12.75" customHeight="1" x14ac:dyDescent="0.2">
      <c r="B794" s="362"/>
      <c r="C794" s="363"/>
      <c r="D794" s="363"/>
      <c r="E794" s="363"/>
      <c r="F794" s="363"/>
      <c r="G794" s="363"/>
      <c r="H794" s="363"/>
      <c r="I794" s="363"/>
      <c r="J794" s="363"/>
      <c r="K794" s="363"/>
      <c r="L794" s="363"/>
      <c r="M794" s="363"/>
      <c r="N794" s="363"/>
      <c r="O794" s="363"/>
      <c r="P794" s="363"/>
      <c r="Q794" s="363"/>
      <c r="R794" s="363"/>
      <c r="S794" s="363"/>
      <c r="T794" s="363"/>
      <c r="U794" s="363"/>
      <c r="V794" s="363"/>
      <c r="W794" s="363"/>
      <c r="X794" s="363"/>
      <c r="Y794" s="363"/>
      <c r="Z794" s="363"/>
      <c r="AA794" s="363"/>
      <c r="AB794" s="363"/>
      <c r="AC794" s="363"/>
      <c r="AD794" s="363"/>
      <c r="AE794" s="363"/>
      <c r="AF794" s="363"/>
      <c r="AG794" s="363"/>
      <c r="AH794" s="363"/>
      <c r="AI794" s="363"/>
      <c r="AJ794" s="363"/>
      <c r="AK794" s="363"/>
      <c r="AL794" s="363"/>
      <c r="AM794" s="363"/>
    </row>
    <row r="795" spans="2:39" ht="12.75" customHeight="1" x14ac:dyDescent="0.2">
      <c r="B795" s="362"/>
      <c r="C795" s="363"/>
      <c r="D795" s="363"/>
      <c r="E795" s="363"/>
      <c r="F795" s="363"/>
      <c r="G795" s="363"/>
      <c r="H795" s="363"/>
      <c r="I795" s="363"/>
      <c r="J795" s="363"/>
      <c r="K795" s="363"/>
      <c r="L795" s="363"/>
      <c r="M795" s="363"/>
      <c r="N795" s="363"/>
      <c r="O795" s="363"/>
      <c r="P795" s="363"/>
      <c r="Q795" s="363"/>
      <c r="R795" s="363"/>
      <c r="S795" s="363"/>
      <c r="T795" s="363"/>
      <c r="U795" s="363"/>
      <c r="V795" s="363"/>
      <c r="W795" s="363"/>
      <c r="X795" s="363"/>
      <c r="Y795" s="363"/>
      <c r="Z795" s="363"/>
      <c r="AA795" s="363"/>
      <c r="AB795" s="363"/>
      <c r="AC795" s="363"/>
      <c r="AD795" s="363"/>
      <c r="AE795" s="363"/>
      <c r="AF795" s="363"/>
      <c r="AG795" s="363"/>
      <c r="AH795" s="363"/>
      <c r="AI795" s="363"/>
      <c r="AJ795" s="363"/>
      <c r="AK795" s="363"/>
      <c r="AL795" s="363"/>
      <c r="AM795" s="363"/>
    </row>
    <row r="796" spans="2:39" ht="12.75" customHeight="1" x14ac:dyDescent="0.2">
      <c r="B796" s="362"/>
      <c r="C796" s="363"/>
      <c r="D796" s="363"/>
      <c r="E796" s="363"/>
      <c r="F796" s="363"/>
      <c r="G796" s="363"/>
      <c r="H796" s="363"/>
      <c r="I796" s="363"/>
      <c r="J796" s="363"/>
      <c r="K796" s="363"/>
      <c r="L796" s="363"/>
      <c r="M796" s="363"/>
      <c r="N796" s="363"/>
      <c r="O796" s="363"/>
      <c r="P796" s="363"/>
      <c r="Q796" s="363"/>
      <c r="R796" s="363"/>
      <c r="S796" s="363"/>
      <c r="T796" s="363"/>
      <c r="U796" s="363"/>
      <c r="V796" s="363"/>
      <c r="W796" s="363"/>
      <c r="X796" s="363"/>
      <c r="Y796" s="363"/>
      <c r="Z796" s="363"/>
      <c r="AA796" s="363"/>
      <c r="AB796" s="363"/>
      <c r="AC796" s="363"/>
      <c r="AD796" s="363"/>
      <c r="AE796" s="363"/>
      <c r="AF796" s="363"/>
      <c r="AG796" s="363"/>
      <c r="AH796" s="363"/>
      <c r="AI796" s="363"/>
      <c r="AJ796" s="363"/>
      <c r="AK796" s="363"/>
      <c r="AL796" s="363"/>
      <c r="AM796" s="363"/>
    </row>
    <row r="797" spans="2:39" ht="12.75" customHeight="1" x14ac:dyDescent="0.2">
      <c r="B797" s="362"/>
      <c r="C797" s="363"/>
      <c r="D797" s="363"/>
      <c r="E797" s="363"/>
      <c r="F797" s="363"/>
      <c r="G797" s="363"/>
      <c r="H797" s="363"/>
      <c r="I797" s="363"/>
      <c r="J797" s="363"/>
      <c r="K797" s="363"/>
      <c r="L797" s="363"/>
      <c r="M797" s="363"/>
      <c r="N797" s="363"/>
      <c r="O797" s="363"/>
      <c r="P797" s="363"/>
      <c r="Q797" s="363"/>
      <c r="R797" s="363"/>
      <c r="S797" s="363"/>
      <c r="T797" s="363"/>
      <c r="U797" s="363"/>
      <c r="V797" s="363"/>
      <c r="W797" s="363"/>
      <c r="X797" s="363"/>
      <c r="Y797" s="363"/>
      <c r="Z797" s="363"/>
      <c r="AA797" s="363"/>
      <c r="AB797" s="363"/>
      <c r="AC797" s="363"/>
      <c r="AD797" s="363"/>
      <c r="AE797" s="363"/>
      <c r="AF797" s="363"/>
      <c r="AG797" s="363"/>
      <c r="AH797" s="363"/>
      <c r="AI797" s="363"/>
      <c r="AJ797" s="363"/>
      <c r="AK797" s="363"/>
      <c r="AL797" s="363"/>
      <c r="AM797" s="363"/>
    </row>
    <row r="798" spans="2:39" ht="12.75" customHeight="1" x14ac:dyDescent="0.2">
      <c r="B798" s="362"/>
      <c r="C798" s="363"/>
      <c r="D798" s="363"/>
      <c r="E798" s="363"/>
      <c r="F798" s="363"/>
      <c r="G798" s="363"/>
      <c r="H798" s="363"/>
      <c r="I798" s="363"/>
      <c r="J798" s="363"/>
      <c r="K798" s="363"/>
      <c r="L798" s="363"/>
      <c r="M798" s="363"/>
      <c r="N798" s="363"/>
      <c r="O798" s="363"/>
      <c r="P798" s="363"/>
      <c r="Q798" s="363"/>
      <c r="R798" s="363"/>
      <c r="S798" s="363"/>
      <c r="T798" s="363"/>
      <c r="U798" s="363"/>
      <c r="V798" s="363"/>
      <c r="W798" s="363"/>
      <c r="X798" s="363"/>
      <c r="Y798" s="363"/>
      <c r="Z798" s="363"/>
      <c r="AA798" s="363"/>
      <c r="AB798" s="363"/>
      <c r="AC798" s="363"/>
      <c r="AD798" s="363"/>
      <c r="AE798" s="363"/>
      <c r="AF798" s="363"/>
      <c r="AG798" s="363"/>
      <c r="AH798" s="363"/>
      <c r="AI798" s="363"/>
      <c r="AJ798" s="363"/>
      <c r="AK798" s="363"/>
      <c r="AL798" s="363"/>
      <c r="AM798" s="363"/>
    </row>
    <row r="799" spans="2:39" ht="12.75" customHeight="1" x14ac:dyDescent="0.2">
      <c r="B799" s="362"/>
      <c r="C799" s="363"/>
      <c r="D799" s="363"/>
      <c r="E799" s="363"/>
      <c r="F799" s="363"/>
      <c r="G799" s="363"/>
      <c r="H799" s="363"/>
      <c r="I799" s="363"/>
      <c r="J799" s="363"/>
      <c r="K799" s="363"/>
      <c r="L799" s="363"/>
      <c r="M799" s="363"/>
      <c r="N799" s="363"/>
      <c r="O799" s="363"/>
      <c r="P799" s="363"/>
      <c r="Q799" s="363"/>
      <c r="R799" s="363"/>
      <c r="S799" s="363"/>
      <c r="T799" s="363"/>
      <c r="U799" s="363"/>
      <c r="V799" s="363"/>
      <c r="W799" s="363"/>
      <c r="X799" s="363"/>
      <c r="Y799" s="363"/>
      <c r="Z799" s="363"/>
      <c r="AA799" s="363"/>
      <c r="AB799" s="363"/>
      <c r="AC799" s="363"/>
      <c r="AD799" s="363"/>
      <c r="AE799" s="363"/>
      <c r="AF799" s="363"/>
      <c r="AG799" s="363"/>
      <c r="AH799" s="363"/>
      <c r="AI799" s="363"/>
      <c r="AJ799" s="363"/>
      <c r="AK799" s="363"/>
      <c r="AL799" s="363"/>
      <c r="AM799" s="363"/>
    </row>
    <row r="800" spans="2:39" ht="12.75" customHeight="1" x14ac:dyDescent="0.2">
      <c r="B800" s="362"/>
      <c r="C800" s="363"/>
      <c r="D800" s="363"/>
      <c r="E800" s="363"/>
      <c r="F800" s="363"/>
      <c r="G800" s="363"/>
      <c r="H800" s="363"/>
      <c r="I800" s="363"/>
      <c r="J800" s="363"/>
      <c r="K800" s="363"/>
      <c r="L800" s="363"/>
      <c r="M800" s="363"/>
      <c r="N800" s="363"/>
      <c r="O800" s="363"/>
      <c r="P800" s="363"/>
      <c r="Q800" s="363"/>
      <c r="R800" s="363"/>
      <c r="S800" s="363"/>
      <c r="T800" s="363"/>
      <c r="U800" s="363"/>
      <c r="V800" s="363"/>
      <c r="W800" s="363"/>
      <c r="X800" s="363"/>
      <c r="Y800" s="363"/>
      <c r="Z800" s="363"/>
      <c r="AA800" s="363"/>
      <c r="AB800" s="363"/>
      <c r="AC800" s="363"/>
      <c r="AD800" s="363"/>
      <c r="AE800" s="363"/>
      <c r="AF800" s="363"/>
      <c r="AG800" s="363"/>
      <c r="AH800" s="363"/>
      <c r="AI800" s="363"/>
      <c r="AJ800" s="363"/>
      <c r="AK800" s="363"/>
      <c r="AL800" s="363"/>
      <c r="AM800" s="363"/>
    </row>
    <row r="801" spans="2:39" ht="12.75" customHeight="1" x14ac:dyDescent="0.2">
      <c r="B801" s="362"/>
      <c r="C801" s="363"/>
      <c r="D801" s="363"/>
      <c r="E801" s="363"/>
      <c r="F801" s="363"/>
      <c r="G801" s="363"/>
      <c r="H801" s="363"/>
      <c r="I801" s="363"/>
      <c r="J801" s="363"/>
      <c r="K801" s="363"/>
      <c r="L801" s="363"/>
      <c r="M801" s="363"/>
      <c r="N801" s="363"/>
      <c r="O801" s="363"/>
      <c r="P801" s="363"/>
      <c r="Q801" s="363"/>
      <c r="R801" s="363"/>
      <c r="S801" s="363"/>
      <c r="T801" s="363"/>
      <c r="U801" s="363"/>
      <c r="V801" s="363"/>
      <c r="W801" s="363"/>
      <c r="X801" s="363"/>
      <c r="Y801" s="363"/>
      <c r="Z801" s="363"/>
      <c r="AA801" s="363"/>
      <c r="AB801" s="363"/>
      <c r="AC801" s="363"/>
      <c r="AD801" s="363"/>
      <c r="AE801" s="363"/>
      <c r="AF801" s="363"/>
      <c r="AG801" s="363"/>
      <c r="AH801" s="363"/>
      <c r="AI801" s="363"/>
      <c r="AJ801" s="363"/>
      <c r="AK801" s="363"/>
      <c r="AL801" s="363"/>
      <c r="AM801" s="363"/>
    </row>
    <row r="802" spans="2:39" ht="12.75" customHeight="1" x14ac:dyDescent="0.2">
      <c r="B802" s="362"/>
      <c r="C802" s="363"/>
      <c r="D802" s="363"/>
      <c r="E802" s="363"/>
      <c r="F802" s="363"/>
      <c r="G802" s="363"/>
      <c r="H802" s="363"/>
      <c r="I802" s="363"/>
      <c r="J802" s="363"/>
      <c r="K802" s="363"/>
      <c r="L802" s="363"/>
      <c r="M802" s="363"/>
      <c r="N802" s="363"/>
      <c r="O802" s="363"/>
      <c r="P802" s="363"/>
      <c r="Q802" s="363"/>
      <c r="R802" s="363"/>
      <c r="S802" s="363"/>
      <c r="T802" s="363"/>
      <c r="U802" s="363"/>
      <c r="V802" s="363"/>
      <c r="W802" s="363"/>
      <c r="X802" s="363"/>
      <c r="Y802" s="363"/>
      <c r="Z802" s="363"/>
      <c r="AA802" s="363"/>
      <c r="AB802" s="363"/>
      <c r="AC802" s="363"/>
      <c r="AD802" s="363"/>
      <c r="AE802" s="363"/>
      <c r="AF802" s="363"/>
      <c r="AG802" s="363"/>
      <c r="AH802" s="363"/>
      <c r="AI802" s="363"/>
      <c r="AJ802" s="363"/>
      <c r="AK802" s="363"/>
      <c r="AL802" s="363"/>
      <c r="AM802" s="363"/>
    </row>
    <row r="803" spans="2:39" ht="12.75" customHeight="1" x14ac:dyDescent="0.2">
      <c r="B803" s="362"/>
      <c r="C803" s="363"/>
      <c r="D803" s="363"/>
      <c r="E803" s="363"/>
      <c r="F803" s="363"/>
      <c r="G803" s="363"/>
      <c r="H803" s="363"/>
      <c r="I803" s="363"/>
      <c r="J803" s="363"/>
      <c r="K803" s="363"/>
      <c r="L803" s="363"/>
      <c r="M803" s="363"/>
      <c r="N803" s="363"/>
      <c r="O803" s="363"/>
      <c r="P803" s="363"/>
      <c r="Q803" s="363"/>
      <c r="R803" s="363"/>
      <c r="S803" s="363"/>
      <c r="T803" s="363"/>
      <c r="U803" s="363"/>
      <c r="V803" s="363"/>
      <c r="W803" s="363"/>
      <c r="X803" s="363"/>
      <c r="Y803" s="363"/>
      <c r="Z803" s="363"/>
      <c r="AA803" s="363"/>
      <c r="AB803" s="363"/>
      <c r="AC803" s="363"/>
      <c r="AD803" s="363"/>
      <c r="AE803" s="363"/>
      <c r="AF803" s="363"/>
      <c r="AG803" s="363"/>
      <c r="AH803" s="363"/>
      <c r="AI803" s="363"/>
      <c r="AJ803" s="363"/>
      <c r="AK803" s="363"/>
      <c r="AL803" s="363"/>
      <c r="AM803" s="363"/>
    </row>
    <row r="804" spans="2:39" ht="12.75" customHeight="1" x14ac:dyDescent="0.2">
      <c r="B804" s="362"/>
      <c r="C804" s="363"/>
      <c r="D804" s="363"/>
      <c r="E804" s="363"/>
      <c r="F804" s="363"/>
      <c r="G804" s="363"/>
      <c r="H804" s="363"/>
      <c r="I804" s="363"/>
      <c r="J804" s="363"/>
      <c r="K804" s="363"/>
      <c r="L804" s="363"/>
      <c r="M804" s="363"/>
      <c r="N804" s="363"/>
      <c r="O804" s="363"/>
      <c r="P804" s="363"/>
      <c r="Q804" s="363"/>
      <c r="R804" s="363"/>
      <c r="S804" s="363"/>
      <c r="T804" s="363"/>
      <c r="U804" s="363"/>
      <c r="V804" s="363"/>
      <c r="W804" s="363"/>
      <c r="X804" s="363"/>
      <c r="Y804" s="363"/>
      <c r="Z804" s="363"/>
      <c r="AA804" s="363"/>
      <c r="AB804" s="363"/>
      <c r="AC804" s="363"/>
      <c r="AD804" s="363"/>
      <c r="AE804" s="363"/>
      <c r="AF804" s="363"/>
      <c r="AG804" s="363"/>
      <c r="AH804" s="363"/>
      <c r="AI804" s="363"/>
      <c r="AJ804" s="363"/>
      <c r="AK804" s="363"/>
      <c r="AL804" s="363"/>
      <c r="AM804" s="363"/>
    </row>
    <row r="805" spans="2:39" ht="12.75" customHeight="1" x14ac:dyDescent="0.2">
      <c r="B805" s="362"/>
      <c r="C805" s="363"/>
      <c r="D805" s="363"/>
      <c r="E805" s="363"/>
      <c r="F805" s="363"/>
      <c r="G805" s="363"/>
      <c r="H805" s="363"/>
      <c r="I805" s="363"/>
      <c r="J805" s="363"/>
      <c r="K805" s="363"/>
      <c r="L805" s="363"/>
      <c r="M805" s="363"/>
      <c r="N805" s="363"/>
      <c r="O805" s="363"/>
      <c r="P805" s="363"/>
      <c r="Q805" s="363"/>
      <c r="R805" s="363"/>
      <c r="S805" s="363"/>
      <c r="T805" s="363"/>
      <c r="U805" s="363"/>
      <c r="V805" s="363"/>
      <c r="W805" s="363"/>
      <c r="X805" s="363"/>
      <c r="Y805" s="363"/>
      <c r="Z805" s="363"/>
      <c r="AA805" s="363"/>
      <c r="AB805" s="363"/>
      <c r="AC805" s="363"/>
      <c r="AD805" s="363"/>
      <c r="AE805" s="363"/>
      <c r="AF805" s="363"/>
      <c r="AG805" s="363"/>
      <c r="AH805" s="363"/>
      <c r="AI805" s="363"/>
      <c r="AJ805" s="363"/>
      <c r="AK805" s="363"/>
      <c r="AL805" s="363"/>
      <c r="AM805" s="363"/>
    </row>
    <row r="806" spans="2:39" ht="12.75" customHeight="1" x14ac:dyDescent="0.2">
      <c r="B806" s="362"/>
      <c r="C806" s="363"/>
      <c r="D806" s="363"/>
      <c r="E806" s="363"/>
      <c r="F806" s="363"/>
      <c r="G806" s="363"/>
      <c r="H806" s="363"/>
      <c r="I806" s="363"/>
      <c r="J806" s="363"/>
      <c r="K806" s="363"/>
      <c r="L806" s="363"/>
      <c r="M806" s="363"/>
      <c r="N806" s="363"/>
      <c r="O806" s="363"/>
      <c r="P806" s="363"/>
      <c r="Q806" s="363"/>
      <c r="R806" s="363"/>
      <c r="S806" s="363"/>
      <c r="T806" s="363"/>
      <c r="U806" s="363"/>
      <c r="V806" s="363"/>
      <c r="W806" s="363"/>
      <c r="X806" s="363"/>
      <c r="Y806" s="363"/>
      <c r="Z806" s="363"/>
      <c r="AA806" s="363"/>
      <c r="AB806" s="363"/>
      <c r="AC806" s="363"/>
      <c r="AD806" s="363"/>
      <c r="AE806" s="363"/>
      <c r="AF806" s="363"/>
      <c r="AG806" s="363"/>
      <c r="AH806" s="363"/>
      <c r="AI806" s="363"/>
      <c r="AJ806" s="363"/>
      <c r="AK806" s="363"/>
      <c r="AL806" s="363"/>
      <c r="AM806" s="363"/>
    </row>
    <row r="807" spans="2:39" ht="12.75" customHeight="1" x14ac:dyDescent="0.2">
      <c r="B807" s="362"/>
      <c r="C807" s="363"/>
      <c r="D807" s="363"/>
      <c r="E807" s="363"/>
      <c r="F807" s="363"/>
      <c r="G807" s="363"/>
      <c r="H807" s="363"/>
      <c r="I807" s="363"/>
      <c r="J807" s="363"/>
      <c r="K807" s="363"/>
      <c r="L807" s="363"/>
      <c r="M807" s="363"/>
      <c r="N807" s="363"/>
      <c r="O807" s="363"/>
      <c r="P807" s="363"/>
      <c r="Q807" s="363"/>
      <c r="R807" s="363"/>
      <c r="S807" s="363"/>
      <c r="T807" s="363"/>
      <c r="U807" s="363"/>
      <c r="V807" s="363"/>
      <c r="W807" s="363"/>
      <c r="X807" s="363"/>
      <c r="Y807" s="363"/>
      <c r="Z807" s="363"/>
      <c r="AA807" s="363"/>
      <c r="AB807" s="363"/>
      <c r="AC807" s="363"/>
      <c r="AD807" s="363"/>
      <c r="AE807" s="363"/>
      <c r="AF807" s="363"/>
      <c r="AG807" s="363"/>
      <c r="AH807" s="363"/>
      <c r="AI807" s="363"/>
      <c r="AJ807" s="363"/>
      <c r="AK807" s="363"/>
      <c r="AL807" s="363"/>
      <c r="AM807" s="363"/>
    </row>
    <row r="808" spans="2:39" ht="12.75" customHeight="1" x14ac:dyDescent="0.2">
      <c r="B808" s="362"/>
      <c r="C808" s="363"/>
      <c r="D808" s="363"/>
      <c r="E808" s="363"/>
      <c r="F808" s="363"/>
      <c r="G808" s="363"/>
      <c r="H808" s="363"/>
      <c r="I808" s="363"/>
      <c r="J808" s="363"/>
      <c r="K808" s="363"/>
      <c r="L808" s="363"/>
      <c r="M808" s="363"/>
      <c r="N808" s="363"/>
      <c r="O808" s="363"/>
      <c r="P808" s="363"/>
      <c r="Q808" s="363"/>
      <c r="R808" s="363"/>
      <c r="S808" s="363"/>
      <c r="T808" s="363"/>
      <c r="U808" s="363"/>
      <c r="V808" s="363"/>
      <c r="W808" s="363"/>
      <c r="X808" s="363"/>
      <c r="Y808" s="363"/>
      <c r="Z808" s="363"/>
      <c r="AA808" s="363"/>
      <c r="AB808" s="363"/>
      <c r="AC808" s="363"/>
      <c r="AD808" s="363"/>
      <c r="AE808" s="363"/>
      <c r="AF808" s="363"/>
      <c r="AG808" s="363"/>
      <c r="AH808" s="363"/>
      <c r="AI808" s="363"/>
      <c r="AJ808" s="363"/>
      <c r="AK808" s="363"/>
      <c r="AL808" s="363"/>
      <c r="AM808" s="363"/>
    </row>
    <row r="809" spans="2:39" ht="12.75" customHeight="1" x14ac:dyDescent="0.2">
      <c r="B809" s="362"/>
      <c r="C809" s="363"/>
      <c r="D809" s="363"/>
      <c r="E809" s="363"/>
      <c r="F809" s="363"/>
      <c r="G809" s="363"/>
      <c r="H809" s="363"/>
      <c r="I809" s="363"/>
      <c r="J809" s="363"/>
      <c r="K809" s="363"/>
      <c r="L809" s="363"/>
      <c r="M809" s="363"/>
      <c r="N809" s="363"/>
      <c r="O809" s="363"/>
      <c r="P809" s="363"/>
      <c r="Q809" s="363"/>
      <c r="R809" s="363"/>
      <c r="S809" s="363"/>
      <c r="T809" s="363"/>
      <c r="U809" s="363"/>
      <c r="V809" s="363"/>
      <c r="W809" s="363"/>
      <c r="X809" s="363"/>
      <c r="Y809" s="363"/>
      <c r="Z809" s="363"/>
      <c r="AA809" s="363"/>
      <c r="AB809" s="363"/>
      <c r="AC809" s="363"/>
      <c r="AD809" s="363"/>
      <c r="AE809" s="363"/>
      <c r="AF809" s="363"/>
      <c r="AG809" s="363"/>
      <c r="AH809" s="363"/>
      <c r="AI809" s="363"/>
      <c r="AJ809" s="363"/>
      <c r="AK809" s="363"/>
      <c r="AL809" s="363"/>
      <c r="AM809" s="363"/>
    </row>
    <row r="810" spans="2:39" ht="12.75" customHeight="1" x14ac:dyDescent="0.2">
      <c r="B810" s="362"/>
      <c r="C810" s="363"/>
      <c r="D810" s="363"/>
      <c r="E810" s="363"/>
      <c r="F810" s="363"/>
      <c r="G810" s="363"/>
      <c r="H810" s="363"/>
      <c r="I810" s="363"/>
      <c r="J810" s="363"/>
      <c r="K810" s="363"/>
      <c r="L810" s="363"/>
      <c r="M810" s="363"/>
      <c r="N810" s="363"/>
      <c r="O810" s="363"/>
      <c r="P810" s="363"/>
      <c r="Q810" s="363"/>
      <c r="R810" s="363"/>
      <c r="S810" s="363"/>
      <c r="T810" s="363"/>
      <c r="U810" s="363"/>
      <c r="V810" s="363"/>
      <c r="W810" s="363"/>
      <c r="X810" s="363"/>
      <c r="Y810" s="363"/>
      <c r="Z810" s="363"/>
      <c r="AA810" s="363"/>
      <c r="AB810" s="363"/>
      <c r="AC810" s="363"/>
      <c r="AD810" s="363"/>
      <c r="AE810" s="363"/>
      <c r="AF810" s="363"/>
      <c r="AG810" s="363"/>
      <c r="AH810" s="363"/>
      <c r="AI810" s="363"/>
      <c r="AJ810" s="363"/>
      <c r="AK810" s="363"/>
      <c r="AL810" s="363"/>
      <c r="AM810" s="363"/>
    </row>
    <row r="811" spans="2:39" ht="12.75" customHeight="1" x14ac:dyDescent="0.2">
      <c r="B811" s="362"/>
      <c r="C811" s="363"/>
      <c r="D811" s="363"/>
      <c r="E811" s="363"/>
      <c r="F811" s="363"/>
      <c r="G811" s="363"/>
      <c r="H811" s="363"/>
      <c r="I811" s="363"/>
      <c r="J811" s="363"/>
      <c r="K811" s="363"/>
      <c r="L811" s="363"/>
      <c r="M811" s="363"/>
      <c r="N811" s="363"/>
      <c r="O811" s="363"/>
      <c r="P811" s="363"/>
      <c r="Q811" s="363"/>
      <c r="R811" s="363"/>
      <c r="S811" s="363"/>
      <c r="T811" s="363"/>
      <c r="U811" s="363"/>
      <c r="V811" s="363"/>
      <c r="W811" s="363"/>
      <c r="X811" s="363"/>
      <c r="Y811" s="363"/>
      <c r="Z811" s="363"/>
      <c r="AA811" s="363"/>
      <c r="AB811" s="363"/>
      <c r="AC811" s="363"/>
      <c r="AD811" s="363"/>
      <c r="AE811" s="363"/>
      <c r="AF811" s="363"/>
      <c r="AG811" s="363"/>
      <c r="AH811" s="363"/>
      <c r="AI811" s="363"/>
      <c r="AJ811" s="363"/>
      <c r="AK811" s="363"/>
      <c r="AL811" s="363"/>
      <c r="AM811" s="363"/>
    </row>
    <row r="812" spans="2:39" ht="12.75" customHeight="1" x14ac:dyDescent="0.2">
      <c r="B812" s="362"/>
      <c r="C812" s="363"/>
      <c r="D812" s="363"/>
      <c r="E812" s="363"/>
      <c r="F812" s="363"/>
      <c r="G812" s="363"/>
      <c r="H812" s="363"/>
      <c r="I812" s="363"/>
      <c r="J812" s="363"/>
      <c r="K812" s="363"/>
      <c r="L812" s="363"/>
      <c r="M812" s="363"/>
      <c r="N812" s="363"/>
      <c r="O812" s="363"/>
      <c r="P812" s="363"/>
      <c r="Q812" s="363"/>
      <c r="R812" s="363"/>
      <c r="S812" s="363"/>
      <c r="T812" s="363"/>
      <c r="U812" s="363"/>
      <c r="V812" s="363"/>
      <c r="W812" s="363"/>
      <c r="X812" s="363"/>
      <c r="Y812" s="363"/>
      <c r="Z812" s="363"/>
      <c r="AA812" s="363"/>
      <c r="AB812" s="363"/>
      <c r="AC812" s="363"/>
      <c r="AD812" s="363"/>
      <c r="AE812" s="363"/>
      <c r="AF812" s="363"/>
      <c r="AG812" s="363"/>
      <c r="AH812" s="363"/>
      <c r="AI812" s="363"/>
      <c r="AJ812" s="363"/>
      <c r="AK812" s="363"/>
      <c r="AL812" s="363"/>
      <c r="AM812" s="363"/>
    </row>
    <row r="813" spans="2:39" ht="12.75" customHeight="1" x14ac:dyDescent="0.2">
      <c r="B813" s="362"/>
      <c r="C813" s="363"/>
      <c r="D813" s="363"/>
      <c r="E813" s="363"/>
      <c r="F813" s="363"/>
      <c r="G813" s="363"/>
      <c r="H813" s="363"/>
      <c r="I813" s="363"/>
      <c r="J813" s="363"/>
      <c r="K813" s="363"/>
      <c r="L813" s="363"/>
      <c r="M813" s="363"/>
      <c r="N813" s="363"/>
      <c r="O813" s="363"/>
      <c r="P813" s="363"/>
      <c r="Q813" s="363"/>
      <c r="R813" s="363"/>
      <c r="S813" s="363"/>
      <c r="T813" s="363"/>
      <c r="U813" s="363"/>
      <c r="V813" s="363"/>
      <c r="W813" s="363"/>
      <c r="X813" s="363"/>
      <c r="Y813" s="363"/>
      <c r="Z813" s="363"/>
      <c r="AA813" s="363"/>
      <c r="AB813" s="363"/>
      <c r="AC813" s="363"/>
      <c r="AD813" s="363"/>
      <c r="AE813" s="363"/>
      <c r="AF813" s="363"/>
      <c r="AG813" s="363"/>
      <c r="AH813" s="363"/>
      <c r="AI813" s="363"/>
      <c r="AJ813" s="363"/>
      <c r="AK813" s="363"/>
      <c r="AL813" s="363"/>
      <c r="AM813" s="363"/>
    </row>
    <row r="814" spans="2:39" ht="12.75" customHeight="1" x14ac:dyDescent="0.2">
      <c r="B814" s="362"/>
      <c r="C814" s="363"/>
      <c r="D814" s="363"/>
      <c r="E814" s="363"/>
      <c r="F814" s="363"/>
      <c r="G814" s="363"/>
      <c r="H814" s="363"/>
      <c r="I814" s="363"/>
      <c r="J814" s="363"/>
      <c r="K814" s="363"/>
      <c r="L814" s="363"/>
      <c r="M814" s="363"/>
      <c r="N814" s="363"/>
      <c r="O814" s="363"/>
      <c r="P814" s="363"/>
      <c r="Q814" s="363"/>
      <c r="R814" s="363"/>
      <c r="S814" s="363"/>
      <c r="T814" s="363"/>
      <c r="U814" s="363"/>
      <c r="V814" s="363"/>
      <c r="W814" s="363"/>
      <c r="X814" s="363"/>
      <c r="Y814" s="363"/>
      <c r="Z814" s="363"/>
      <c r="AA814" s="363"/>
      <c r="AB814" s="363"/>
      <c r="AC814" s="363"/>
      <c r="AD814" s="363"/>
      <c r="AE814" s="363"/>
      <c r="AF814" s="363"/>
      <c r="AG814" s="363"/>
      <c r="AH814" s="363"/>
      <c r="AI814" s="363"/>
      <c r="AJ814" s="363"/>
      <c r="AK814" s="363"/>
      <c r="AL814" s="363"/>
      <c r="AM814" s="363"/>
    </row>
    <row r="815" spans="2:39" ht="12.75" customHeight="1" x14ac:dyDescent="0.2">
      <c r="B815" s="362"/>
      <c r="C815" s="363"/>
      <c r="D815" s="363"/>
      <c r="E815" s="363"/>
      <c r="F815" s="363"/>
      <c r="G815" s="363"/>
      <c r="H815" s="363"/>
      <c r="I815" s="363"/>
      <c r="J815" s="363"/>
      <c r="K815" s="363"/>
      <c r="L815" s="363"/>
      <c r="M815" s="363"/>
      <c r="N815" s="363"/>
      <c r="O815" s="363"/>
      <c r="P815" s="363"/>
      <c r="Q815" s="363"/>
      <c r="R815" s="363"/>
      <c r="S815" s="363"/>
      <c r="T815" s="363"/>
      <c r="U815" s="363"/>
      <c r="V815" s="363"/>
      <c r="W815" s="363"/>
      <c r="X815" s="363"/>
      <c r="Y815" s="363"/>
      <c r="Z815" s="363"/>
      <c r="AA815" s="363"/>
      <c r="AB815" s="363"/>
      <c r="AC815" s="363"/>
      <c r="AD815" s="363"/>
      <c r="AE815" s="363"/>
      <c r="AF815" s="363"/>
      <c r="AG815" s="363"/>
      <c r="AH815" s="363"/>
      <c r="AI815" s="363"/>
      <c r="AJ815" s="363"/>
      <c r="AK815" s="363"/>
      <c r="AL815" s="363"/>
      <c r="AM815" s="363"/>
    </row>
    <row r="816" spans="2:39" ht="12.75" customHeight="1" x14ac:dyDescent="0.2">
      <c r="B816" s="362"/>
      <c r="C816" s="363"/>
      <c r="D816" s="363"/>
      <c r="E816" s="363"/>
      <c r="F816" s="363"/>
      <c r="G816" s="363"/>
      <c r="H816" s="363"/>
      <c r="I816" s="363"/>
      <c r="J816" s="363"/>
      <c r="K816" s="363"/>
      <c r="L816" s="363"/>
      <c r="M816" s="363"/>
      <c r="N816" s="363"/>
      <c r="O816" s="363"/>
      <c r="P816" s="363"/>
      <c r="Q816" s="363"/>
      <c r="R816" s="363"/>
      <c r="S816" s="363"/>
      <c r="T816" s="363"/>
      <c r="U816" s="363"/>
      <c r="V816" s="363"/>
      <c r="W816" s="363"/>
      <c r="X816" s="363"/>
      <c r="Y816" s="363"/>
      <c r="Z816" s="363"/>
      <c r="AA816" s="363"/>
      <c r="AB816" s="363"/>
      <c r="AC816" s="363"/>
      <c r="AD816" s="363"/>
      <c r="AE816" s="363"/>
      <c r="AF816" s="363"/>
      <c r="AG816" s="363"/>
      <c r="AH816" s="363"/>
      <c r="AI816" s="363"/>
      <c r="AJ816" s="363"/>
      <c r="AK816" s="363"/>
      <c r="AL816" s="363"/>
      <c r="AM816" s="363"/>
    </row>
    <row r="817" spans="2:39" ht="12.75" customHeight="1" x14ac:dyDescent="0.2">
      <c r="B817" s="362"/>
      <c r="C817" s="363"/>
      <c r="D817" s="363"/>
      <c r="E817" s="363"/>
      <c r="F817" s="363"/>
      <c r="G817" s="363"/>
      <c r="H817" s="363"/>
      <c r="I817" s="363"/>
      <c r="J817" s="363"/>
      <c r="K817" s="363"/>
      <c r="L817" s="363"/>
      <c r="M817" s="363"/>
      <c r="N817" s="363"/>
      <c r="O817" s="363"/>
      <c r="P817" s="363"/>
      <c r="Q817" s="363"/>
      <c r="R817" s="363"/>
      <c r="S817" s="363"/>
      <c r="T817" s="363"/>
      <c r="U817" s="363"/>
      <c r="V817" s="363"/>
      <c r="W817" s="363"/>
      <c r="X817" s="363"/>
      <c r="Y817" s="363"/>
      <c r="Z817" s="363"/>
      <c r="AA817" s="363"/>
      <c r="AB817" s="363"/>
      <c r="AC817" s="363"/>
      <c r="AD817" s="363"/>
      <c r="AE817" s="363"/>
      <c r="AF817" s="363"/>
      <c r="AG817" s="363"/>
      <c r="AH817" s="363"/>
      <c r="AI817" s="363"/>
      <c r="AJ817" s="363"/>
      <c r="AK817" s="363"/>
      <c r="AL817" s="363"/>
      <c r="AM817" s="363"/>
    </row>
    <row r="818" spans="2:39" ht="12.75" customHeight="1" x14ac:dyDescent="0.2">
      <c r="B818" s="362"/>
      <c r="C818" s="363"/>
      <c r="D818" s="363"/>
      <c r="E818" s="363"/>
      <c r="F818" s="363"/>
      <c r="G818" s="363"/>
      <c r="H818" s="363"/>
      <c r="I818" s="363"/>
      <c r="J818" s="363"/>
      <c r="K818" s="363"/>
      <c r="L818" s="363"/>
      <c r="M818" s="363"/>
      <c r="N818" s="363"/>
      <c r="O818" s="363"/>
      <c r="P818" s="363"/>
      <c r="Q818" s="363"/>
      <c r="R818" s="363"/>
      <c r="S818" s="363"/>
      <c r="T818" s="363"/>
      <c r="U818" s="363"/>
      <c r="V818" s="363"/>
      <c r="W818" s="363"/>
      <c r="X818" s="363"/>
      <c r="Y818" s="363"/>
      <c r="Z818" s="363"/>
      <c r="AA818" s="363"/>
      <c r="AB818" s="363"/>
      <c r="AC818" s="363"/>
      <c r="AD818" s="363"/>
      <c r="AE818" s="363"/>
      <c r="AF818" s="363"/>
      <c r="AG818" s="363"/>
      <c r="AH818" s="363"/>
      <c r="AI818" s="363"/>
      <c r="AJ818" s="363"/>
      <c r="AK818" s="363"/>
      <c r="AL818" s="363"/>
      <c r="AM818" s="363"/>
    </row>
    <row r="819" spans="2:39" ht="12.75" customHeight="1" x14ac:dyDescent="0.2">
      <c r="B819" s="362"/>
      <c r="C819" s="363"/>
      <c r="D819" s="363"/>
      <c r="E819" s="363"/>
      <c r="F819" s="363"/>
      <c r="G819" s="363"/>
      <c r="H819" s="363"/>
      <c r="I819" s="363"/>
      <c r="J819" s="363"/>
      <c r="K819" s="363"/>
      <c r="L819" s="363"/>
      <c r="M819" s="363"/>
      <c r="N819" s="363"/>
      <c r="O819" s="363"/>
      <c r="P819" s="363"/>
      <c r="Q819" s="363"/>
      <c r="R819" s="363"/>
      <c r="S819" s="363"/>
      <c r="T819" s="363"/>
      <c r="U819" s="363"/>
      <c r="V819" s="363"/>
      <c r="W819" s="363"/>
      <c r="X819" s="363"/>
      <c r="Y819" s="363"/>
      <c r="Z819" s="363"/>
      <c r="AA819" s="363"/>
      <c r="AB819" s="363"/>
      <c r="AC819" s="363"/>
      <c r="AD819" s="363"/>
      <c r="AE819" s="363"/>
      <c r="AF819" s="363"/>
      <c r="AG819" s="363"/>
      <c r="AH819" s="363"/>
      <c r="AI819" s="363"/>
      <c r="AJ819" s="363"/>
      <c r="AK819" s="363"/>
      <c r="AL819" s="363"/>
      <c r="AM819" s="363"/>
    </row>
    <row r="820" spans="2:39" ht="12.75" customHeight="1" x14ac:dyDescent="0.2">
      <c r="B820" s="362"/>
      <c r="C820" s="363"/>
      <c r="D820" s="363"/>
      <c r="E820" s="363"/>
      <c r="F820" s="363"/>
      <c r="G820" s="363"/>
      <c r="H820" s="363"/>
      <c r="I820" s="363"/>
      <c r="J820" s="363"/>
      <c r="K820" s="363"/>
      <c r="L820" s="363"/>
      <c r="M820" s="363"/>
      <c r="N820" s="363"/>
      <c r="O820" s="363"/>
      <c r="P820" s="363"/>
      <c r="Q820" s="363"/>
      <c r="R820" s="363"/>
      <c r="S820" s="363"/>
      <c r="T820" s="363"/>
      <c r="U820" s="363"/>
      <c r="V820" s="363"/>
      <c r="W820" s="363"/>
      <c r="X820" s="363"/>
      <c r="Y820" s="363"/>
      <c r="Z820" s="363"/>
      <c r="AA820" s="363"/>
      <c r="AB820" s="363"/>
      <c r="AC820" s="363"/>
      <c r="AD820" s="363"/>
      <c r="AE820" s="363"/>
      <c r="AF820" s="363"/>
      <c r="AG820" s="363"/>
      <c r="AH820" s="363"/>
      <c r="AI820" s="363"/>
      <c r="AJ820" s="363"/>
      <c r="AK820" s="363"/>
      <c r="AL820" s="363"/>
      <c r="AM820" s="363"/>
    </row>
    <row r="821" spans="2:39" ht="12.75" customHeight="1" x14ac:dyDescent="0.2">
      <c r="B821" s="362"/>
      <c r="C821" s="363"/>
      <c r="D821" s="363"/>
      <c r="E821" s="363"/>
      <c r="F821" s="363"/>
      <c r="G821" s="363"/>
      <c r="H821" s="363"/>
      <c r="I821" s="363"/>
      <c r="J821" s="363"/>
      <c r="K821" s="363"/>
      <c r="L821" s="363"/>
      <c r="M821" s="363"/>
      <c r="N821" s="363"/>
      <c r="O821" s="363"/>
      <c r="P821" s="363"/>
      <c r="Q821" s="363"/>
      <c r="R821" s="363"/>
      <c r="S821" s="363"/>
      <c r="T821" s="363"/>
      <c r="U821" s="363"/>
      <c r="V821" s="363"/>
      <c r="W821" s="363"/>
      <c r="X821" s="363"/>
      <c r="Y821" s="363"/>
      <c r="Z821" s="363"/>
      <c r="AA821" s="363"/>
      <c r="AB821" s="363"/>
      <c r="AC821" s="363"/>
      <c r="AD821" s="363"/>
      <c r="AE821" s="363"/>
      <c r="AF821" s="363"/>
      <c r="AG821" s="363"/>
      <c r="AH821" s="363"/>
      <c r="AI821" s="363"/>
      <c r="AJ821" s="363"/>
      <c r="AK821" s="363"/>
      <c r="AL821" s="363"/>
      <c r="AM821" s="363"/>
    </row>
    <row r="822" spans="2:39" ht="12.75" customHeight="1" x14ac:dyDescent="0.2">
      <c r="B822" s="362"/>
      <c r="C822" s="363"/>
      <c r="D822" s="363"/>
      <c r="E822" s="363"/>
      <c r="F822" s="363"/>
      <c r="G822" s="363"/>
      <c r="H822" s="363"/>
      <c r="I822" s="363"/>
      <c r="J822" s="363"/>
      <c r="K822" s="363"/>
      <c r="L822" s="363"/>
      <c r="M822" s="363"/>
      <c r="N822" s="363"/>
      <c r="O822" s="363"/>
      <c r="P822" s="363"/>
      <c r="Q822" s="363"/>
      <c r="R822" s="363"/>
      <c r="S822" s="363"/>
      <c r="T822" s="363"/>
      <c r="U822" s="363"/>
      <c r="V822" s="363"/>
      <c r="W822" s="363"/>
      <c r="X822" s="363"/>
      <c r="Y822" s="363"/>
      <c r="Z822" s="363"/>
      <c r="AA822" s="363"/>
      <c r="AB822" s="363"/>
      <c r="AC822" s="363"/>
      <c r="AD822" s="363"/>
      <c r="AE822" s="363"/>
      <c r="AF822" s="363"/>
      <c r="AG822" s="363"/>
      <c r="AH822" s="363"/>
      <c r="AI822" s="363"/>
      <c r="AJ822" s="363"/>
      <c r="AK822" s="363"/>
      <c r="AL822" s="363"/>
      <c r="AM822" s="363"/>
    </row>
    <row r="823" spans="2:39" ht="12.75" customHeight="1" x14ac:dyDescent="0.2">
      <c r="B823" s="362"/>
      <c r="C823" s="363"/>
      <c r="D823" s="363"/>
      <c r="E823" s="363"/>
      <c r="F823" s="363"/>
      <c r="G823" s="363"/>
      <c r="H823" s="363"/>
      <c r="I823" s="363"/>
      <c r="J823" s="363"/>
      <c r="K823" s="363"/>
      <c r="L823" s="363"/>
      <c r="M823" s="363"/>
      <c r="N823" s="363"/>
      <c r="O823" s="363"/>
      <c r="P823" s="363"/>
      <c r="Q823" s="363"/>
      <c r="R823" s="363"/>
      <c r="S823" s="363"/>
      <c r="T823" s="363"/>
      <c r="U823" s="363"/>
      <c r="V823" s="363"/>
      <c r="W823" s="363"/>
      <c r="X823" s="363"/>
      <c r="Y823" s="363"/>
      <c r="Z823" s="363"/>
      <c r="AA823" s="363"/>
      <c r="AB823" s="363"/>
      <c r="AC823" s="363"/>
      <c r="AD823" s="363"/>
      <c r="AE823" s="363"/>
      <c r="AF823" s="363"/>
      <c r="AG823" s="363"/>
      <c r="AH823" s="363"/>
      <c r="AI823" s="363"/>
      <c r="AJ823" s="363"/>
      <c r="AK823" s="363"/>
      <c r="AL823" s="363"/>
      <c r="AM823" s="363"/>
    </row>
    <row r="824" spans="2:39" ht="12.75" customHeight="1" x14ac:dyDescent="0.2">
      <c r="B824" s="362"/>
      <c r="C824" s="363"/>
      <c r="D824" s="363"/>
      <c r="E824" s="363"/>
      <c r="F824" s="363"/>
      <c r="G824" s="363"/>
      <c r="H824" s="363"/>
      <c r="I824" s="363"/>
      <c r="J824" s="363"/>
      <c r="K824" s="363"/>
      <c r="L824" s="363"/>
      <c r="M824" s="363"/>
      <c r="N824" s="363"/>
      <c r="O824" s="363"/>
      <c r="P824" s="363"/>
      <c r="Q824" s="363"/>
      <c r="R824" s="363"/>
      <c r="S824" s="363"/>
      <c r="T824" s="363"/>
      <c r="U824" s="363"/>
      <c r="V824" s="363"/>
      <c r="W824" s="363"/>
      <c r="X824" s="363"/>
      <c r="Y824" s="363"/>
      <c r="Z824" s="363"/>
      <c r="AA824" s="363"/>
      <c r="AB824" s="363"/>
      <c r="AC824" s="363"/>
      <c r="AD824" s="363"/>
      <c r="AE824" s="363"/>
      <c r="AF824" s="363"/>
      <c r="AG824" s="363"/>
      <c r="AH824" s="363"/>
      <c r="AI824" s="363"/>
      <c r="AJ824" s="363"/>
      <c r="AK824" s="363"/>
      <c r="AL824" s="363"/>
      <c r="AM824" s="363"/>
    </row>
    <row r="825" spans="2:39" ht="12.75" customHeight="1" x14ac:dyDescent="0.2">
      <c r="B825" s="362"/>
      <c r="C825" s="363"/>
      <c r="D825" s="363"/>
      <c r="E825" s="363"/>
      <c r="F825" s="363"/>
      <c r="G825" s="363"/>
      <c r="H825" s="363"/>
      <c r="I825" s="363"/>
      <c r="J825" s="363"/>
      <c r="K825" s="363"/>
      <c r="L825" s="363"/>
      <c r="M825" s="363"/>
      <c r="N825" s="363"/>
      <c r="O825" s="363"/>
      <c r="P825" s="363"/>
      <c r="Q825" s="363"/>
      <c r="R825" s="363"/>
      <c r="S825" s="363"/>
      <c r="T825" s="363"/>
      <c r="U825" s="363"/>
      <c r="V825" s="363"/>
      <c r="W825" s="363"/>
      <c r="X825" s="363"/>
      <c r="Y825" s="363"/>
      <c r="Z825" s="363"/>
      <c r="AA825" s="363"/>
      <c r="AB825" s="363"/>
      <c r="AC825" s="363"/>
      <c r="AD825" s="363"/>
      <c r="AE825" s="363"/>
      <c r="AF825" s="363"/>
      <c r="AG825" s="363"/>
      <c r="AH825" s="363"/>
      <c r="AI825" s="363"/>
      <c r="AJ825" s="363"/>
      <c r="AK825" s="363"/>
      <c r="AL825" s="363"/>
      <c r="AM825" s="363"/>
    </row>
    <row r="826" spans="2:39" ht="12.75" customHeight="1" x14ac:dyDescent="0.2">
      <c r="B826" s="362"/>
      <c r="C826" s="363"/>
      <c r="D826" s="363"/>
      <c r="E826" s="363"/>
      <c r="F826" s="363"/>
      <c r="G826" s="363"/>
      <c r="H826" s="363"/>
      <c r="I826" s="363"/>
      <c r="J826" s="363"/>
      <c r="K826" s="363"/>
      <c r="L826" s="363"/>
      <c r="M826" s="363"/>
      <c r="N826" s="363"/>
      <c r="O826" s="363"/>
      <c r="P826" s="363"/>
      <c r="Q826" s="363"/>
      <c r="R826" s="363"/>
      <c r="S826" s="363"/>
      <c r="T826" s="363"/>
      <c r="U826" s="363"/>
      <c r="V826" s="363"/>
      <c r="W826" s="363"/>
      <c r="X826" s="363"/>
      <c r="Y826" s="363"/>
      <c r="Z826" s="363"/>
      <c r="AA826" s="363"/>
      <c r="AB826" s="363"/>
      <c r="AC826" s="363"/>
      <c r="AD826" s="363"/>
      <c r="AE826" s="363"/>
      <c r="AF826" s="363"/>
      <c r="AG826" s="363"/>
      <c r="AH826" s="363"/>
      <c r="AI826" s="363"/>
      <c r="AJ826" s="363"/>
      <c r="AK826" s="363"/>
      <c r="AL826" s="363"/>
      <c r="AM826" s="363"/>
    </row>
    <row r="827" spans="2:39" ht="12.75" customHeight="1" x14ac:dyDescent="0.2">
      <c r="B827" s="362"/>
      <c r="C827" s="363"/>
      <c r="D827" s="363"/>
      <c r="E827" s="363"/>
      <c r="F827" s="363"/>
      <c r="G827" s="363"/>
      <c r="H827" s="363"/>
      <c r="I827" s="363"/>
      <c r="J827" s="363"/>
      <c r="K827" s="363"/>
      <c r="L827" s="363"/>
      <c r="M827" s="363"/>
      <c r="N827" s="363"/>
      <c r="O827" s="363"/>
      <c r="P827" s="363"/>
      <c r="Q827" s="363"/>
      <c r="R827" s="363"/>
      <c r="S827" s="363"/>
      <c r="T827" s="363"/>
      <c r="U827" s="363"/>
      <c r="V827" s="363"/>
      <c r="W827" s="363"/>
      <c r="X827" s="363"/>
      <c r="Y827" s="363"/>
      <c r="Z827" s="363"/>
      <c r="AA827" s="363"/>
      <c r="AB827" s="363"/>
      <c r="AC827" s="363"/>
      <c r="AD827" s="363"/>
      <c r="AE827" s="363"/>
      <c r="AF827" s="363"/>
      <c r="AG827" s="363"/>
      <c r="AH827" s="363"/>
      <c r="AI827" s="363"/>
      <c r="AJ827" s="363"/>
      <c r="AK827" s="363"/>
      <c r="AL827" s="363"/>
      <c r="AM827" s="363"/>
    </row>
    <row r="828" spans="2:39" ht="12.75" customHeight="1" x14ac:dyDescent="0.2">
      <c r="B828" s="362"/>
      <c r="C828" s="363"/>
      <c r="D828" s="363"/>
      <c r="E828" s="363"/>
      <c r="F828" s="363"/>
      <c r="G828" s="363"/>
      <c r="H828" s="363"/>
      <c r="I828" s="363"/>
      <c r="J828" s="363"/>
      <c r="K828" s="363"/>
      <c r="L828" s="363"/>
      <c r="M828" s="363"/>
      <c r="N828" s="363"/>
      <c r="O828" s="363"/>
      <c r="P828" s="363"/>
      <c r="Q828" s="363"/>
      <c r="R828" s="363"/>
      <c r="S828" s="363"/>
      <c r="T828" s="363"/>
      <c r="U828" s="363"/>
      <c r="V828" s="363"/>
      <c r="W828" s="363"/>
      <c r="X828" s="363"/>
      <c r="Y828" s="363"/>
      <c r="Z828" s="363"/>
      <c r="AA828" s="363"/>
      <c r="AB828" s="363"/>
      <c r="AC828" s="363"/>
      <c r="AD828" s="363"/>
      <c r="AE828" s="363"/>
      <c r="AF828" s="363"/>
      <c r="AG828" s="363"/>
      <c r="AH828" s="363"/>
      <c r="AI828" s="363"/>
      <c r="AJ828" s="363"/>
      <c r="AK828" s="363"/>
      <c r="AL828" s="363"/>
      <c r="AM828" s="363"/>
    </row>
    <row r="829" spans="2:39" ht="12.75" customHeight="1" x14ac:dyDescent="0.2">
      <c r="B829" s="362"/>
      <c r="C829" s="363"/>
      <c r="D829" s="363"/>
      <c r="E829" s="363"/>
      <c r="F829" s="363"/>
      <c r="G829" s="363"/>
      <c r="H829" s="363"/>
      <c r="I829" s="363"/>
      <c r="J829" s="363"/>
      <c r="K829" s="363"/>
      <c r="L829" s="363"/>
      <c r="M829" s="363"/>
      <c r="N829" s="363"/>
      <c r="O829" s="363"/>
      <c r="P829" s="363"/>
      <c r="Q829" s="363"/>
      <c r="R829" s="363"/>
      <c r="S829" s="363"/>
      <c r="T829" s="363"/>
      <c r="U829" s="363"/>
      <c r="V829" s="363"/>
      <c r="W829" s="363"/>
      <c r="X829" s="363"/>
      <c r="Y829" s="363"/>
      <c r="Z829" s="363"/>
      <c r="AA829" s="363"/>
      <c r="AB829" s="363"/>
      <c r="AC829" s="363"/>
      <c r="AD829" s="363"/>
      <c r="AE829" s="363"/>
      <c r="AF829" s="363"/>
      <c r="AG829" s="363"/>
      <c r="AH829" s="363"/>
      <c r="AI829" s="363"/>
      <c r="AJ829" s="363"/>
      <c r="AK829" s="363"/>
      <c r="AL829" s="363"/>
      <c r="AM829" s="363"/>
    </row>
    <row r="830" spans="2:39" ht="12.75" customHeight="1" x14ac:dyDescent="0.2">
      <c r="B830" s="362"/>
      <c r="C830" s="363"/>
      <c r="D830" s="363"/>
      <c r="E830" s="363"/>
      <c r="F830" s="363"/>
      <c r="G830" s="363"/>
      <c r="H830" s="363"/>
      <c r="I830" s="363"/>
      <c r="J830" s="363"/>
      <c r="K830" s="363"/>
      <c r="L830" s="363"/>
      <c r="M830" s="363"/>
      <c r="N830" s="363"/>
      <c r="O830" s="363"/>
      <c r="P830" s="363"/>
      <c r="Q830" s="363"/>
      <c r="R830" s="363"/>
      <c r="S830" s="363"/>
      <c r="T830" s="363"/>
      <c r="U830" s="363"/>
      <c r="V830" s="363"/>
      <c r="W830" s="363"/>
      <c r="X830" s="363"/>
      <c r="Y830" s="363"/>
      <c r="Z830" s="363"/>
      <c r="AA830" s="363"/>
      <c r="AB830" s="363"/>
      <c r="AC830" s="363"/>
      <c r="AD830" s="363"/>
      <c r="AE830" s="363"/>
      <c r="AF830" s="363"/>
      <c r="AG830" s="363"/>
      <c r="AH830" s="363"/>
      <c r="AI830" s="363"/>
      <c r="AJ830" s="363"/>
      <c r="AK830" s="363"/>
      <c r="AL830" s="363"/>
      <c r="AM830" s="363"/>
    </row>
    <row r="831" spans="2:39" ht="12.75" customHeight="1" x14ac:dyDescent="0.2">
      <c r="B831" s="362"/>
      <c r="C831" s="363"/>
      <c r="D831" s="363"/>
      <c r="E831" s="363"/>
      <c r="F831" s="363"/>
      <c r="G831" s="363"/>
      <c r="H831" s="363"/>
      <c r="I831" s="363"/>
      <c r="J831" s="363"/>
      <c r="K831" s="363"/>
      <c r="L831" s="363"/>
      <c r="M831" s="363"/>
      <c r="N831" s="363"/>
      <c r="O831" s="363"/>
      <c r="P831" s="363"/>
      <c r="Q831" s="363"/>
      <c r="R831" s="363"/>
      <c r="S831" s="363"/>
      <c r="T831" s="363"/>
      <c r="U831" s="363"/>
      <c r="V831" s="363"/>
      <c r="W831" s="363"/>
      <c r="X831" s="363"/>
      <c r="Y831" s="363"/>
      <c r="Z831" s="363"/>
      <c r="AA831" s="363"/>
      <c r="AB831" s="363"/>
      <c r="AC831" s="363"/>
      <c r="AD831" s="363"/>
      <c r="AE831" s="363"/>
      <c r="AF831" s="363"/>
      <c r="AG831" s="363"/>
      <c r="AH831" s="363"/>
      <c r="AI831" s="363"/>
      <c r="AJ831" s="363"/>
      <c r="AK831" s="363"/>
      <c r="AL831" s="363"/>
      <c r="AM831" s="363"/>
    </row>
    <row r="832" spans="2:39" ht="12.75" customHeight="1" x14ac:dyDescent="0.2">
      <c r="B832" s="362"/>
      <c r="C832" s="363"/>
      <c r="D832" s="363"/>
      <c r="E832" s="363"/>
      <c r="F832" s="363"/>
      <c r="G832" s="363"/>
      <c r="H832" s="363"/>
      <c r="I832" s="363"/>
      <c r="J832" s="363"/>
      <c r="K832" s="363"/>
      <c r="L832" s="363"/>
      <c r="M832" s="363"/>
      <c r="N832" s="363"/>
      <c r="O832" s="363"/>
      <c r="P832" s="363"/>
      <c r="Q832" s="363"/>
      <c r="R832" s="363"/>
      <c r="S832" s="363"/>
      <c r="T832" s="363"/>
      <c r="U832" s="363"/>
      <c r="V832" s="363"/>
      <c r="W832" s="363"/>
      <c r="X832" s="363"/>
      <c r="Y832" s="363"/>
      <c r="Z832" s="363"/>
      <c r="AA832" s="363"/>
      <c r="AB832" s="363"/>
      <c r="AC832" s="363"/>
      <c r="AD832" s="363"/>
      <c r="AE832" s="363"/>
      <c r="AF832" s="363"/>
      <c r="AG832" s="363"/>
      <c r="AH832" s="363"/>
      <c r="AI832" s="363"/>
      <c r="AJ832" s="363"/>
      <c r="AK832" s="363"/>
      <c r="AL832" s="363"/>
      <c r="AM832" s="363"/>
    </row>
    <row r="833" spans="2:39" ht="12.75" customHeight="1" x14ac:dyDescent="0.2">
      <c r="B833" s="362"/>
      <c r="C833" s="363"/>
      <c r="D833" s="363"/>
      <c r="E833" s="363"/>
      <c r="F833" s="363"/>
      <c r="G833" s="363"/>
      <c r="H833" s="363"/>
      <c r="I833" s="363"/>
      <c r="J833" s="363"/>
      <c r="K833" s="363"/>
      <c r="L833" s="363"/>
      <c r="M833" s="363"/>
      <c r="N833" s="363"/>
      <c r="O833" s="363"/>
      <c r="P833" s="363"/>
      <c r="Q833" s="363"/>
      <c r="R833" s="363"/>
      <c r="S833" s="363"/>
      <c r="T833" s="363"/>
      <c r="U833" s="363"/>
      <c r="V833" s="363"/>
      <c r="W833" s="363"/>
      <c r="X833" s="363"/>
      <c r="Y833" s="363"/>
      <c r="Z833" s="363"/>
      <c r="AA833" s="363"/>
      <c r="AB833" s="363"/>
      <c r="AC833" s="363"/>
      <c r="AD833" s="363"/>
      <c r="AE833" s="363"/>
      <c r="AF833" s="363"/>
      <c r="AG833" s="363"/>
      <c r="AH833" s="363"/>
      <c r="AI833" s="363"/>
      <c r="AJ833" s="363"/>
      <c r="AK833" s="363"/>
      <c r="AL833" s="363"/>
      <c r="AM833" s="363"/>
    </row>
    <row r="834" spans="2:39" ht="12.75" customHeight="1" x14ac:dyDescent="0.2">
      <c r="B834" s="362"/>
      <c r="C834" s="363"/>
      <c r="D834" s="363"/>
      <c r="E834" s="363"/>
      <c r="F834" s="363"/>
      <c r="G834" s="363"/>
      <c r="H834" s="363"/>
      <c r="I834" s="363"/>
      <c r="J834" s="363"/>
      <c r="K834" s="363"/>
      <c r="L834" s="363"/>
      <c r="M834" s="363"/>
      <c r="N834" s="363"/>
      <c r="O834" s="363"/>
      <c r="P834" s="363"/>
      <c r="Q834" s="363"/>
      <c r="R834" s="363"/>
      <c r="S834" s="363"/>
      <c r="T834" s="363"/>
      <c r="U834" s="363"/>
      <c r="V834" s="363"/>
      <c r="W834" s="363"/>
      <c r="X834" s="363"/>
      <c r="Y834" s="363"/>
      <c r="Z834" s="363"/>
      <c r="AA834" s="363"/>
      <c r="AB834" s="363"/>
      <c r="AC834" s="363"/>
      <c r="AD834" s="363"/>
      <c r="AE834" s="363"/>
      <c r="AF834" s="363"/>
      <c r="AG834" s="363"/>
      <c r="AH834" s="363"/>
      <c r="AI834" s="363"/>
      <c r="AJ834" s="363"/>
      <c r="AK834" s="363"/>
      <c r="AL834" s="363"/>
      <c r="AM834" s="363"/>
    </row>
    <row r="835" spans="2:39" ht="12.75" customHeight="1" x14ac:dyDescent="0.2">
      <c r="B835" s="362"/>
      <c r="C835" s="363"/>
      <c r="D835" s="363"/>
      <c r="E835" s="363"/>
      <c r="F835" s="363"/>
      <c r="G835" s="363"/>
      <c r="H835" s="363"/>
      <c r="I835" s="363"/>
      <c r="J835" s="363"/>
      <c r="K835" s="363"/>
      <c r="L835" s="363"/>
      <c r="M835" s="363"/>
      <c r="N835" s="363"/>
      <c r="O835" s="363"/>
      <c r="P835" s="363"/>
      <c r="Q835" s="363"/>
      <c r="R835" s="363"/>
      <c r="S835" s="363"/>
      <c r="T835" s="363"/>
      <c r="U835" s="363"/>
      <c r="V835" s="363"/>
      <c r="W835" s="363"/>
      <c r="X835" s="363"/>
      <c r="Y835" s="363"/>
      <c r="Z835" s="363"/>
      <c r="AA835" s="363"/>
      <c r="AB835" s="363"/>
      <c r="AC835" s="363"/>
      <c r="AD835" s="363"/>
      <c r="AE835" s="363"/>
      <c r="AF835" s="363"/>
      <c r="AG835" s="363"/>
      <c r="AH835" s="363"/>
      <c r="AI835" s="363"/>
      <c r="AJ835" s="363"/>
      <c r="AK835" s="363"/>
      <c r="AL835" s="363"/>
      <c r="AM835" s="363"/>
    </row>
    <row r="836" spans="2:39" ht="12.75" customHeight="1" x14ac:dyDescent="0.2">
      <c r="B836" s="362"/>
      <c r="C836" s="363"/>
      <c r="D836" s="363"/>
      <c r="E836" s="363"/>
      <c r="F836" s="363"/>
      <c r="G836" s="363"/>
      <c r="H836" s="363"/>
      <c r="I836" s="363"/>
      <c r="J836" s="363"/>
      <c r="K836" s="363"/>
      <c r="L836" s="363"/>
      <c r="M836" s="363"/>
      <c r="N836" s="363"/>
      <c r="O836" s="363"/>
      <c r="P836" s="363"/>
      <c r="Q836" s="363"/>
      <c r="R836" s="363"/>
      <c r="S836" s="363"/>
      <c r="T836" s="363"/>
      <c r="U836" s="363"/>
      <c r="V836" s="363"/>
      <c r="W836" s="363"/>
      <c r="X836" s="363"/>
      <c r="Y836" s="363"/>
      <c r="Z836" s="363"/>
      <c r="AA836" s="363"/>
      <c r="AB836" s="363"/>
      <c r="AC836" s="363"/>
      <c r="AD836" s="363"/>
      <c r="AE836" s="363"/>
      <c r="AF836" s="363"/>
      <c r="AG836" s="363"/>
      <c r="AH836" s="363"/>
      <c r="AI836" s="363"/>
      <c r="AJ836" s="363"/>
      <c r="AK836" s="363"/>
      <c r="AL836" s="363"/>
      <c r="AM836" s="363"/>
    </row>
    <row r="837" spans="2:39" ht="12.75" customHeight="1" x14ac:dyDescent="0.2">
      <c r="B837" s="362"/>
      <c r="C837" s="363"/>
      <c r="D837" s="363"/>
      <c r="E837" s="363"/>
      <c r="F837" s="363"/>
      <c r="G837" s="363"/>
      <c r="H837" s="363"/>
      <c r="I837" s="363"/>
      <c r="J837" s="363"/>
      <c r="K837" s="363"/>
      <c r="L837" s="363"/>
      <c r="M837" s="363"/>
      <c r="N837" s="363"/>
      <c r="O837" s="363"/>
      <c r="P837" s="363"/>
      <c r="Q837" s="363"/>
      <c r="R837" s="363"/>
      <c r="S837" s="363"/>
      <c r="T837" s="363"/>
      <c r="U837" s="363"/>
      <c r="V837" s="363"/>
      <c r="W837" s="363"/>
      <c r="X837" s="363"/>
      <c r="Y837" s="363"/>
      <c r="Z837" s="363"/>
      <c r="AA837" s="363"/>
      <c r="AB837" s="363"/>
      <c r="AC837" s="363"/>
      <c r="AD837" s="363"/>
      <c r="AE837" s="363"/>
      <c r="AF837" s="363"/>
      <c r="AG837" s="363"/>
      <c r="AH837" s="363"/>
      <c r="AI837" s="363"/>
      <c r="AJ837" s="363"/>
      <c r="AK837" s="363"/>
      <c r="AL837" s="363"/>
      <c r="AM837" s="363"/>
    </row>
    <row r="838" spans="2:39" ht="12.75" customHeight="1" x14ac:dyDescent="0.2">
      <c r="B838" s="362"/>
      <c r="C838" s="363"/>
      <c r="D838" s="363"/>
      <c r="E838" s="363"/>
      <c r="F838" s="363"/>
      <c r="G838" s="363"/>
      <c r="H838" s="363"/>
      <c r="I838" s="363"/>
      <c r="J838" s="363"/>
      <c r="K838" s="363"/>
      <c r="L838" s="363"/>
      <c r="M838" s="363"/>
      <c r="N838" s="363"/>
      <c r="O838" s="363"/>
      <c r="P838" s="363"/>
      <c r="Q838" s="363"/>
      <c r="R838" s="363"/>
      <c r="S838" s="363"/>
      <c r="T838" s="363"/>
      <c r="U838" s="363"/>
      <c r="V838" s="363"/>
      <c r="W838" s="363"/>
      <c r="X838" s="363"/>
      <c r="Y838" s="363"/>
      <c r="Z838" s="363"/>
      <c r="AA838" s="363"/>
      <c r="AB838" s="363"/>
      <c r="AC838" s="363"/>
      <c r="AD838" s="363"/>
      <c r="AE838" s="363"/>
      <c r="AF838" s="363"/>
      <c r="AG838" s="363"/>
      <c r="AH838" s="363"/>
      <c r="AI838" s="363"/>
      <c r="AJ838" s="363"/>
      <c r="AK838" s="363"/>
      <c r="AL838" s="363"/>
      <c r="AM838" s="363"/>
    </row>
    <row r="839" spans="2:39" ht="12.75" customHeight="1" x14ac:dyDescent="0.2">
      <c r="B839" s="362"/>
      <c r="C839" s="363"/>
      <c r="D839" s="363"/>
      <c r="E839" s="363"/>
      <c r="F839" s="363"/>
      <c r="G839" s="363"/>
      <c r="H839" s="363"/>
      <c r="I839" s="363"/>
      <c r="J839" s="363"/>
      <c r="K839" s="363"/>
      <c r="L839" s="363"/>
      <c r="M839" s="363"/>
      <c r="N839" s="363"/>
      <c r="O839" s="363"/>
      <c r="P839" s="363"/>
      <c r="Q839" s="363"/>
      <c r="R839" s="363"/>
      <c r="S839" s="363"/>
      <c r="T839" s="363"/>
      <c r="U839" s="363"/>
      <c r="V839" s="363"/>
      <c r="W839" s="363"/>
      <c r="X839" s="363"/>
      <c r="Y839" s="363"/>
      <c r="Z839" s="363"/>
      <c r="AA839" s="363"/>
      <c r="AB839" s="363"/>
      <c r="AC839" s="363"/>
      <c r="AD839" s="363"/>
      <c r="AE839" s="363"/>
      <c r="AF839" s="363"/>
      <c r="AG839" s="363"/>
      <c r="AH839" s="363"/>
      <c r="AI839" s="363"/>
      <c r="AJ839" s="363"/>
      <c r="AK839" s="363"/>
      <c r="AL839" s="363"/>
      <c r="AM839" s="363"/>
    </row>
    <row r="840" spans="2:39" ht="12.75" customHeight="1" x14ac:dyDescent="0.2">
      <c r="B840" s="362"/>
      <c r="C840" s="363"/>
      <c r="D840" s="363"/>
      <c r="E840" s="363"/>
      <c r="F840" s="363"/>
      <c r="G840" s="363"/>
      <c r="H840" s="363"/>
      <c r="I840" s="363"/>
      <c r="J840" s="363"/>
      <c r="K840" s="363"/>
      <c r="L840" s="363"/>
      <c r="M840" s="363"/>
      <c r="N840" s="363"/>
      <c r="O840" s="363"/>
      <c r="P840" s="363"/>
      <c r="Q840" s="363"/>
      <c r="R840" s="363"/>
      <c r="S840" s="363"/>
      <c r="T840" s="363"/>
      <c r="U840" s="363"/>
      <c r="V840" s="363"/>
      <c r="W840" s="363"/>
      <c r="X840" s="363"/>
      <c r="Y840" s="363"/>
      <c r="Z840" s="363"/>
      <c r="AA840" s="363"/>
      <c r="AB840" s="363"/>
      <c r="AC840" s="363"/>
      <c r="AD840" s="363"/>
      <c r="AE840" s="363"/>
      <c r="AF840" s="363"/>
      <c r="AG840" s="363"/>
      <c r="AH840" s="363"/>
      <c r="AI840" s="363"/>
      <c r="AJ840" s="363"/>
      <c r="AK840" s="363"/>
      <c r="AL840" s="363"/>
      <c r="AM840" s="363"/>
    </row>
    <row r="841" spans="2:39" ht="12.75" customHeight="1" x14ac:dyDescent="0.2">
      <c r="B841" s="362"/>
      <c r="C841" s="363"/>
      <c r="D841" s="363"/>
      <c r="E841" s="363"/>
      <c r="F841" s="363"/>
      <c r="G841" s="363"/>
      <c r="H841" s="363"/>
      <c r="I841" s="363"/>
      <c r="J841" s="363"/>
      <c r="K841" s="363"/>
      <c r="L841" s="363"/>
      <c r="M841" s="363"/>
      <c r="N841" s="363"/>
      <c r="O841" s="363"/>
      <c r="P841" s="363"/>
      <c r="Q841" s="363"/>
      <c r="R841" s="363"/>
      <c r="S841" s="363"/>
      <c r="T841" s="363"/>
      <c r="U841" s="363"/>
      <c r="V841" s="363"/>
      <c r="W841" s="363"/>
      <c r="X841" s="363"/>
      <c r="Y841" s="363"/>
      <c r="Z841" s="363"/>
      <c r="AA841" s="363"/>
      <c r="AB841" s="363"/>
      <c r="AC841" s="363"/>
      <c r="AD841" s="363"/>
      <c r="AE841" s="363"/>
      <c r="AF841" s="363"/>
      <c r="AG841" s="363"/>
      <c r="AH841" s="363"/>
      <c r="AI841" s="363"/>
      <c r="AJ841" s="363"/>
      <c r="AK841" s="363"/>
      <c r="AL841" s="363"/>
      <c r="AM841" s="363"/>
    </row>
    <row r="842" spans="2:39" ht="12.75" customHeight="1" x14ac:dyDescent="0.2">
      <c r="B842" s="362"/>
      <c r="C842" s="363"/>
      <c r="D842" s="363"/>
      <c r="E842" s="363"/>
      <c r="F842" s="363"/>
      <c r="G842" s="363"/>
      <c r="H842" s="363"/>
      <c r="I842" s="363"/>
      <c r="J842" s="363"/>
      <c r="K842" s="363"/>
      <c r="L842" s="363"/>
      <c r="M842" s="363"/>
      <c r="N842" s="363"/>
      <c r="O842" s="363"/>
      <c r="P842" s="363"/>
      <c r="Q842" s="363"/>
      <c r="R842" s="363"/>
      <c r="S842" s="363"/>
      <c r="T842" s="363"/>
      <c r="U842" s="363"/>
      <c r="V842" s="363"/>
      <c r="W842" s="363"/>
      <c r="X842" s="363"/>
      <c r="Y842" s="363"/>
      <c r="Z842" s="363"/>
      <c r="AA842" s="363"/>
      <c r="AB842" s="363"/>
      <c r="AC842" s="363"/>
      <c r="AD842" s="363"/>
      <c r="AE842" s="363"/>
      <c r="AF842" s="363"/>
      <c r="AG842" s="363"/>
      <c r="AH842" s="363"/>
      <c r="AI842" s="363"/>
      <c r="AJ842" s="363"/>
      <c r="AK842" s="363"/>
      <c r="AL842" s="363"/>
      <c r="AM842" s="363"/>
    </row>
    <row r="843" spans="2:39" ht="12.75" customHeight="1" x14ac:dyDescent="0.2">
      <c r="B843" s="362"/>
      <c r="C843" s="363"/>
      <c r="D843" s="363"/>
      <c r="E843" s="363"/>
      <c r="F843" s="363"/>
      <c r="G843" s="363"/>
      <c r="H843" s="363"/>
      <c r="I843" s="363"/>
      <c r="J843" s="363"/>
      <c r="K843" s="363"/>
      <c r="L843" s="363"/>
      <c r="M843" s="363"/>
      <c r="N843" s="363"/>
      <c r="O843" s="363"/>
      <c r="P843" s="363"/>
      <c r="Q843" s="363"/>
      <c r="R843" s="363"/>
      <c r="S843" s="363"/>
      <c r="T843" s="363"/>
      <c r="U843" s="363"/>
      <c r="V843" s="363"/>
      <c r="W843" s="363"/>
      <c r="X843" s="363"/>
      <c r="Y843" s="363"/>
      <c r="Z843" s="363"/>
      <c r="AA843" s="363"/>
      <c r="AB843" s="363"/>
      <c r="AC843" s="363"/>
      <c r="AD843" s="363"/>
      <c r="AE843" s="363"/>
      <c r="AF843" s="363"/>
      <c r="AG843" s="363"/>
      <c r="AH843" s="363"/>
      <c r="AI843" s="363"/>
      <c r="AJ843" s="363"/>
      <c r="AK843" s="363"/>
      <c r="AL843" s="363"/>
      <c r="AM843" s="363"/>
    </row>
    <row r="844" spans="2:39" ht="12.75" customHeight="1" x14ac:dyDescent="0.2">
      <c r="B844" s="362"/>
      <c r="C844" s="363"/>
      <c r="D844" s="363"/>
      <c r="E844" s="363"/>
      <c r="F844" s="363"/>
      <c r="G844" s="363"/>
      <c r="H844" s="363"/>
      <c r="I844" s="363"/>
      <c r="J844" s="363"/>
      <c r="K844" s="363"/>
      <c r="L844" s="363"/>
      <c r="M844" s="363"/>
      <c r="N844" s="363"/>
      <c r="O844" s="363"/>
      <c r="P844" s="363"/>
      <c r="Q844" s="363"/>
      <c r="R844" s="363"/>
      <c r="S844" s="363"/>
      <c r="T844" s="363"/>
      <c r="U844" s="363"/>
      <c r="V844" s="363"/>
      <c r="W844" s="363"/>
      <c r="X844" s="363"/>
      <c r="Y844" s="363"/>
      <c r="Z844" s="363"/>
      <c r="AA844" s="363"/>
      <c r="AB844" s="363"/>
      <c r="AC844" s="363"/>
      <c r="AD844" s="363"/>
      <c r="AE844" s="363"/>
      <c r="AF844" s="363"/>
      <c r="AG844" s="363"/>
      <c r="AH844" s="363"/>
      <c r="AI844" s="363"/>
      <c r="AJ844" s="363"/>
      <c r="AK844" s="363"/>
      <c r="AL844" s="363"/>
      <c r="AM844" s="363"/>
    </row>
    <row r="845" spans="2:39" ht="12.75" customHeight="1" x14ac:dyDescent="0.2">
      <c r="B845" s="362"/>
      <c r="C845" s="363"/>
      <c r="D845" s="363"/>
      <c r="E845" s="363"/>
      <c r="F845" s="363"/>
      <c r="G845" s="363"/>
      <c r="H845" s="363"/>
      <c r="I845" s="363"/>
      <c r="J845" s="363"/>
      <c r="K845" s="363"/>
      <c r="L845" s="363"/>
      <c r="M845" s="363"/>
      <c r="N845" s="363"/>
      <c r="O845" s="363"/>
      <c r="P845" s="363"/>
      <c r="Q845" s="363"/>
      <c r="R845" s="363"/>
      <c r="S845" s="363"/>
      <c r="T845" s="363"/>
      <c r="U845" s="363"/>
      <c r="V845" s="363"/>
      <c r="W845" s="363"/>
      <c r="X845" s="363"/>
      <c r="Y845" s="363"/>
      <c r="Z845" s="363"/>
      <c r="AA845" s="363"/>
      <c r="AB845" s="363"/>
      <c r="AC845" s="363"/>
      <c r="AD845" s="363"/>
      <c r="AE845" s="363"/>
      <c r="AF845" s="363"/>
      <c r="AG845" s="363"/>
      <c r="AH845" s="363"/>
      <c r="AI845" s="363"/>
      <c r="AJ845" s="363"/>
      <c r="AK845" s="363"/>
      <c r="AL845" s="363"/>
      <c r="AM845" s="363"/>
    </row>
    <row r="846" spans="2:39" ht="12.75" customHeight="1" x14ac:dyDescent="0.2">
      <c r="B846" s="362"/>
      <c r="C846" s="363"/>
      <c r="D846" s="363"/>
      <c r="E846" s="363"/>
      <c r="F846" s="363"/>
      <c r="G846" s="363"/>
      <c r="H846" s="363"/>
      <c r="I846" s="363"/>
      <c r="J846" s="363"/>
      <c r="K846" s="363"/>
      <c r="L846" s="363"/>
      <c r="M846" s="363"/>
      <c r="N846" s="363"/>
      <c r="O846" s="363"/>
      <c r="P846" s="363"/>
      <c r="Q846" s="363"/>
      <c r="R846" s="363"/>
      <c r="S846" s="363"/>
      <c r="T846" s="363"/>
      <c r="U846" s="363"/>
      <c r="V846" s="363"/>
      <c r="W846" s="363"/>
      <c r="X846" s="363"/>
      <c r="Y846" s="363"/>
      <c r="Z846" s="363"/>
      <c r="AA846" s="363"/>
      <c r="AB846" s="363"/>
      <c r="AC846" s="363"/>
      <c r="AD846" s="363"/>
      <c r="AE846" s="363"/>
      <c r="AF846" s="363"/>
      <c r="AG846" s="363"/>
      <c r="AH846" s="363"/>
      <c r="AI846" s="363"/>
      <c r="AJ846" s="363"/>
      <c r="AK846" s="363"/>
      <c r="AL846" s="363"/>
      <c r="AM846" s="363"/>
    </row>
    <row r="847" spans="2:39" ht="12.75" customHeight="1" x14ac:dyDescent="0.2">
      <c r="B847" s="362"/>
      <c r="C847" s="363"/>
      <c r="D847" s="363"/>
      <c r="E847" s="363"/>
      <c r="F847" s="363"/>
      <c r="G847" s="363"/>
      <c r="H847" s="363"/>
      <c r="I847" s="363"/>
      <c r="J847" s="363"/>
      <c r="K847" s="363"/>
      <c r="L847" s="363"/>
      <c r="M847" s="363"/>
      <c r="N847" s="363"/>
      <c r="O847" s="363"/>
      <c r="P847" s="363"/>
      <c r="Q847" s="363"/>
      <c r="R847" s="363"/>
      <c r="S847" s="363"/>
      <c r="T847" s="363"/>
      <c r="U847" s="363"/>
      <c r="V847" s="363"/>
      <c r="W847" s="363"/>
      <c r="X847" s="363"/>
      <c r="Y847" s="363"/>
      <c r="Z847" s="363"/>
      <c r="AA847" s="363"/>
      <c r="AB847" s="363"/>
      <c r="AC847" s="363"/>
      <c r="AD847" s="363"/>
      <c r="AE847" s="363"/>
      <c r="AF847" s="363"/>
      <c r="AG847" s="363"/>
      <c r="AH847" s="363"/>
      <c r="AI847" s="363"/>
      <c r="AJ847" s="363"/>
      <c r="AK847" s="363"/>
      <c r="AL847" s="363"/>
      <c r="AM847" s="363"/>
    </row>
    <row r="848" spans="2:39" ht="12.75" customHeight="1" x14ac:dyDescent="0.2">
      <c r="B848" s="362"/>
      <c r="C848" s="363"/>
      <c r="D848" s="363"/>
      <c r="E848" s="363"/>
      <c r="F848" s="363"/>
      <c r="G848" s="363"/>
      <c r="H848" s="363"/>
      <c r="I848" s="363"/>
      <c r="J848" s="363"/>
      <c r="K848" s="363"/>
      <c r="L848" s="363"/>
      <c r="M848" s="363"/>
      <c r="N848" s="363"/>
      <c r="O848" s="363"/>
      <c r="P848" s="363"/>
      <c r="Q848" s="363"/>
      <c r="R848" s="363"/>
      <c r="S848" s="363"/>
      <c r="T848" s="363"/>
      <c r="U848" s="363"/>
      <c r="V848" s="363"/>
      <c r="W848" s="363"/>
      <c r="X848" s="363"/>
      <c r="Y848" s="363"/>
      <c r="Z848" s="363"/>
      <c r="AA848" s="363"/>
      <c r="AB848" s="363"/>
      <c r="AC848" s="363"/>
      <c r="AD848" s="363"/>
      <c r="AE848" s="363"/>
      <c r="AF848" s="363"/>
      <c r="AG848" s="363"/>
      <c r="AH848" s="363"/>
      <c r="AI848" s="363"/>
      <c r="AJ848" s="363"/>
      <c r="AK848" s="363"/>
      <c r="AL848" s="363"/>
      <c r="AM848" s="363"/>
    </row>
    <row r="849" spans="2:39" ht="12.75" customHeight="1" x14ac:dyDescent="0.2">
      <c r="B849" s="362"/>
      <c r="C849" s="363"/>
      <c r="D849" s="363"/>
      <c r="E849" s="363"/>
      <c r="F849" s="363"/>
      <c r="G849" s="363"/>
      <c r="H849" s="363"/>
      <c r="I849" s="363"/>
      <c r="J849" s="363"/>
      <c r="K849" s="363"/>
      <c r="L849" s="363"/>
      <c r="M849" s="363"/>
      <c r="N849" s="363"/>
      <c r="O849" s="363"/>
      <c r="P849" s="363"/>
      <c r="Q849" s="363"/>
      <c r="R849" s="363"/>
      <c r="S849" s="363"/>
      <c r="T849" s="363"/>
      <c r="U849" s="363"/>
      <c r="V849" s="363"/>
      <c r="W849" s="363"/>
      <c r="X849" s="363"/>
      <c r="Y849" s="363"/>
      <c r="Z849" s="363"/>
      <c r="AA849" s="363"/>
      <c r="AB849" s="363"/>
      <c r="AC849" s="363"/>
      <c r="AD849" s="363"/>
      <c r="AE849" s="363"/>
      <c r="AF849" s="363"/>
      <c r="AG849" s="363"/>
      <c r="AH849" s="363"/>
      <c r="AI849" s="363"/>
      <c r="AJ849" s="363"/>
      <c r="AK849" s="363"/>
      <c r="AL849" s="363"/>
      <c r="AM849" s="363"/>
    </row>
    <row r="850" spans="2:39" ht="12.75" customHeight="1" x14ac:dyDescent="0.2">
      <c r="B850" s="362"/>
      <c r="C850" s="363"/>
      <c r="D850" s="363"/>
      <c r="E850" s="363"/>
      <c r="F850" s="363"/>
      <c r="G850" s="363"/>
      <c r="H850" s="363"/>
      <c r="I850" s="363"/>
      <c r="J850" s="363"/>
      <c r="K850" s="363"/>
      <c r="L850" s="363"/>
      <c r="M850" s="363"/>
      <c r="N850" s="363"/>
      <c r="O850" s="363"/>
      <c r="P850" s="363"/>
      <c r="Q850" s="363"/>
      <c r="R850" s="363"/>
      <c r="S850" s="363"/>
      <c r="T850" s="363"/>
      <c r="U850" s="363"/>
      <c r="V850" s="363"/>
      <c r="W850" s="363"/>
      <c r="X850" s="363"/>
      <c r="Y850" s="363"/>
      <c r="Z850" s="363"/>
      <c r="AA850" s="363"/>
      <c r="AB850" s="363"/>
      <c r="AC850" s="363"/>
      <c r="AD850" s="363"/>
      <c r="AE850" s="363"/>
      <c r="AF850" s="363"/>
      <c r="AG850" s="363"/>
      <c r="AH850" s="363"/>
      <c r="AI850" s="363"/>
      <c r="AJ850" s="363"/>
      <c r="AK850" s="363"/>
      <c r="AL850" s="363"/>
      <c r="AM850" s="363"/>
    </row>
    <row r="851" spans="2:39" ht="12.75" customHeight="1" x14ac:dyDescent="0.2">
      <c r="B851" s="362"/>
      <c r="C851" s="363"/>
      <c r="D851" s="363"/>
      <c r="E851" s="363"/>
      <c r="F851" s="363"/>
      <c r="G851" s="363"/>
      <c r="H851" s="363"/>
      <c r="I851" s="363"/>
      <c r="J851" s="363"/>
      <c r="K851" s="363"/>
      <c r="L851" s="363"/>
      <c r="M851" s="363"/>
      <c r="N851" s="363"/>
      <c r="O851" s="363"/>
      <c r="P851" s="363"/>
      <c r="Q851" s="363"/>
      <c r="R851" s="363"/>
      <c r="S851" s="363"/>
      <c r="T851" s="363"/>
      <c r="U851" s="363"/>
      <c r="V851" s="363"/>
      <c r="W851" s="363"/>
      <c r="X851" s="363"/>
      <c r="Y851" s="363"/>
      <c r="Z851" s="363"/>
      <c r="AA851" s="363"/>
      <c r="AB851" s="363"/>
      <c r="AC851" s="363"/>
      <c r="AD851" s="363"/>
      <c r="AE851" s="363"/>
      <c r="AF851" s="363"/>
      <c r="AG851" s="363"/>
      <c r="AH851" s="363"/>
      <c r="AI851" s="363"/>
      <c r="AJ851" s="363"/>
      <c r="AK851" s="363"/>
      <c r="AL851" s="363"/>
      <c r="AM851" s="363"/>
    </row>
    <row r="852" spans="2:39" ht="12.75" customHeight="1" x14ac:dyDescent="0.2">
      <c r="B852" s="362"/>
      <c r="C852" s="363"/>
      <c r="D852" s="363"/>
      <c r="E852" s="363"/>
      <c r="F852" s="363"/>
      <c r="G852" s="363"/>
      <c r="H852" s="363"/>
      <c r="I852" s="363"/>
      <c r="J852" s="363"/>
      <c r="K852" s="363"/>
      <c r="L852" s="363"/>
      <c r="M852" s="363"/>
      <c r="N852" s="363"/>
      <c r="O852" s="363"/>
      <c r="P852" s="363"/>
      <c r="Q852" s="363"/>
      <c r="R852" s="363"/>
      <c r="S852" s="363"/>
      <c r="T852" s="363"/>
      <c r="U852" s="363"/>
      <c r="V852" s="363"/>
      <c r="W852" s="363"/>
      <c r="X852" s="363"/>
      <c r="Y852" s="363"/>
      <c r="Z852" s="363"/>
      <c r="AA852" s="363"/>
      <c r="AB852" s="363"/>
      <c r="AC852" s="363"/>
      <c r="AD852" s="363"/>
      <c r="AE852" s="363"/>
      <c r="AF852" s="363"/>
      <c r="AG852" s="363"/>
      <c r="AH852" s="363"/>
      <c r="AI852" s="363"/>
      <c r="AJ852" s="363"/>
      <c r="AK852" s="363"/>
      <c r="AL852" s="363"/>
      <c r="AM852" s="363"/>
    </row>
    <row r="853" spans="2:39" ht="12.75" customHeight="1" x14ac:dyDescent="0.2">
      <c r="B853" s="362"/>
      <c r="C853" s="363"/>
      <c r="D853" s="363"/>
      <c r="E853" s="363"/>
      <c r="F853" s="363"/>
      <c r="G853" s="363"/>
      <c r="H853" s="363"/>
      <c r="I853" s="363"/>
      <c r="J853" s="363"/>
      <c r="K853" s="363"/>
      <c r="L853" s="363"/>
      <c r="M853" s="363"/>
      <c r="N853" s="363"/>
      <c r="O853" s="363"/>
      <c r="P853" s="363"/>
      <c r="Q853" s="363"/>
      <c r="R853" s="363"/>
      <c r="S853" s="363"/>
      <c r="T853" s="363"/>
      <c r="U853" s="363"/>
      <c r="V853" s="363"/>
      <c r="W853" s="363"/>
      <c r="X853" s="363"/>
      <c r="Y853" s="363"/>
      <c r="Z853" s="363"/>
      <c r="AA853" s="363"/>
      <c r="AB853" s="363"/>
      <c r="AC853" s="363"/>
      <c r="AD853" s="363"/>
      <c r="AE853" s="363"/>
      <c r="AF853" s="363"/>
      <c r="AG853" s="363"/>
      <c r="AH853" s="363"/>
      <c r="AI853" s="363"/>
      <c r="AJ853" s="363"/>
      <c r="AK853" s="363"/>
      <c r="AL853" s="363"/>
      <c r="AM853" s="363"/>
    </row>
    <row r="854" spans="2:39" ht="12.75" customHeight="1" x14ac:dyDescent="0.2">
      <c r="B854" s="362"/>
      <c r="C854" s="363"/>
      <c r="D854" s="363"/>
      <c r="E854" s="363"/>
      <c r="F854" s="363"/>
      <c r="G854" s="363"/>
      <c r="H854" s="363"/>
      <c r="I854" s="363"/>
      <c r="J854" s="363"/>
      <c r="K854" s="363"/>
      <c r="L854" s="363"/>
      <c r="M854" s="363"/>
      <c r="N854" s="363"/>
      <c r="O854" s="363"/>
      <c r="P854" s="363"/>
      <c r="Q854" s="363"/>
      <c r="R854" s="363"/>
      <c r="S854" s="363"/>
      <c r="T854" s="363"/>
      <c r="U854" s="363"/>
      <c r="V854" s="363"/>
      <c r="W854" s="363"/>
      <c r="X854" s="363"/>
      <c r="Y854" s="363"/>
      <c r="Z854" s="363"/>
      <c r="AA854" s="363"/>
      <c r="AB854" s="363"/>
      <c r="AC854" s="363"/>
      <c r="AD854" s="363"/>
      <c r="AE854" s="363"/>
      <c r="AF854" s="363"/>
      <c r="AG854" s="363"/>
      <c r="AH854" s="363"/>
      <c r="AI854" s="363"/>
      <c r="AJ854" s="363"/>
      <c r="AK854" s="363"/>
      <c r="AL854" s="363"/>
      <c r="AM854" s="363"/>
    </row>
    <row r="855" spans="2:39" ht="12.75" customHeight="1" x14ac:dyDescent="0.2">
      <c r="B855" s="362"/>
      <c r="C855" s="363"/>
      <c r="D855" s="363"/>
      <c r="E855" s="363"/>
      <c r="F855" s="363"/>
      <c r="G855" s="363"/>
      <c r="H855" s="363"/>
      <c r="I855" s="363"/>
      <c r="J855" s="363"/>
      <c r="K855" s="363"/>
      <c r="L855" s="363"/>
      <c r="M855" s="363"/>
      <c r="N855" s="363"/>
      <c r="O855" s="363"/>
      <c r="P855" s="363"/>
      <c r="Q855" s="363"/>
      <c r="R855" s="363"/>
      <c r="S855" s="363"/>
      <c r="T855" s="363"/>
      <c r="U855" s="363"/>
      <c r="V855" s="363"/>
      <c r="W855" s="363"/>
      <c r="X855" s="363"/>
      <c r="Y855" s="363"/>
      <c r="Z855" s="363"/>
      <c r="AA855" s="363"/>
      <c r="AB855" s="363"/>
      <c r="AC855" s="363"/>
      <c r="AD855" s="363"/>
      <c r="AE855" s="363"/>
      <c r="AF855" s="363"/>
      <c r="AG855" s="363"/>
      <c r="AH855" s="363"/>
      <c r="AI855" s="363"/>
      <c r="AJ855" s="363"/>
      <c r="AK855" s="363"/>
      <c r="AL855" s="363"/>
      <c r="AM855" s="363"/>
    </row>
    <row r="856" spans="2:39" ht="12.75" customHeight="1" x14ac:dyDescent="0.2">
      <c r="B856" s="362"/>
      <c r="C856" s="363"/>
      <c r="D856" s="363"/>
      <c r="E856" s="363"/>
      <c r="F856" s="363"/>
      <c r="G856" s="363"/>
      <c r="H856" s="363"/>
      <c r="I856" s="363"/>
      <c r="J856" s="363"/>
      <c r="K856" s="363"/>
      <c r="L856" s="363"/>
      <c r="M856" s="363"/>
      <c r="N856" s="363"/>
      <c r="O856" s="363"/>
      <c r="P856" s="363"/>
      <c r="Q856" s="363"/>
      <c r="R856" s="363"/>
      <c r="S856" s="363"/>
      <c r="T856" s="363"/>
      <c r="U856" s="363"/>
      <c r="V856" s="363"/>
      <c r="W856" s="363"/>
      <c r="X856" s="363"/>
      <c r="Y856" s="363"/>
      <c r="Z856" s="363"/>
      <c r="AA856" s="363"/>
      <c r="AB856" s="363"/>
      <c r="AC856" s="363"/>
      <c r="AD856" s="363"/>
      <c r="AE856" s="363"/>
      <c r="AF856" s="363"/>
      <c r="AG856" s="363"/>
      <c r="AH856" s="363"/>
      <c r="AI856" s="363"/>
      <c r="AJ856" s="363"/>
      <c r="AK856" s="363"/>
      <c r="AL856" s="363"/>
      <c r="AM856" s="363"/>
    </row>
    <row r="857" spans="2:39" ht="12.75" customHeight="1" x14ac:dyDescent="0.2">
      <c r="B857" s="362"/>
      <c r="C857" s="363"/>
      <c r="D857" s="363"/>
      <c r="E857" s="363"/>
      <c r="F857" s="363"/>
      <c r="G857" s="363"/>
      <c r="H857" s="363"/>
      <c r="I857" s="363"/>
      <c r="J857" s="363"/>
      <c r="K857" s="363"/>
      <c r="L857" s="363"/>
      <c r="M857" s="363"/>
      <c r="N857" s="363"/>
      <c r="O857" s="363"/>
      <c r="P857" s="363"/>
      <c r="Q857" s="363"/>
      <c r="R857" s="363"/>
      <c r="S857" s="363"/>
      <c r="T857" s="363"/>
      <c r="U857" s="363"/>
      <c r="V857" s="363"/>
      <c r="W857" s="363"/>
      <c r="X857" s="363"/>
      <c r="Y857" s="363"/>
      <c r="Z857" s="363"/>
      <c r="AA857" s="363"/>
      <c r="AB857" s="363"/>
      <c r="AC857" s="363"/>
      <c r="AD857" s="363"/>
      <c r="AE857" s="363"/>
      <c r="AF857" s="363"/>
      <c r="AG857" s="363"/>
      <c r="AH857" s="363"/>
      <c r="AI857" s="363"/>
      <c r="AJ857" s="363"/>
      <c r="AK857" s="363"/>
      <c r="AL857" s="363"/>
      <c r="AM857" s="363"/>
    </row>
    <row r="858" spans="2:39" ht="12.75" customHeight="1" x14ac:dyDescent="0.2">
      <c r="B858" s="362"/>
      <c r="C858" s="363"/>
      <c r="D858" s="363"/>
      <c r="E858" s="363"/>
      <c r="F858" s="363"/>
      <c r="G858" s="363"/>
      <c r="H858" s="363"/>
      <c r="I858" s="363"/>
      <c r="J858" s="363"/>
      <c r="K858" s="363"/>
      <c r="L858" s="363"/>
      <c r="M858" s="363"/>
      <c r="N858" s="363"/>
      <c r="O858" s="363"/>
      <c r="P858" s="363"/>
      <c r="Q858" s="363"/>
      <c r="R858" s="363"/>
      <c r="S858" s="363"/>
      <c r="T858" s="363"/>
      <c r="U858" s="363"/>
      <c r="V858" s="363"/>
      <c r="W858" s="363"/>
      <c r="X858" s="363"/>
      <c r="Y858" s="363"/>
      <c r="Z858" s="363"/>
      <c r="AA858" s="363"/>
      <c r="AB858" s="363"/>
      <c r="AC858" s="363"/>
      <c r="AD858" s="363"/>
      <c r="AE858" s="363"/>
      <c r="AF858" s="363"/>
      <c r="AG858" s="363"/>
      <c r="AH858" s="363"/>
      <c r="AI858" s="363"/>
      <c r="AJ858" s="363"/>
      <c r="AK858" s="363"/>
      <c r="AL858" s="363"/>
      <c r="AM858" s="363"/>
    </row>
    <row r="859" spans="2:39" ht="12.75" customHeight="1" x14ac:dyDescent="0.2">
      <c r="B859" s="362"/>
      <c r="C859" s="363"/>
      <c r="D859" s="363"/>
      <c r="E859" s="363"/>
      <c r="F859" s="363"/>
      <c r="G859" s="363"/>
      <c r="H859" s="363"/>
      <c r="I859" s="363"/>
      <c r="J859" s="363"/>
      <c r="K859" s="363"/>
      <c r="L859" s="363"/>
      <c r="M859" s="363"/>
      <c r="N859" s="363"/>
      <c r="O859" s="363"/>
      <c r="P859" s="363"/>
      <c r="Q859" s="363"/>
      <c r="R859" s="363"/>
      <c r="S859" s="363"/>
      <c r="T859" s="363"/>
      <c r="U859" s="363"/>
      <c r="V859" s="363"/>
      <c r="W859" s="363"/>
      <c r="X859" s="363"/>
      <c r="Y859" s="363"/>
      <c r="Z859" s="363"/>
      <c r="AA859" s="363"/>
      <c r="AB859" s="363"/>
      <c r="AC859" s="363"/>
      <c r="AD859" s="363"/>
      <c r="AE859" s="363"/>
      <c r="AF859" s="363"/>
      <c r="AG859" s="363"/>
      <c r="AH859" s="363"/>
      <c r="AI859" s="363"/>
      <c r="AJ859" s="363"/>
      <c r="AK859" s="363"/>
      <c r="AL859" s="363"/>
      <c r="AM859" s="363"/>
    </row>
    <row r="860" spans="2:39" ht="12.75" customHeight="1" x14ac:dyDescent="0.2">
      <c r="B860" s="362"/>
      <c r="C860" s="363"/>
      <c r="D860" s="363"/>
      <c r="E860" s="363"/>
      <c r="F860" s="363"/>
      <c r="G860" s="363"/>
      <c r="H860" s="363"/>
      <c r="I860" s="363"/>
      <c r="J860" s="363"/>
      <c r="K860" s="363"/>
      <c r="L860" s="363"/>
      <c r="M860" s="363"/>
      <c r="N860" s="363"/>
      <c r="O860" s="363"/>
      <c r="P860" s="363"/>
      <c r="Q860" s="363"/>
      <c r="R860" s="363"/>
      <c r="S860" s="363"/>
      <c r="T860" s="363"/>
      <c r="U860" s="363"/>
      <c r="V860" s="363"/>
      <c r="W860" s="363"/>
      <c r="X860" s="363"/>
      <c r="Y860" s="363"/>
      <c r="Z860" s="363"/>
      <c r="AA860" s="363"/>
      <c r="AB860" s="363"/>
      <c r="AC860" s="363"/>
      <c r="AD860" s="363"/>
      <c r="AE860" s="363"/>
      <c r="AF860" s="363"/>
      <c r="AG860" s="363"/>
      <c r="AH860" s="363"/>
      <c r="AI860" s="363"/>
      <c r="AJ860" s="363"/>
      <c r="AK860" s="363"/>
      <c r="AL860" s="363"/>
      <c r="AM860" s="363"/>
    </row>
    <row r="861" spans="2:39" ht="12.75" customHeight="1" x14ac:dyDescent="0.2">
      <c r="B861" s="362"/>
      <c r="C861" s="363"/>
      <c r="D861" s="363"/>
      <c r="E861" s="363"/>
      <c r="F861" s="363"/>
      <c r="G861" s="363"/>
      <c r="H861" s="363"/>
      <c r="I861" s="363"/>
      <c r="J861" s="363"/>
      <c r="K861" s="363"/>
      <c r="L861" s="363"/>
      <c r="M861" s="363"/>
      <c r="N861" s="363"/>
      <c r="O861" s="363"/>
      <c r="P861" s="363"/>
      <c r="Q861" s="363"/>
      <c r="R861" s="363"/>
      <c r="S861" s="363"/>
      <c r="T861" s="363"/>
      <c r="U861" s="363"/>
      <c r="V861" s="363"/>
      <c r="W861" s="363"/>
      <c r="X861" s="363"/>
      <c r="Y861" s="363"/>
      <c r="Z861" s="363"/>
      <c r="AA861" s="363"/>
      <c r="AB861" s="363"/>
      <c r="AC861" s="363"/>
      <c r="AD861" s="363"/>
      <c r="AE861" s="363"/>
      <c r="AF861" s="363"/>
      <c r="AG861" s="363"/>
      <c r="AH861" s="363"/>
      <c r="AI861" s="363"/>
      <c r="AJ861" s="363"/>
      <c r="AK861" s="363"/>
      <c r="AL861" s="363"/>
      <c r="AM861" s="363"/>
    </row>
    <row r="862" spans="2:39" ht="12.75" customHeight="1" x14ac:dyDescent="0.2">
      <c r="B862" s="362"/>
      <c r="C862" s="363"/>
      <c r="D862" s="363"/>
      <c r="E862" s="363"/>
      <c r="F862" s="363"/>
      <c r="G862" s="363"/>
      <c r="H862" s="363"/>
      <c r="I862" s="363"/>
      <c r="J862" s="363"/>
      <c r="K862" s="363"/>
      <c r="L862" s="363"/>
      <c r="M862" s="363"/>
      <c r="N862" s="363"/>
      <c r="O862" s="363"/>
      <c r="P862" s="363"/>
      <c r="Q862" s="363"/>
      <c r="R862" s="363"/>
      <c r="S862" s="363"/>
      <c r="T862" s="363"/>
      <c r="U862" s="363"/>
      <c r="V862" s="363"/>
      <c r="W862" s="363"/>
      <c r="X862" s="363"/>
      <c r="Y862" s="363"/>
      <c r="Z862" s="363"/>
      <c r="AA862" s="363"/>
      <c r="AB862" s="363"/>
      <c r="AC862" s="363"/>
      <c r="AD862" s="363"/>
      <c r="AE862" s="363"/>
      <c r="AF862" s="363"/>
      <c r="AG862" s="363"/>
      <c r="AH862" s="363"/>
      <c r="AI862" s="363"/>
      <c r="AJ862" s="363"/>
      <c r="AK862" s="363"/>
      <c r="AL862" s="363"/>
      <c r="AM862" s="363"/>
    </row>
    <row r="863" spans="2:39" ht="12.75" customHeight="1" x14ac:dyDescent="0.2">
      <c r="B863" s="362"/>
      <c r="C863" s="363"/>
      <c r="D863" s="363"/>
      <c r="E863" s="363"/>
      <c r="F863" s="363"/>
      <c r="G863" s="363"/>
      <c r="H863" s="363"/>
      <c r="I863" s="363"/>
      <c r="J863" s="363"/>
      <c r="K863" s="363"/>
      <c r="L863" s="363"/>
      <c r="M863" s="363"/>
      <c r="N863" s="363"/>
      <c r="O863" s="363"/>
      <c r="P863" s="363"/>
      <c r="Q863" s="363"/>
      <c r="R863" s="363"/>
      <c r="S863" s="363"/>
      <c r="T863" s="363"/>
      <c r="U863" s="363"/>
      <c r="V863" s="363"/>
      <c r="W863" s="363"/>
      <c r="X863" s="363"/>
      <c r="Y863" s="363"/>
      <c r="Z863" s="363"/>
      <c r="AA863" s="363"/>
      <c r="AB863" s="363"/>
      <c r="AC863" s="363"/>
      <c r="AD863" s="363"/>
      <c r="AE863" s="363"/>
      <c r="AF863" s="363"/>
      <c r="AG863" s="363"/>
      <c r="AH863" s="363"/>
      <c r="AI863" s="363"/>
      <c r="AJ863" s="363"/>
      <c r="AK863" s="363"/>
      <c r="AL863" s="363"/>
      <c r="AM863" s="363"/>
    </row>
    <row r="864" spans="2:39" ht="12.75" customHeight="1" x14ac:dyDescent="0.2">
      <c r="B864" s="362"/>
      <c r="C864" s="363"/>
      <c r="D864" s="363"/>
      <c r="E864" s="363"/>
      <c r="F864" s="363"/>
      <c r="G864" s="363"/>
      <c r="H864" s="363"/>
      <c r="I864" s="363"/>
      <c r="J864" s="363"/>
      <c r="K864" s="363"/>
      <c r="L864" s="363"/>
      <c r="M864" s="363"/>
      <c r="N864" s="363"/>
      <c r="O864" s="363"/>
      <c r="P864" s="363"/>
      <c r="Q864" s="363"/>
      <c r="R864" s="363"/>
      <c r="S864" s="363"/>
      <c r="T864" s="363"/>
      <c r="U864" s="363"/>
      <c r="V864" s="363"/>
      <c r="W864" s="363"/>
      <c r="X864" s="363"/>
      <c r="Y864" s="363"/>
      <c r="Z864" s="363"/>
      <c r="AA864" s="363"/>
      <c r="AB864" s="363"/>
      <c r="AC864" s="363"/>
      <c r="AD864" s="363"/>
      <c r="AE864" s="363"/>
      <c r="AF864" s="363"/>
      <c r="AG864" s="363"/>
      <c r="AH864" s="363"/>
      <c r="AI864" s="363"/>
      <c r="AJ864" s="363"/>
      <c r="AK864" s="363"/>
      <c r="AL864" s="363"/>
      <c r="AM864" s="363"/>
    </row>
    <row r="865" spans="2:39" ht="12.75" customHeight="1" x14ac:dyDescent="0.2">
      <c r="B865" s="362"/>
      <c r="C865" s="363"/>
      <c r="D865" s="363"/>
      <c r="E865" s="363"/>
      <c r="F865" s="363"/>
      <c r="G865" s="363"/>
      <c r="H865" s="363"/>
      <c r="I865" s="363"/>
      <c r="J865" s="363"/>
      <c r="K865" s="363"/>
      <c r="L865" s="363"/>
      <c r="M865" s="363"/>
      <c r="N865" s="363"/>
      <c r="O865" s="363"/>
      <c r="P865" s="363"/>
      <c r="Q865" s="363"/>
      <c r="R865" s="363"/>
      <c r="S865" s="363"/>
      <c r="T865" s="363"/>
      <c r="U865" s="363"/>
      <c r="V865" s="363"/>
      <c r="W865" s="363"/>
      <c r="X865" s="363"/>
      <c r="Y865" s="363"/>
      <c r="Z865" s="363"/>
      <c r="AA865" s="363"/>
      <c r="AB865" s="363"/>
      <c r="AC865" s="363"/>
      <c r="AD865" s="363"/>
      <c r="AE865" s="363"/>
      <c r="AF865" s="363"/>
      <c r="AG865" s="363"/>
      <c r="AH865" s="363"/>
      <c r="AI865" s="363"/>
      <c r="AJ865" s="363"/>
      <c r="AK865" s="363"/>
      <c r="AL865" s="363"/>
      <c r="AM865" s="363"/>
    </row>
    <row r="866" spans="2:39" ht="12.75" customHeight="1" x14ac:dyDescent="0.2">
      <c r="B866" s="362"/>
      <c r="C866" s="363"/>
      <c r="D866" s="363"/>
      <c r="E866" s="363"/>
      <c r="F866" s="363"/>
      <c r="G866" s="363"/>
      <c r="H866" s="363"/>
      <c r="I866" s="363"/>
      <c r="J866" s="363"/>
      <c r="K866" s="363"/>
      <c r="L866" s="363"/>
      <c r="M866" s="363"/>
      <c r="N866" s="363"/>
      <c r="O866" s="363"/>
      <c r="P866" s="363"/>
      <c r="Q866" s="363"/>
      <c r="R866" s="363"/>
      <c r="S866" s="363"/>
      <c r="T866" s="363"/>
      <c r="U866" s="363"/>
      <c r="V866" s="363"/>
      <c r="W866" s="363"/>
      <c r="X866" s="363"/>
      <c r="Y866" s="363"/>
      <c r="Z866" s="363"/>
      <c r="AA866" s="363"/>
      <c r="AB866" s="363"/>
      <c r="AC866" s="363"/>
      <c r="AD866" s="363"/>
      <c r="AE866" s="363"/>
      <c r="AF866" s="363"/>
      <c r="AG866" s="363"/>
      <c r="AH866" s="363"/>
      <c r="AI866" s="363"/>
      <c r="AJ866" s="363"/>
      <c r="AK866" s="363"/>
      <c r="AL866" s="363"/>
      <c r="AM866" s="363"/>
    </row>
    <row r="867" spans="2:39" ht="12.75" customHeight="1" x14ac:dyDescent="0.2">
      <c r="B867" s="362"/>
      <c r="C867" s="363"/>
      <c r="D867" s="363"/>
      <c r="E867" s="363"/>
      <c r="F867" s="363"/>
      <c r="G867" s="363"/>
      <c r="H867" s="363"/>
      <c r="I867" s="363"/>
      <c r="J867" s="363"/>
      <c r="K867" s="363"/>
      <c r="L867" s="363"/>
      <c r="M867" s="363"/>
      <c r="N867" s="363"/>
      <c r="O867" s="363"/>
      <c r="P867" s="363"/>
      <c r="Q867" s="363"/>
      <c r="R867" s="363"/>
      <c r="S867" s="363"/>
      <c r="T867" s="363"/>
      <c r="U867" s="363"/>
      <c r="V867" s="363"/>
      <c r="W867" s="363"/>
      <c r="X867" s="363"/>
      <c r="Y867" s="363"/>
      <c r="Z867" s="363"/>
      <c r="AA867" s="363"/>
      <c r="AB867" s="363"/>
      <c r="AC867" s="363"/>
      <c r="AD867" s="363"/>
      <c r="AE867" s="363"/>
      <c r="AF867" s="363"/>
      <c r="AG867" s="363"/>
      <c r="AH867" s="363"/>
      <c r="AI867" s="363"/>
      <c r="AJ867" s="363"/>
      <c r="AK867" s="363"/>
      <c r="AL867" s="363"/>
      <c r="AM867" s="363"/>
    </row>
    <row r="868" spans="2:39" ht="12.75" customHeight="1" x14ac:dyDescent="0.2">
      <c r="B868" s="362"/>
      <c r="C868" s="363"/>
      <c r="D868" s="363"/>
      <c r="E868" s="363"/>
      <c r="F868" s="363"/>
      <c r="G868" s="363"/>
      <c r="H868" s="363"/>
      <c r="I868" s="363"/>
      <c r="J868" s="363"/>
      <c r="K868" s="363"/>
      <c r="L868" s="363"/>
      <c r="M868" s="363"/>
      <c r="N868" s="363"/>
      <c r="O868" s="363"/>
      <c r="P868" s="363"/>
      <c r="Q868" s="363"/>
      <c r="R868" s="363"/>
      <c r="S868" s="363"/>
      <c r="T868" s="363"/>
      <c r="U868" s="363"/>
      <c r="V868" s="363"/>
      <c r="W868" s="363"/>
      <c r="X868" s="363"/>
      <c r="Y868" s="363"/>
      <c r="Z868" s="363"/>
      <c r="AA868" s="363"/>
      <c r="AB868" s="363"/>
      <c r="AC868" s="363"/>
      <c r="AD868" s="363"/>
      <c r="AE868" s="363"/>
      <c r="AF868" s="363"/>
      <c r="AG868" s="363"/>
      <c r="AH868" s="363"/>
      <c r="AI868" s="363"/>
      <c r="AJ868" s="363"/>
      <c r="AK868" s="363"/>
      <c r="AL868" s="363"/>
      <c r="AM868" s="363"/>
    </row>
    <row r="869" spans="2:39" ht="12.75" customHeight="1" x14ac:dyDescent="0.2">
      <c r="B869" s="362"/>
      <c r="C869" s="363"/>
      <c r="D869" s="363"/>
      <c r="E869" s="363"/>
      <c r="F869" s="363"/>
      <c r="G869" s="363"/>
      <c r="H869" s="363"/>
      <c r="I869" s="363"/>
      <c r="J869" s="363"/>
      <c r="K869" s="363"/>
      <c r="L869" s="363"/>
      <c r="M869" s="363"/>
      <c r="N869" s="363"/>
      <c r="O869" s="363"/>
      <c r="P869" s="363"/>
      <c r="Q869" s="363"/>
      <c r="R869" s="363"/>
      <c r="S869" s="363"/>
      <c r="T869" s="363"/>
      <c r="U869" s="363"/>
      <c r="V869" s="363"/>
      <c r="W869" s="363"/>
      <c r="X869" s="363"/>
      <c r="Y869" s="363"/>
      <c r="Z869" s="363"/>
      <c r="AA869" s="363"/>
      <c r="AB869" s="363"/>
      <c r="AC869" s="363"/>
      <c r="AD869" s="363"/>
      <c r="AE869" s="363"/>
      <c r="AF869" s="363"/>
      <c r="AG869" s="363"/>
      <c r="AH869" s="363"/>
      <c r="AI869" s="363"/>
      <c r="AJ869" s="363"/>
      <c r="AK869" s="363"/>
      <c r="AL869" s="363"/>
      <c r="AM869" s="363"/>
    </row>
    <row r="870" spans="2:39" ht="12.75" customHeight="1" x14ac:dyDescent="0.2">
      <c r="B870" s="362"/>
      <c r="C870" s="363"/>
      <c r="D870" s="363"/>
      <c r="E870" s="363"/>
      <c r="F870" s="363"/>
      <c r="G870" s="363"/>
      <c r="H870" s="363"/>
      <c r="I870" s="363"/>
      <c r="J870" s="363"/>
      <c r="K870" s="363"/>
      <c r="L870" s="363"/>
      <c r="M870" s="363"/>
      <c r="N870" s="363"/>
      <c r="O870" s="363"/>
      <c r="P870" s="363"/>
      <c r="Q870" s="363"/>
      <c r="R870" s="363"/>
      <c r="S870" s="363"/>
      <c r="T870" s="363"/>
      <c r="U870" s="363"/>
      <c r="V870" s="363"/>
      <c r="W870" s="363"/>
      <c r="X870" s="363"/>
      <c r="Y870" s="363"/>
      <c r="Z870" s="363"/>
      <c r="AA870" s="363"/>
      <c r="AB870" s="363"/>
      <c r="AC870" s="363"/>
      <c r="AD870" s="363"/>
      <c r="AE870" s="363"/>
      <c r="AF870" s="363"/>
      <c r="AG870" s="363"/>
      <c r="AH870" s="363"/>
      <c r="AI870" s="363"/>
      <c r="AJ870" s="363"/>
      <c r="AK870" s="363"/>
      <c r="AL870" s="363"/>
      <c r="AM870" s="363"/>
    </row>
    <row r="871" spans="2:39" ht="12.75" customHeight="1" x14ac:dyDescent="0.2">
      <c r="B871" s="362"/>
      <c r="C871" s="363"/>
      <c r="D871" s="363"/>
      <c r="E871" s="363"/>
      <c r="F871" s="363"/>
      <c r="G871" s="363"/>
      <c r="H871" s="363"/>
      <c r="I871" s="363"/>
      <c r="J871" s="363"/>
      <c r="K871" s="363"/>
      <c r="L871" s="363"/>
      <c r="M871" s="363"/>
      <c r="N871" s="363"/>
      <c r="O871" s="363"/>
      <c r="P871" s="363"/>
      <c r="Q871" s="363"/>
      <c r="R871" s="363"/>
      <c r="S871" s="363"/>
      <c r="T871" s="363"/>
      <c r="U871" s="363"/>
      <c r="V871" s="363"/>
      <c r="W871" s="363"/>
      <c r="X871" s="363"/>
      <c r="Y871" s="363"/>
      <c r="Z871" s="363"/>
      <c r="AA871" s="363"/>
      <c r="AB871" s="363"/>
      <c r="AC871" s="363"/>
      <c r="AD871" s="363"/>
      <c r="AE871" s="363"/>
      <c r="AF871" s="363"/>
      <c r="AG871" s="363"/>
      <c r="AH871" s="363"/>
      <c r="AI871" s="363"/>
      <c r="AJ871" s="363"/>
      <c r="AK871" s="363"/>
      <c r="AL871" s="363"/>
      <c r="AM871" s="363"/>
    </row>
    <row r="872" spans="2:39" ht="12.75" customHeight="1" x14ac:dyDescent="0.2">
      <c r="B872" s="362"/>
      <c r="C872" s="363"/>
      <c r="D872" s="363"/>
      <c r="E872" s="363"/>
      <c r="F872" s="363"/>
      <c r="G872" s="363"/>
      <c r="H872" s="363"/>
      <c r="I872" s="363"/>
      <c r="J872" s="363"/>
      <c r="K872" s="363"/>
      <c r="L872" s="363"/>
      <c r="M872" s="363"/>
      <c r="N872" s="363"/>
      <c r="O872" s="363"/>
      <c r="P872" s="363"/>
      <c r="Q872" s="363"/>
      <c r="R872" s="363"/>
      <c r="S872" s="363"/>
      <c r="T872" s="363"/>
      <c r="U872" s="363"/>
      <c r="V872" s="363"/>
      <c r="W872" s="363"/>
      <c r="X872" s="363"/>
      <c r="Y872" s="363"/>
      <c r="Z872" s="363"/>
      <c r="AA872" s="363"/>
      <c r="AB872" s="363"/>
      <c r="AC872" s="363"/>
      <c r="AD872" s="363"/>
      <c r="AE872" s="363"/>
      <c r="AF872" s="363"/>
      <c r="AG872" s="363"/>
      <c r="AH872" s="363"/>
      <c r="AI872" s="363"/>
      <c r="AJ872" s="363"/>
      <c r="AK872" s="363"/>
      <c r="AL872" s="363"/>
      <c r="AM872" s="363"/>
    </row>
    <row r="873" spans="2:39" ht="12.75" customHeight="1" x14ac:dyDescent="0.2">
      <c r="B873" s="362"/>
      <c r="C873" s="363"/>
      <c r="D873" s="363"/>
      <c r="E873" s="363"/>
      <c r="F873" s="363"/>
      <c r="G873" s="363"/>
      <c r="H873" s="363"/>
      <c r="I873" s="363"/>
      <c r="J873" s="363"/>
      <c r="K873" s="363"/>
      <c r="L873" s="363"/>
      <c r="M873" s="363"/>
      <c r="N873" s="363"/>
      <c r="O873" s="363"/>
      <c r="P873" s="363"/>
      <c r="Q873" s="363"/>
      <c r="R873" s="363"/>
      <c r="S873" s="363"/>
      <c r="T873" s="363"/>
      <c r="U873" s="363"/>
      <c r="V873" s="363"/>
      <c r="W873" s="363"/>
      <c r="X873" s="363"/>
      <c r="Y873" s="363"/>
      <c r="Z873" s="363"/>
      <c r="AA873" s="363"/>
      <c r="AB873" s="363"/>
      <c r="AC873" s="363"/>
      <c r="AD873" s="363"/>
      <c r="AE873" s="363"/>
      <c r="AF873" s="363"/>
      <c r="AG873" s="363"/>
      <c r="AH873" s="363"/>
      <c r="AI873" s="363"/>
      <c r="AJ873" s="363"/>
      <c r="AK873" s="363"/>
      <c r="AL873" s="363"/>
      <c r="AM873" s="363"/>
    </row>
    <row r="874" spans="2:39" ht="12.75" customHeight="1" x14ac:dyDescent="0.2">
      <c r="B874" s="362"/>
      <c r="C874" s="363"/>
      <c r="D874" s="363"/>
      <c r="E874" s="363"/>
      <c r="F874" s="363"/>
      <c r="G874" s="363"/>
      <c r="H874" s="363"/>
      <c r="I874" s="363"/>
      <c r="J874" s="363"/>
      <c r="K874" s="363"/>
      <c r="L874" s="363"/>
      <c r="M874" s="363"/>
      <c r="N874" s="363"/>
      <c r="O874" s="363"/>
      <c r="P874" s="363"/>
      <c r="Q874" s="363"/>
      <c r="R874" s="363"/>
      <c r="S874" s="363"/>
      <c r="T874" s="363"/>
      <c r="U874" s="363"/>
      <c r="V874" s="363"/>
      <c r="W874" s="363"/>
      <c r="X874" s="363"/>
      <c r="Y874" s="363"/>
      <c r="Z874" s="363"/>
      <c r="AA874" s="363"/>
      <c r="AB874" s="363"/>
      <c r="AC874" s="363"/>
      <c r="AD874" s="363"/>
      <c r="AE874" s="363"/>
      <c r="AF874" s="363"/>
      <c r="AG874" s="363"/>
      <c r="AH874" s="363"/>
      <c r="AI874" s="363"/>
      <c r="AJ874" s="363"/>
      <c r="AK874" s="363"/>
      <c r="AL874" s="363"/>
      <c r="AM874" s="363"/>
    </row>
    <row r="875" spans="2:39" ht="12.75" customHeight="1" x14ac:dyDescent="0.2">
      <c r="B875" s="362"/>
      <c r="C875" s="363"/>
      <c r="D875" s="363"/>
      <c r="E875" s="363"/>
      <c r="F875" s="363"/>
      <c r="G875" s="363"/>
      <c r="H875" s="363"/>
      <c r="I875" s="363"/>
      <c r="J875" s="363"/>
      <c r="K875" s="363"/>
      <c r="L875" s="363"/>
      <c r="M875" s="363"/>
      <c r="N875" s="363"/>
      <c r="O875" s="363"/>
      <c r="P875" s="363"/>
      <c r="Q875" s="363"/>
      <c r="R875" s="363"/>
      <c r="S875" s="363"/>
      <c r="T875" s="363"/>
      <c r="U875" s="363"/>
      <c r="V875" s="363"/>
      <c r="W875" s="363"/>
      <c r="X875" s="363"/>
      <c r="Y875" s="363"/>
      <c r="Z875" s="363"/>
      <c r="AA875" s="363"/>
      <c r="AB875" s="363"/>
      <c r="AC875" s="363"/>
      <c r="AD875" s="363"/>
      <c r="AE875" s="363"/>
      <c r="AF875" s="363"/>
      <c r="AG875" s="363"/>
      <c r="AH875" s="363"/>
      <c r="AI875" s="363"/>
      <c r="AJ875" s="363"/>
      <c r="AK875" s="363"/>
      <c r="AL875" s="363"/>
      <c r="AM875" s="363"/>
    </row>
    <row r="876" spans="2:39" ht="12.75" customHeight="1" x14ac:dyDescent="0.2">
      <c r="B876" s="362"/>
      <c r="C876" s="363"/>
      <c r="D876" s="363"/>
      <c r="E876" s="363"/>
      <c r="F876" s="363"/>
      <c r="G876" s="363"/>
      <c r="H876" s="363"/>
      <c r="I876" s="363"/>
      <c r="J876" s="363"/>
      <c r="K876" s="363"/>
      <c r="L876" s="363"/>
      <c r="M876" s="363"/>
      <c r="N876" s="363"/>
      <c r="O876" s="363"/>
      <c r="P876" s="363"/>
      <c r="Q876" s="363"/>
      <c r="R876" s="363"/>
      <c r="S876" s="363"/>
      <c r="T876" s="363"/>
      <c r="U876" s="363"/>
      <c r="V876" s="363"/>
      <c r="W876" s="363"/>
      <c r="X876" s="363"/>
      <c r="Y876" s="363"/>
      <c r="Z876" s="363"/>
      <c r="AA876" s="363"/>
      <c r="AB876" s="363"/>
      <c r="AC876" s="363"/>
      <c r="AD876" s="363"/>
      <c r="AE876" s="363"/>
      <c r="AF876" s="363"/>
      <c r="AG876" s="363"/>
      <c r="AH876" s="363"/>
      <c r="AI876" s="363"/>
      <c r="AJ876" s="363"/>
      <c r="AK876" s="363"/>
      <c r="AL876" s="363"/>
      <c r="AM876" s="363"/>
    </row>
    <row r="877" spans="2:39" ht="12.75" customHeight="1" x14ac:dyDescent="0.2">
      <c r="B877" s="362"/>
      <c r="C877" s="363"/>
      <c r="D877" s="363"/>
      <c r="E877" s="363"/>
      <c r="F877" s="363"/>
      <c r="G877" s="363"/>
      <c r="H877" s="363"/>
      <c r="I877" s="363"/>
      <c r="J877" s="363"/>
      <c r="K877" s="363"/>
      <c r="L877" s="363"/>
      <c r="M877" s="363"/>
      <c r="N877" s="363"/>
      <c r="O877" s="363"/>
      <c r="P877" s="363"/>
      <c r="Q877" s="363"/>
      <c r="R877" s="363"/>
      <c r="S877" s="363"/>
      <c r="T877" s="363"/>
      <c r="U877" s="363"/>
      <c r="V877" s="363"/>
      <c r="W877" s="363"/>
      <c r="X877" s="363"/>
      <c r="Y877" s="363"/>
      <c r="Z877" s="363"/>
      <c r="AA877" s="363"/>
      <c r="AB877" s="363"/>
      <c r="AC877" s="363"/>
      <c r="AD877" s="363"/>
      <c r="AE877" s="363"/>
      <c r="AF877" s="363"/>
      <c r="AG877" s="363"/>
      <c r="AH877" s="363"/>
      <c r="AI877" s="363"/>
      <c r="AJ877" s="363"/>
      <c r="AK877" s="363"/>
      <c r="AL877" s="363"/>
      <c r="AM877" s="363"/>
    </row>
    <row r="878" spans="2:39" ht="12.75" customHeight="1" x14ac:dyDescent="0.2">
      <c r="B878" s="362"/>
      <c r="C878" s="363"/>
      <c r="D878" s="363"/>
      <c r="E878" s="363"/>
      <c r="F878" s="363"/>
      <c r="G878" s="363"/>
      <c r="H878" s="363"/>
      <c r="I878" s="363"/>
      <c r="J878" s="363"/>
      <c r="K878" s="363"/>
      <c r="L878" s="363"/>
      <c r="M878" s="363"/>
      <c r="N878" s="363"/>
      <c r="O878" s="363"/>
      <c r="P878" s="363"/>
      <c r="Q878" s="363"/>
      <c r="R878" s="363"/>
      <c r="S878" s="363"/>
      <c r="T878" s="363"/>
      <c r="U878" s="363"/>
      <c r="V878" s="363"/>
      <c r="W878" s="363"/>
      <c r="X878" s="363"/>
      <c r="Y878" s="363"/>
      <c r="Z878" s="363"/>
      <c r="AA878" s="363"/>
      <c r="AB878" s="363"/>
      <c r="AC878" s="363"/>
      <c r="AD878" s="363"/>
      <c r="AE878" s="363"/>
      <c r="AF878" s="363"/>
      <c r="AG878" s="363"/>
      <c r="AH878" s="363"/>
      <c r="AI878" s="363"/>
      <c r="AJ878" s="363"/>
      <c r="AK878" s="363"/>
      <c r="AL878" s="363"/>
      <c r="AM878" s="363"/>
    </row>
    <row r="879" spans="2:39" ht="12.75" customHeight="1" x14ac:dyDescent="0.2">
      <c r="B879" s="362"/>
      <c r="C879" s="363"/>
      <c r="D879" s="363"/>
      <c r="E879" s="363"/>
      <c r="F879" s="363"/>
      <c r="G879" s="363"/>
      <c r="H879" s="363"/>
      <c r="I879" s="363"/>
      <c r="J879" s="363"/>
      <c r="K879" s="363"/>
      <c r="L879" s="363"/>
      <c r="M879" s="363"/>
      <c r="N879" s="363"/>
      <c r="O879" s="363"/>
      <c r="P879" s="363"/>
      <c r="Q879" s="363"/>
      <c r="R879" s="363"/>
      <c r="S879" s="363"/>
      <c r="T879" s="363"/>
      <c r="U879" s="363"/>
      <c r="V879" s="363"/>
      <c r="W879" s="363"/>
      <c r="X879" s="363"/>
      <c r="Y879" s="363"/>
      <c r="Z879" s="363"/>
      <c r="AA879" s="363"/>
      <c r="AB879" s="363"/>
      <c r="AC879" s="363"/>
      <c r="AD879" s="363"/>
      <c r="AE879" s="363"/>
      <c r="AF879" s="363"/>
      <c r="AG879" s="363"/>
      <c r="AH879" s="363"/>
      <c r="AI879" s="363"/>
      <c r="AJ879" s="363"/>
      <c r="AK879" s="363"/>
      <c r="AL879" s="363"/>
      <c r="AM879" s="363"/>
    </row>
    <row r="880" spans="2:39" ht="12.75" customHeight="1" x14ac:dyDescent="0.2">
      <c r="B880" s="362"/>
      <c r="C880" s="363"/>
      <c r="D880" s="363"/>
      <c r="E880" s="363"/>
      <c r="F880" s="363"/>
      <c r="G880" s="363"/>
      <c r="H880" s="363"/>
      <c r="I880" s="363"/>
      <c r="J880" s="363"/>
      <c r="K880" s="363"/>
      <c r="L880" s="363"/>
      <c r="M880" s="363"/>
      <c r="N880" s="363"/>
      <c r="O880" s="363"/>
      <c r="P880" s="363"/>
      <c r="Q880" s="363"/>
      <c r="R880" s="363"/>
      <c r="S880" s="363"/>
      <c r="T880" s="363"/>
      <c r="U880" s="363"/>
      <c r="V880" s="363"/>
      <c r="W880" s="363"/>
      <c r="X880" s="363"/>
      <c r="Y880" s="363"/>
      <c r="Z880" s="363"/>
      <c r="AA880" s="363"/>
      <c r="AB880" s="363"/>
      <c r="AC880" s="363"/>
      <c r="AD880" s="363"/>
      <c r="AE880" s="363"/>
      <c r="AF880" s="363"/>
      <c r="AG880" s="363"/>
      <c r="AH880" s="363"/>
      <c r="AI880" s="363"/>
      <c r="AJ880" s="363"/>
      <c r="AK880" s="363"/>
      <c r="AL880" s="363"/>
      <c r="AM880" s="363"/>
    </row>
    <row r="881" spans="2:39" ht="12.75" customHeight="1" x14ac:dyDescent="0.2">
      <c r="B881" s="362"/>
      <c r="C881" s="363"/>
      <c r="D881" s="363"/>
      <c r="E881" s="363"/>
      <c r="F881" s="363"/>
      <c r="G881" s="363"/>
      <c r="H881" s="363"/>
      <c r="I881" s="363"/>
      <c r="J881" s="363"/>
      <c r="K881" s="363"/>
      <c r="L881" s="363"/>
      <c r="M881" s="363"/>
      <c r="N881" s="363"/>
      <c r="O881" s="363"/>
      <c r="P881" s="363"/>
      <c r="Q881" s="363"/>
      <c r="R881" s="363"/>
      <c r="S881" s="363"/>
      <c r="T881" s="363"/>
      <c r="U881" s="363"/>
      <c r="V881" s="363"/>
      <c r="W881" s="363"/>
      <c r="X881" s="363"/>
      <c r="Y881" s="363"/>
      <c r="Z881" s="363"/>
      <c r="AA881" s="363"/>
      <c r="AB881" s="363"/>
      <c r="AC881" s="363"/>
      <c r="AD881" s="363"/>
      <c r="AE881" s="363"/>
      <c r="AF881" s="363"/>
      <c r="AG881" s="363"/>
      <c r="AH881" s="363"/>
      <c r="AI881" s="363"/>
      <c r="AJ881" s="363"/>
      <c r="AK881" s="363"/>
      <c r="AL881" s="363"/>
      <c r="AM881" s="363"/>
    </row>
    <row r="882" spans="2:39" ht="12.75" customHeight="1" x14ac:dyDescent="0.2">
      <c r="B882" s="362"/>
      <c r="C882" s="363"/>
      <c r="D882" s="363"/>
      <c r="E882" s="363"/>
      <c r="F882" s="363"/>
      <c r="G882" s="363"/>
      <c r="H882" s="363"/>
      <c r="I882" s="363"/>
      <c r="J882" s="363"/>
      <c r="K882" s="363"/>
      <c r="L882" s="363"/>
      <c r="M882" s="363"/>
      <c r="N882" s="363"/>
      <c r="O882" s="363"/>
      <c r="P882" s="363"/>
      <c r="Q882" s="363"/>
      <c r="R882" s="363"/>
      <c r="S882" s="363"/>
      <c r="T882" s="363"/>
      <c r="U882" s="363"/>
      <c r="V882" s="363"/>
      <c r="W882" s="363"/>
      <c r="X882" s="363"/>
      <c r="Y882" s="363"/>
      <c r="Z882" s="363"/>
      <c r="AA882" s="363"/>
      <c r="AB882" s="363"/>
      <c r="AC882" s="363"/>
      <c r="AD882" s="363"/>
      <c r="AE882" s="363"/>
      <c r="AF882" s="363"/>
      <c r="AG882" s="363"/>
      <c r="AH882" s="363"/>
      <c r="AI882" s="363"/>
      <c r="AJ882" s="363"/>
      <c r="AK882" s="363"/>
      <c r="AL882" s="363"/>
      <c r="AM882" s="363"/>
    </row>
    <row r="883" spans="2:39" ht="12.75" customHeight="1" x14ac:dyDescent="0.2">
      <c r="B883" s="362"/>
      <c r="C883" s="363"/>
      <c r="D883" s="363"/>
      <c r="E883" s="363"/>
      <c r="F883" s="363"/>
      <c r="G883" s="363"/>
      <c r="H883" s="363"/>
      <c r="I883" s="363"/>
      <c r="J883" s="363"/>
      <c r="K883" s="363"/>
      <c r="L883" s="363"/>
      <c r="M883" s="363"/>
      <c r="N883" s="363"/>
      <c r="O883" s="363"/>
      <c r="P883" s="363"/>
      <c r="Q883" s="363"/>
      <c r="R883" s="363"/>
      <c r="S883" s="363"/>
      <c r="T883" s="363"/>
      <c r="U883" s="363"/>
      <c r="V883" s="363"/>
      <c r="W883" s="363"/>
      <c r="X883" s="363"/>
      <c r="Y883" s="363"/>
      <c r="Z883" s="363"/>
      <c r="AA883" s="363"/>
      <c r="AB883" s="363"/>
      <c r="AC883" s="363"/>
      <c r="AD883" s="363"/>
      <c r="AE883" s="363"/>
      <c r="AF883" s="363"/>
      <c r="AG883" s="363"/>
      <c r="AH883" s="363"/>
      <c r="AI883" s="363"/>
      <c r="AJ883" s="363"/>
      <c r="AK883" s="363"/>
      <c r="AL883" s="363"/>
      <c r="AM883" s="363"/>
    </row>
    <row r="884" spans="2:39" ht="12.75" customHeight="1" x14ac:dyDescent="0.2">
      <c r="B884" s="362"/>
      <c r="C884" s="363"/>
      <c r="D884" s="363"/>
      <c r="E884" s="363"/>
      <c r="F884" s="363"/>
      <c r="G884" s="363"/>
      <c r="H884" s="363"/>
      <c r="I884" s="363"/>
      <c r="J884" s="363"/>
      <c r="K884" s="363"/>
      <c r="L884" s="363"/>
      <c r="M884" s="363"/>
      <c r="N884" s="363"/>
      <c r="O884" s="363"/>
      <c r="P884" s="363"/>
      <c r="Q884" s="363"/>
      <c r="R884" s="363"/>
      <c r="S884" s="363"/>
      <c r="T884" s="363"/>
      <c r="U884" s="363"/>
      <c r="V884" s="363"/>
      <c r="W884" s="363"/>
      <c r="X884" s="363"/>
      <c r="Y884" s="363"/>
      <c r="Z884" s="363"/>
      <c r="AA884" s="363"/>
      <c r="AB884" s="363"/>
      <c r="AC884" s="363"/>
      <c r="AD884" s="363"/>
      <c r="AE884" s="363"/>
      <c r="AF884" s="363"/>
      <c r="AG884" s="363"/>
      <c r="AH884" s="363"/>
      <c r="AI884" s="363"/>
      <c r="AJ884" s="363"/>
      <c r="AK884" s="363"/>
      <c r="AL884" s="363"/>
      <c r="AM884" s="363"/>
    </row>
    <row r="885" spans="2:39" ht="12.75" customHeight="1" x14ac:dyDescent="0.2">
      <c r="B885" s="362"/>
      <c r="C885" s="363"/>
      <c r="D885" s="363"/>
      <c r="E885" s="363"/>
      <c r="F885" s="363"/>
      <c r="G885" s="363"/>
      <c r="H885" s="363"/>
      <c r="I885" s="363"/>
      <c r="J885" s="363"/>
      <c r="K885" s="363"/>
      <c r="L885" s="363"/>
      <c r="M885" s="363"/>
      <c r="N885" s="363"/>
      <c r="O885" s="363"/>
      <c r="P885" s="363"/>
      <c r="Q885" s="363"/>
      <c r="R885" s="363"/>
      <c r="S885" s="363"/>
      <c r="T885" s="363"/>
      <c r="U885" s="363"/>
      <c r="V885" s="363"/>
      <c r="W885" s="363"/>
      <c r="X885" s="363"/>
      <c r="Y885" s="363"/>
      <c r="Z885" s="363"/>
      <c r="AA885" s="363"/>
      <c r="AB885" s="363"/>
      <c r="AC885" s="363"/>
      <c r="AD885" s="363"/>
      <c r="AE885" s="363"/>
      <c r="AF885" s="363"/>
      <c r="AG885" s="363"/>
      <c r="AH885" s="363"/>
      <c r="AI885" s="363"/>
      <c r="AJ885" s="363"/>
      <c r="AK885" s="363"/>
      <c r="AL885" s="363"/>
      <c r="AM885" s="363"/>
    </row>
    <row r="886" spans="2:39" ht="12.75" customHeight="1" x14ac:dyDescent="0.2">
      <c r="B886" s="362"/>
      <c r="C886" s="363"/>
      <c r="D886" s="363"/>
      <c r="E886" s="363"/>
      <c r="F886" s="363"/>
      <c r="G886" s="363"/>
      <c r="H886" s="363"/>
      <c r="I886" s="363"/>
      <c r="J886" s="363"/>
      <c r="K886" s="363"/>
      <c r="L886" s="363"/>
      <c r="M886" s="363"/>
      <c r="N886" s="363"/>
      <c r="O886" s="363"/>
      <c r="P886" s="363"/>
      <c r="Q886" s="363"/>
      <c r="R886" s="363"/>
      <c r="S886" s="363"/>
      <c r="T886" s="363"/>
      <c r="U886" s="363"/>
      <c r="V886" s="363"/>
      <c r="W886" s="363"/>
      <c r="X886" s="363"/>
      <c r="Y886" s="363"/>
      <c r="Z886" s="363"/>
      <c r="AA886" s="363"/>
      <c r="AB886" s="363"/>
      <c r="AC886" s="363"/>
      <c r="AD886" s="363"/>
      <c r="AE886" s="363"/>
      <c r="AF886" s="363"/>
      <c r="AG886" s="363"/>
      <c r="AH886" s="363"/>
      <c r="AI886" s="363"/>
      <c r="AJ886" s="363"/>
      <c r="AK886" s="363"/>
      <c r="AL886" s="363"/>
      <c r="AM886" s="363"/>
    </row>
    <row r="887" spans="2:39" ht="12.75" customHeight="1" x14ac:dyDescent="0.2">
      <c r="B887" s="362"/>
      <c r="C887" s="363"/>
      <c r="D887" s="363"/>
      <c r="E887" s="363"/>
      <c r="F887" s="363"/>
      <c r="G887" s="363"/>
      <c r="H887" s="363"/>
      <c r="I887" s="363"/>
      <c r="J887" s="363"/>
      <c r="K887" s="363"/>
      <c r="L887" s="363"/>
      <c r="M887" s="363"/>
      <c r="N887" s="363"/>
      <c r="O887" s="363"/>
      <c r="P887" s="363"/>
      <c r="Q887" s="363"/>
      <c r="R887" s="363"/>
      <c r="S887" s="363"/>
      <c r="T887" s="363"/>
      <c r="U887" s="363"/>
      <c r="V887" s="363"/>
      <c r="W887" s="363"/>
      <c r="X887" s="363"/>
      <c r="Y887" s="363"/>
      <c r="Z887" s="363"/>
      <c r="AA887" s="363"/>
      <c r="AB887" s="363"/>
      <c r="AC887" s="363"/>
      <c r="AD887" s="363"/>
      <c r="AE887" s="363"/>
      <c r="AF887" s="363"/>
      <c r="AG887" s="363"/>
      <c r="AH887" s="363"/>
      <c r="AI887" s="363"/>
      <c r="AJ887" s="363"/>
      <c r="AK887" s="363"/>
      <c r="AL887" s="363"/>
      <c r="AM887" s="363"/>
    </row>
    <row r="888" spans="2:39" ht="12.75" customHeight="1" x14ac:dyDescent="0.2">
      <c r="B888" s="362"/>
      <c r="C888" s="363"/>
      <c r="D888" s="363"/>
      <c r="E888" s="363"/>
      <c r="F888" s="363"/>
      <c r="G888" s="363"/>
      <c r="H888" s="363"/>
      <c r="I888" s="363"/>
      <c r="J888" s="363"/>
      <c r="K888" s="363"/>
      <c r="L888" s="363"/>
      <c r="M888" s="363"/>
      <c r="N888" s="363"/>
      <c r="O888" s="363"/>
      <c r="P888" s="363"/>
      <c r="Q888" s="363"/>
      <c r="R888" s="363"/>
      <c r="S888" s="363"/>
      <c r="T888" s="363"/>
      <c r="U888" s="363"/>
      <c r="V888" s="363"/>
      <c r="W888" s="363"/>
      <c r="X888" s="363"/>
      <c r="Y888" s="363"/>
      <c r="Z888" s="363"/>
      <c r="AA888" s="363"/>
      <c r="AB888" s="363"/>
      <c r="AC888" s="363"/>
      <c r="AD888" s="363"/>
      <c r="AE888" s="363"/>
      <c r="AF888" s="363"/>
      <c r="AG888" s="363"/>
      <c r="AH888" s="363"/>
      <c r="AI888" s="363"/>
      <c r="AJ888" s="363"/>
      <c r="AK888" s="363"/>
      <c r="AL888" s="363"/>
      <c r="AM888" s="363"/>
    </row>
    <row r="889" spans="2:39" ht="12.75" customHeight="1" x14ac:dyDescent="0.2">
      <c r="B889" s="362"/>
      <c r="C889" s="363"/>
      <c r="D889" s="363"/>
      <c r="E889" s="363"/>
      <c r="F889" s="363"/>
      <c r="G889" s="363"/>
      <c r="H889" s="363"/>
      <c r="I889" s="363"/>
      <c r="J889" s="363"/>
      <c r="K889" s="363"/>
      <c r="L889" s="363"/>
      <c r="M889" s="363"/>
      <c r="N889" s="363"/>
      <c r="O889" s="363"/>
      <c r="P889" s="363"/>
      <c r="Q889" s="363"/>
      <c r="R889" s="363"/>
      <c r="S889" s="363"/>
      <c r="T889" s="363"/>
      <c r="U889" s="363"/>
      <c r="V889" s="363"/>
      <c r="W889" s="363"/>
      <c r="X889" s="363"/>
      <c r="Y889" s="363"/>
      <c r="Z889" s="363"/>
      <c r="AA889" s="363"/>
      <c r="AB889" s="363"/>
      <c r="AC889" s="363"/>
      <c r="AD889" s="363"/>
      <c r="AE889" s="363"/>
      <c r="AF889" s="363"/>
      <c r="AG889" s="363"/>
      <c r="AH889" s="363"/>
      <c r="AI889" s="363"/>
      <c r="AJ889" s="363"/>
      <c r="AK889" s="363"/>
      <c r="AL889" s="363"/>
      <c r="AM889" s="363"/>
    </row>
    <row r="890" spans="2:39" ht="12.75" customHeight="1" x14ac:dyDescent="0.2">
      <c r="B890" s="362"/>
      <c r="C890" s="363"/>
      <c r="D890" s="363"/>
      <c r="E890" s="363"/>
      <c r="F890" s="363"/>
      <c r="G890" s="363"/>
      <c r="H890" s="363"/>
      <c r="I890" s="363"/>
      <c r="J890" s="363"/>
      <c r="K890" s="363"/>
      <c r="L890" s="363"/>
      <c r="M890" s="363"/>
      <c r="N890" s="363"/>
      <c r="O890" s="363"/>
      <c r="P890" s="363"/>
      <c r="Q890" s="363"/>
      <c r="R890" s="363"/>
      <c r="S890" s="363"/>
      <c r="T890" s="363"/>
      <c r="U890" s="363"/>
      <c r="V890" s="363"/>
      <c r="W890" s="363"/>
      <c r="X890" s="363"/>
      <c r="Y890" s="363"/>
      <c r="Z890" s="363"/>
      <c r="AA890" s="363"/>
      <c r="AB890" s="363"/>
      <c r="AC890" s="363"/>
      <c r="AD890" s="363"/>
      <c r="AE890" s="363"/>
      <c r="AF890" s="363"/>
      <c r="AG890" s="363"/>
      <c r="AH890" s="363"/>
      <c r="AI890" s="363"/>
      <c r="AJ890" s="363"/>
      <c r="AK890" s="363"/>
      <c r="AL890" s="363"/>
      <c r="AM890" s="363"/>
    </row>
    <row r="891" spans="2:39" ht="12.75" customHeight="1" x14ac:dyDescent="0.2">
      <c r="B891" s="362"/>
      <c r="C891" s="363"/>
      <c r="D891" s="363"/>
      <c r="E891" s="363"/>
      <c r="F891" s="363"/>
      <c r="G891" s="363"/>
      <c r="H891" s="363"/>
      <c r="I891" s="363"/>
      <c r="J891" s="363"/>
      <c r="K891" s="363"/>
      <c r="L891" s="363"/>
      <c r="M891" s="363"/>
      <c r="N891" s="363"/>
      <c r="O891" s="363"/>
      <c r="P891" s="363"/>
      <c r="Q891" s="363"/>
      <c r="R891" s="363"/>
      <c r="S891" s="363"/>
      <c r="T891" s="363"/>
      <c r="U891" s="363"/>
      <c r="V891" s="363"/>
      <c r="W891" s="363"/>
      <c r="X891" s="363"/>
      <c r="Y891" s="363"/>
      <c r="Z891" s="363"/>
      <c r="AA891" s="363"/>
      <c r="AB891" s="363"/>
      <c r="AC891" s="363"/>
      <c r="AD891" s="363"/>
      <c r="AE891" s="363"/>
      <c r="AF891" s="363"/>
      <c r="AG891" s="363"/>
      <c r="AH891" s="363"/>
      <c r="AI891" s="363"/>
      <c r="AJ891" s="363"/>
      <c r="AK891" s="363"/>
      <c r="AL891" s="363"/>
      <c r="AM891" s="363"/>
    </row>
    <row r="892" spans="2:39" ht="12.75" customHeight="1" x14ac:dyDescent="0.2">
      <c r="B892" s="362"/>
      <c r="C892" s="363"/>
      <c r="D892" s="363"/>
      <c r="E892" s="363"/>
      <c r="F892" s="363"/>
      <c r="G892" s="363"/>
      <c r="H892" s="363"/>
      <c r="I892" s="363"/>
      <c r="J892" s="363"/>
      <c r="K892" s="363"/>
      <c r="L892" s="363"/>
      <c r="M892" s="363"/>
      <c r="N892" s="363"/>
      <c r="O892" s="363"/>
      <c r="P892" s="363"/>
      <c r="Q892" s="363"/>
      <c r="R892" s="363"/>
      <c r="S892" s="363"/>
      <c r="T892" s="363"/>
      <c r="U892" s="363"/>
      <c r="V892" s="363"/>
      <c r="W892" s="363"/>
      <c r="X892" s="363"/>
      <c r="Y892" s="363"/>
      <c r="Z892" s="363"/>
      <c r="AA892" s="363"/>
      <c r="AB892" s="363"/>
      <c r="AC892" s="363"/>
      <c r="AD892" s="363"/>
      <c r="AE892" s="363"/>
      <c r="AF892" s="363"/>
      <c r="AG892" s="363"/>
      <c r="AH892" s="363"/>
      <c r="AI892" s="363"/>
      <c r="AJ892" s="363"/>
      <c r="AK892" s="363"/>
      <c r="AL892" s="363"/>
      <c r="AM892" s="363"/>
    </row>
    <row r="893" spans="2:39" ht="12.75" customHeight="1" x14ac:dyDescent="0.2">
      <c r="B893" s="362"/>
      <c r="C893" s="363"/>
      <c r="D893" s="363"/>
      <c r="E893" s="363"/>
      <c r="F893" s="363"/>
      <c r="G893" s="363"/>
      <c r="H893" s="363"/>
      <c r="I893" s="363"/>
      <c r="J893" s="363"/>
      <c r="K893" s="363"/>
      <c r="L893" s="363"/>
      <c r="M893" s="363"/>
      <c r="N893" s="363"/>
      <c r="O893" s="363"/>
      <c r="P893" s="363"/>
      <c r="Q893" s="363"/>
      <c r="R893" s="363"/>
      <c r="S893" s="363"/>
      <c r="T893" s="363"/>
      <c r="U893" s="363"/>
      <c r="V893" s="363"/>
      <c r="W893" s="363"/>
      <c r="X893" s="363"/>
      <c r="Y893" s="363"/>
      <c r="Z893" s="363"/>
      <c r="AA893" s="363"/>
      <c r="AB893" s="363"/>
      <c r="AC893" s="363"/>
      <c r="AD893" s="363"/>
      <c r="AE893" s="363"/>
      <c r="AF893" s="363"/>
      <c r="AG893" s="363"/>
      <c r="AH893" s="363"/>
      <c r="AI893" s="363"/>
      <c r="AJ893" s="363"/>
      <c r="AK893" s="363"/>
      <c r="AL893" s="363"/>
      <c r="AM893" s="363"/>
    </row>
    <row r="894" spans="2:39" ht="12.75" customHeight="1" x14ac:dyDescent="0.2">
      <c r="B894" s="362"/>
      <c r="C894" s="363"/>
      <c r="D894" s="363"/>
      <c r="E894" s="363"/>
      <c r="F894" s="363"/>
      <c r="G894" s="363"/>
      <c r="H894" s="363"/>
      <c r="I894" s="363"/>
      <c r="J894" s="363"/>
      <c r="K894" s="363"/>
      <c r="L894" s="363"/>
      <c r="M894" s="363"/>
      <c r="N894" s="363"/>
      <c r="O894" s="363"/>
      <c r="P894" s="363"/>
      <c r="Q894" s="363"/>
      <c r="R894" s="363"/>
      <c r="S894" s="363"/>
      <c r="T894" s="363"/>
      <c r="U894" s="363"/>
      <c r="V894" s="363"/>
      <c r="W894" s="363"/>
      <c r="X894" s="363"/>
      <c r="Y894" s="363"/>
      <c r="Z894" s="363"/>
      <c r="AA894" s="363"/>
      <c r="AB894" s="363"/>
      <c r="AC894" s="363"/>
      <c r="AD894" s="363"/>
      <c r="AE894" s="363"/>
      <c r="AF894" s="363"/>
      <c r="AG894" s="363"/>
      <c r="AH894" s="363"/>
      <c r="AI894" s="363"/>
      <c r="AJ894" s="363"/>
      <c r="AK894" s="363"/>
      <c r="AL894" s="363"/>
      <c r="AM894" s="363"/>
    </row>
    <row r="895" spans="2:39" ht="12.75" customHeight="1" x14ac:dyDescent="0.2">
      <c r="B895" s="362"/>
      <c r="C895" s="363"/>
      <c r="D895" s="363"/>
      <c r="E895" s="363"/>
      <c r="F895" s="363"/>
      <c r="G895" s="363"/>
      <c r="H895" s="363"/>
      <c r="I895" s="363"/>
      <c r="J895" s="363"/>
      <c r="K895" s="363"/>
      <c r="L895" s="363"/>
      <c r="M895" s="363"/>
      <c r="N895" s="363"/>
      <c r="O895" s="363"/>
      <c r="P895" s="363"/>
      <c r="Q895" s="363"/>
      <c r="R895" s="363"/>
      <c r="S895" s="363"/>
      <c r="T895" s="363"/>
      <c r="U895" s="363"/>
      <c r="V895" s="363"/>
      <c r="W895" s="363"/>
      <c r="X895" s="363"/>
      <c r="Y895" s="363"/>
      <c r="Z895" s="363"/>
      <c r="AA895" s="363"/>
      <c r="AB895" s="363"/>
      <c r="AC895" s="363"/>
      <c r="AD895" s="363"/>
      <c r="AE895" s="363"/>
      <c r="AF895" s="363"/>
      <c r="AG895" s="363"/>
      <c r="AH895" s="363"/>
      <c r="AI895" s="363"/>
      <c r="AJ895" s="363"/>
      <c r="AK895" s="363"/>
      <c r="AL895" s="363"/>
      <c r="AM895" s="363"/>
    </row>
    <row r="896" spans="2:39" ht="12.75" customHeight="1" x14ac:dyDescent="0.2">
      <c r="B896" s="362"/>
      <c r="C896" s="363"/>
      <c r="D896" s="363"/>
      <c r="E896" s="363"/>
      <c r="F896" s="363"/>
      <c r="G896" s="363"/>
      <c r="H896" s="363"/>
      <c r="I896" s="363"/>
      <c r="J896" s="363"/>
      <c r="K896" s="363"/>
      <c r="L896" s="363"/>
      <c r="M896" s="363"/>
      <c r="N896" s="363"/>
      <c r="O896" s="363"/>
      <c r="P896" s="363"/>
      <c r="Q896" s="363"/>
      <c r="R896" s="363"/>
      <c r="S896" s="363"/>
      <c r="T896" s="363"/>
      <c r="U896" s="363"/>
      <c r="V896" s="363"/>
      <c r="W896" s="363"/>
      <c r="X896" s="363"/>
      <c r="Y896" s="363"/>
      <c r="Z896" s="363"/>
      <c r="AA896" s="363"/>
      <c r="AB896" s="363"/>
      <c r="AC896" s="363"/>
      <c r="AD896" s="363"/>
      <c r="AE896" s="363"/>
      <c r="AF896" s="363"/>
      <c r="AG896" s="363"/>
      <c r="AH896" s="363"/>
      <c r="AI896" s="363"/>
      <c r="AJ896" s="363"/>
      <c r="AK896" s="363"/>
      <c r="AL896" s="363"/>
      <c r="AM896" s="363"/>
    </row>
    <row r="897" spans="2:39" ht="12.75" customHeight="1" x14ac:dyDescent="0.2">
      <c r="B897" s="362"/>
      <c r="C897" s="363"/>
      <c r="D897" s="363"/>
      <c r="E897" s="363"/>
      <c r="F897" s="363"/>
      <c r="G897" s="363"/>
      <c r="H897" s="363"/>
      <c r="I897" s="363"/>
      <c r="J897" s="363"/>
      <c r="K897" s="363"/>
      <c r="L897" s="363"/>
      <c r="M897" s="363"/>
      <c r="N897" s="363"/>
      <c r="O897" s="363"/>
      <c r="P897" s="363"/>
      <c r="Q897" s="363"/>
      <c r="R897" s="363"/>
      <c r="S897" s="363"/>
      <c r="T897" s="363"/>
      <c r="U897" s="363"/>
      <c r="V897" s="363"/>
      <c r="W897" s="363"/>
      <c r="X897" s="363"/>
      <c r="Y897" s="363"/>
      <c r="Z897" s="363"/>
      <c r="AA897" s="363"/>
      <c r="AB897" s="363"/>
      <c r="AC897" s="363"/>
      <c r="AD897" s="363"/>
      <c r="AE897" s="363"/>
      <c r="AF897" s="363"/>
      <c r="AG897" s="363"/>
      <c r="AH897" s="363"/>
      <c r="AI897" s="363"/>
      <c r="AJ897" s="363"/>
      <c r="AK897" s="363"/>
      <c r="AL897" s="363"/>
      <c r="AM897" s="363"/>
    </row>
    <row r="898" spans="2:39" ht="12.75" customHeight="1" x14ac:dyDescent="0.2">
      <c r="B898" s="362"/>
      <c r="C898" s="363"/>
      <c r="D898" s="363"/>
      <c r="E898" s="363"/>
      <c r="F898" s="363"/>
      <c r="G898" s="363"/>
      <c r="H898" s="363"/>
      <c r="I898" s="363"/>
      <c r="J898" s="363"/>
      <c r="K898" s="363"/>
      <c r="L898" s="363"/>
      <c r="M898" s="363"/>
      <c r="N898" s="363"/>
      <c r="O898" s="363"/>
      <c r="P898" s="363"/>
      <c r="Q898" s="363"/>
      <c r="R898" s="363"/>
      <c r="S898" s="363"/>
      <c r="T898" s="363"/>
      <c r="U898" s="363"/>
      <c r="V898" s="363"/>
      <c r="W898" s="363"/>
      <c r="X898" s="363"/>
      <c r="Y898" s="363"/>
      <c r="Z898" s="363"/>
      <c r="AA898" s="363"/>
      <c r="AB898" s="363"/>
      <c r="AC898" s="363"/>
      <c r="AD898" s="363"/>
      <c r="AE898" s="363"/>
      <c r="AF898" s="363"/>
      <c r="AG898" s="363"/>
      <c r="AH898" s="363"/>
      <c r="AI898" s="363"/>
      <c r="AJ898" s="363"/>
      <c r="AK898" s="363"/>
      <c r="AL898" s="363"/>
      <c r="AM898" s="363"/>
    </row>
    <row r="899" spans="2:39" ht="12.75" customHeight="1" x14ac:dyDescent="0.2">
      <c r="B899" s="362"/>
      <c r="C899" s="363"/>
      <c r="D899" s="363"/>
      <c r="E899" s="363"/>
      <c r="F899" s="363"/>
      <c r="G899" s="363"/>
      <c r="H899" s="363"/>
      <c r="I899" s="363"/>
      <c r="J899" s="363"/>
      <c r="K899" s="363"/>
      <c r="L899" s="363"/>
      <c r="M899" s="363"/>
      <c r="N899" s="363"/>
      <c r="O899" s="363"/>
      <c r="P899" s="363"/>
      <c r="Q899" s="363"/>
      <c r="R899" s="363"/>
      <c r="S899" s="363"/>
      <c r="T899" s="363"/>
      <c r="U899" s="363"/>
      <c r="V899" s="363"/>
      <c r="W899" s="363"/>
      <c r="X899" s="363"/>
      <c r="Y899" s="363"/>
      <c r="Z899" s="363"/>
      <c r="AA899" s="363"/>
      <c r="AB899" s="363"/>
      <c r="AC899" s="363"/>
      <c r="AD899" s="363"/>
      <c r="AE899" s="363"/>
      <c r="AF899" s="363"/>
      <c r="AG899" s="363"/>
      <c r="AH899" s="363"/>
      <c r="AI899" s="363"/>
      <c r="AJ899" s="363"/>
      <c r="AK899" s="363"/>
      <c r="AL899" s="363"/>
      <c r="AM899" s="363"/>
    </row>
    <row r="900" spans="2:39" ht="12.75" customHeight="1" x14ac:dyDescent="0.2">
      <c r="B900" s="362"/>
      <c r="C900" s="363"/>
      <c r="D900" s="363"/>
      <c r="E900" s="363"/>
      <c r="F900" s="363"/>
      <c r="G900" s="363"/>
      <c r="H900" s="363"/>
      <c r="I900" s="363"/>
      <c r="J900" s="363"/>
      <c r="K900" s="363"/>
      <c r="L900" s="363"/>
      <c r="M900" s="363"/>
      <c r="N900" s="363"/>
      <c r="O900" s="363"/>
      <c r="P900" s="363"/>
      <c r="Q900" s="363"/>
      <c r="R900" s="363"/>
      <c r="S900" s="363"/>
      <c r="T900" s="363"/>
      <c r="U900" s="363"/>
      <c r="V900" s="363"/>
      <c r="W900" s="363"/>
      <c r="X900" s="363"/>
      <c r="Y900" s="363"/>
      <c r="Z900" s="363"/>
      <c r="AA900" s="363"/>
      <c r="AB900" s="363"/>
      <c r="AC900" s="363"/>
      <c r="AD900" s="363"/>
      <c r="AE900" s="363"/>
      <c r="AF900" s="363"/>
      <c r="AG900" s="363"/>
      <c r="AH900" s="363"/>
      <c r="AI900" s="363"/>
      <c r="AJ900" s="363"/>
      <c r="AK900" s="363"/>
      <c r="AL900" s="363"/>
      <c r="AM900" s="363"/>
    </row>
    <row r="901" spans="2:39" ht="12.75" customHeight="1" x14ac:dyDescent="0.2">
      <c r="B901" s="362"/>
      <c r="C901" s="363"/>
      <c r="D901" s="363"/>
      <c r="E901" s="363"/>
      <c r="F901" s="363"/>
      <c r="G901" s="363"/>
      <c r="H901" s="363"/>
      <c r="I901" s="363"/>
      <c r="J901" s="363"/>
      <c r="K901" s="363"/>
      <c r="L901" s="363"/>
      <c r="M901" s="363"/>
      <c r="N901" s="363"/>
      <c r="O901" s="363"/>
      <c r="P901" s="363"/>
      <c r="Q901" s="363"/>
      <c r="R901" s="363"/>
      <c r="S901" s="363"/>
      <c r="T901" s="363"/>
      <c r="U901" s="363"/>
      <c r="V901" s="363"/>
      <c r="W901" s="363"/>
      <c r="X901" s="363"/>
      <c r="Y901" s="363"/>
      <c r="Z901" s="363"/>
      <c r="AA901" s="363"/>
      <c r="AB901" s="363"/>
      <c r="AC901" s="363"/>
      <c r="AD901" s="363"/>
      <c r="AE901" s="363"/>
      <c r="AF901" s="363"/>
      <c r="AG901" s="363"/>
      <c r="AH901" s="363"/>
      <c r="AI901" s="363"/>
      <c r="AJ901" s="363"/>
      <c r="AK901" s="363"/>
      <c r="AL901" s="363"/>
      <c r="AM901" s="363"/>
    </row>
    <row r="902" spans="2:39" ht="12.75" customHeight="1" x14ac:dyDescent="0.2">
      <c r="B902" s="362"/>
      <c r="C902" s="363"/>
      <c r="D902" s="363"/>
      <c r="E902" s="363"/>
      <c r="F902" s="363"/>
      <c r="G902" s="363"/>
      <c r="H902" s="363"/>
      <c r="I902" s="363"/>
      <c r="J902" s="363"/>
      <c r="K902" s="363"/>
      <c r="L902" s="363"/>
      <c r="M902" s="363"/>
      <c r="N902" s="363"/>
      <c r="O902" s="363"/>
      <c r="P902" s="363"/>
      <c r="Q902" s="363"/>
      <c r="R902" s="363"/>
      <c r="S902" s="363"/>
      <c r="T902" s="363"/>
      <c r="U902" s="363"/>
      <c r="V902" s="363"/>
      <c r="W902" s="363"/>
      <c r="X902" s="363"/>
      <c r="Y902" s="363"/>
      <c r="Z902" s="363"/>
      <c r="AA902" s="363"/>
      <c r="AB902" s="363"/>
      <c r="AC902" s="363"/>
      <c r="AD902" s="363"/>
      <c r="AE902" s="363"/>
      <c r="AF902" s="363"/>
      <c r="AG902" s="363"/>
      <c r="AH902" s="363"/>
      <c r="AI902" s="363"/>
      <c r="AJ902" s="363"/>
      <c r="AK902" s="363"/>
      <c r="AL902" s="363"/>
      <c r="AM902" s="363"/>
    </row>
    <row r="903" spans="2:39" ht="12.75" customHeight="1" x14ac:dyDescent="0.2">
      <c r="B903" s="362"/>
      <c r="C903" s="363"/>
      <c r="D903" s="363"/>
      <c r="E903" s="363"/>
      <c r="F903" s="363"/>
      <c r="G903" s="363"/>
      <c r="H903" s="363"/>
      <c r="I903" s="363"/>
      <c r="J903" s="363"/>
      <c r="K903" s="363"/>
      <c r="L903" s="363"/>
      <c r="M903" s="363"/>
      <c r="N903" s="363"/>
      <c r="O903" s="363"/>
      <c r="P903" s="363"/>
      <c r="Q903" s="363"/>
      <c r="R903" s="363"/>
      <c r="S903" s="363"/>
      <c r="T903" s="363"/>
      <c r="U903" s="363"/>
      <c r="V903" s="363"/>
      <c r="W903" s="363"/>
      <c r="X903" s="363"/>
      <c r="Y903" s="363"/>
      <c r="Z903" s="363"/>
      <c r="AA903" s="363"/>
      <c r="AB903" s="363"/>
      <c r="AC903" s="363"/>
      <c r="AD903" s="363"/>
      <c r="AE903" s="363"/>
      <c r="AF903" s="363"/>
      <c r="AG903" s="363"/>
      <c r="AH903" s="363"/>
      <c r="AI903" s="363"/>
      <c r="AJ903" s="363"/>
      <c r="AK903" s="363"/>
      <c r="AL903" s="363"/>
      <c r="AM903" s="363"/>
    </row>
    <row r="904" spans="2:39" ht="12.75" customHeight="1" x14ac:dyDescent="0.2">
      <c r="B904" s="362"/>
      <c r="C904" s="363"/>
      <c r="D904" s="363"/>
      <c r="E904" s="363"/>
      <c r="F904" s="363"/>
      <c r="G904" s="363"/>
      <c r="H904" s="363"/>
      <c r="I904" s="363"/>
      <c r="J904" s="363"/>
      <c r="K904" s="363"/>
      <c r="L904" s="363"/>
      <c r="M904" s="363"/>
      <c r="N904" s="363"/>
      <c r="O904" s="363"/>
      <c r="P904" s="363"/>
      <c r="Q904" s="363"/>
      <c r="R904" s="363"/>
      <c r="S904" s="363"/>
      <c r="T904" s="363"/>
      <c r="U904" s="363"/>
      <c r="V904" s="363"/>
      <c r="W904" s="363"/>
      <c r="X904" s="363"/>
      <c r="Y904" s="363"/>
      <c r="Z904" s="363"/>
      <c r="AA904" s="363"/>
      <c r="AB904" s="363"/>
      <c r="AC904" s="363"/>
      <c r="AD904" s="363"/>
      <c r="AE904" s="363"/>
      <c r="AF904" s="363"/>
      <c r="AG904" s="363"/>
      <c r="AH904" s="363"/>
      <c r="AI904" s="363"/>
      <c r="AJ904" s="363"/>
      <c r="AK904" s="363"/>
      <c r="AL904" s="363"/>
      <c r="AM904" s="363"/>
    </row>
    <row r="905" spans="2:39" ht="12.75" customHeight="1" x14ac:dyDescent="0.2">
      <c r="B905" s="362"/>
      <c r="C905" s="363"/>
      <c r="D905" s="363"/>
      <c r="E905" s="363"/>
      <c r="F905" s="363"/>
      <c r="G905" s="363"/>
      <c r="H905" s="363"/>
      <c r="I905" s="363"/>
      <c r="J905" s="363"/>
      <c r="K905" s="363"/>
      <c r="L905" s="363"/>
      <c r="M905" s="363"/>
      <c r="N905" s="363"/>
      <c r="O905" s="363"/>
      <c r="P905" s="363"/>
      <c r="Q905" s="363"/>
      <c r="R905" s="363"/>
      <c r="S905" s="363"/>
      <c r="T905" s="363"/>
      <c r="U905" s="363"/>
      <c r="V905" s="363"/>
      <c r="W905" s="363"/>
      <c r="X905" s="363"/>
      <c r="Y905" s="363"/>
      <c r="Z905" s="363"/>
      <c r="AA905" s="363"/>
      <c r="AB905" s="363"/>
      <c r="AC905" s="363"/>
      <c r="AD905" s="363"/>
      <c r="AE905" s="363"/>
      <c r="AF905" s="363"/>
      <c r="AG905" s="363"/>
      <c r="AH905" s="363"/>
      <c r="AI905" s="363"/>
      <c r="AJ905" s="363"/>
      <c r="AK905" s="363"/>
      <c r="AL905" s="363"/>
      <c r="AM905" s="363"/>
    </row>
    <row r="906" spans="2:39" ht="12.75" customHeight="1" x14ac:dyDescent="0.2">
      <c r="B906" s="362"/>
      <c r="C906" s="363"/>
      <c r="D906" s="363"/>
      <c r="E906" s="363"/>
      <c r="F906" s="363"/>
      <c r="G906" s="363"/>
      <c r="H906" s="363"/>
      <c r="I906" s="363"/>
      <c r="J906" s="363"/>
      <c r="K906" s="363"/>
      <c r="L906" s="363"/>
      <c r="M906" s="363"/>
      <c r="N906" s="363"/>
      <c r="O906" s="363"/>
      <c r="P906" s="363"/>
      <c r="Q906" s="363"/>
      <c r="R906" s="363"/>
      <c r="S906" s="363"/>
      <c r="T906" s="363"/>
      <c r="U906" s="363"/>
      <c r="V906" s="363"/>
      <c r="W906" s="363"/>
      <c r="X906" s="363"/>
      <c r="Y906" s="363"/>
      <c r="Z906" s="363"/>
      <c r="AA906" s="363"/>
      <c r="AB906" s="363"/>
      <c r="AC906" s="363"/>
      <c r="AD906" s="363"/>
      <c r="AE906" s="363"/>
      <c r="AF906" s="363"/>
      <c r="AG906" s="363"/>
      <c r="AH906" s="363"/>
      <c r="AI906" s="363"/>
      <c r="AJ906" s="363"/>
      <c r="AK906" s="363"/>
      <c r="AL906" s="363"/>
      <c r="AM906" s="363"/>
    </row>
    <row r="907" spans="2:39" ht="12.75" customHeight="1" x14ac:dyDescent="0.2">
      <c r="B907" s="362"/>
      <c r="C907" s="363"/>
      <c r="D907" s="363"/>
      <c r="E907" s="363"/>
      <c r="F907" s="363"/>
      <c r="G907" s="363"/>
      <c r="H907" s="363"/>
      <c r="I907" s="363"/>
      <c r="J907" s="363"/>
      <c r="K907" s="363"/>
      <c r="L907" s="363"/>
      <c r="M907" s="363"/>
      <c r="N907" s="363"/>
      <c r="O907" s="363"/>
      <c r="P907" s="363"/>
      <c r="Q907" s="363"/>
      <c r="R907" s="363"/>
      <c r="S907" s="363"/>
      <c r="T907" s="363"/>
      <c r="U907" s="363"/>
      <c r="V907" s="363"/>
      <c r="W907" s="363"/>
      <c r="X907" s="363"/>
      <c r="Y907" s="363"/>
      <c r="Z907" s="363"/>
      <c r="AA907" s="363"/>
      <c r="AB907" s="363"/>
      <c r="AC907" s="363"/>
      <c r="AD907" s="363"/>
      <c r="AE907" s="363"/>
      <c r="AF907" s="363"/>
      <c r="AG907" s="363"/>
      <c r="AH907" s="363"/>
      <c r="AI907" s="363"/>
      <c r="AJ907" s="363"/>
      <c r="AK907" s="363"/>
      <c r="AL907" s="363"/>
      <c r="AM907" s="363"/>
    </row>
    <row r="908" spans="2:39" ht="12.75" customHeight="1" x14ac:dyDescent="0.2">
      <c r="B908" s="362"/>
      <c r="C908" s="363"/>
      <c r="D908" s="363"/>
      <c r="E908" s="363"/>
      <c r="F908" s="363"/>
      <c r="G908" s="363"/>
      <c r="H908" s="363"/>
      <c r="I908" s="363"/>
      <c r="J908" s="363"/>
      <c r="K908" s="363"/>
      <c r="L908" s="363"/>
      <c r="M908" s="363"/>
      <c r="N908" s="363"/>
      <c r="O908" s="363"/>
      <c r="P908" s="363"/>
      <c r="Q908" s="363"/>
      <c r="R908" s="363"/>
      <c r="S908" s="363"/>
      <c r="T908" s="363"/>
      <c r="U908" s="363"/>
      <c r="V908" s="363"/>
      <c r="W908" s="363"/>
      <c r="X908" s="363"/>
      <c r="Y908" s="363"/>
      <c r="Z908" s="363"/>
      <c r="AA908" s="363"/>
      <c r="AB908" s="363"/>
      <c r="AC908" s="363"/>
      <c r="AD908" s="363"/>
      <c r="AE908" s="363"/>
      <c r="AF908" s="363"/>
      <c r="AG908" s="363"/>
      <c r="AH908" s="363"/>
      <c r="AI908" s="363"/>
      <c r="AJ908" s="363"/>
      <c r="AK908" s="363"/>
      <c r="AL908" s="363"/>
      <c r="AM908" s="363"/>
    </row>
    <row r="909" spans="2:39" ht="12.75" customHeight="1" x14ac:dyDescent="0.2">
      <c r="B909" s="362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3"/>
      <c r="N909" s="363"/>
      <c r="O909" s="363"/>
      <c r="P909" s="363"/>
      <c r="Q909" s="363"/>
      <c r="R909" s="363"/>
      <c r="S909" s="363"/>
      <c r="T909" s="363"/>
      <c r="U909" s="363"/>
      <c r="V909" s="363"/>
      <c r="W909" s="363"/>
      <c r="X909" s="363"/>
      <c r="Y909" s="363"/>
      <c r="Z909" s="363"/>
      <c r="AA909" s="363"/>
      <c r="AB909" s="363"/>
      <c r="AC909" s="363"/>
      <c r="AD909" s="363"/>
      <c r="AE909" s="363"/>
      <c r="AF909" s="363"/>
      <c r="AG909" s="363"/>
      <c r="AH909" s="363"/>
      <c r="AI909" s="363"/>
      <c r="AJ909" s="363"/>
      <c r="AK909" s="363"/>
      <c r="AL909" s="363"/>
      <c r="AM909" s="363"/>
    </row>
    <row r="910" spans="2:39" ht="12.75" customHeight="1" x14ac:dyDescent="0.2">
      <c r="B910" s="362"/>
      <c r="C910" s="363"/>
      <c r="D910" s="363"/>
      <c r="E910" s="363"/>
      <c r="F910" s="363"/>
      <c r="G910" s="363"/>
      <c r="H910" s="363"/>
      <c r="I910" s="363"/>
      <c r="J910" s="363"/>
      <c r="K910" s="363"/>
      <c r="L910" s="363"/>
      <c r="M910" s="363"/>
      <c r="N910" s="363"/>
      <c r="O910" s="363"/>
      <c r="P910" s="363"/>
      <c r="Q910" s="363"/>
      <c r="R910" s="363"/>
      <c r="S910" s="363"/>
      <c r="T910" s="363"/>
      <c r="U910" s="363"/>
      <c r="V910" s="363"/>
      <c r="W910" s="363"/>
      <c r="X910" s="363"/>
      <c r="Y910" s="363"/>
      <c r="Z910" s="363"/>
      <c r="AA910" s="363"/>
      <c r="AB910" s="363"/>
      <c r="AC910" s="363"/>
      <c r="AD910" s="363"/>
      <c r="AE910" s="363"/>
      <c r="AF910" s="363"/>
      <c r="AG910" s="363"/>
      <c r="AH910" s="363"/>
      <c r="AI910" s="363"/>
      <c r="AJ910" s="363"/>
      <c r="AK910" s="363"/>
      <c r="AL910" s="363"/>
      <c r="AM910" s="363"/>
    </row>
    <row r="911" spans="2:39" ht="12.75" customHeight="1" x14ac:dyDescent="0.2">
      <c r="B911" s="362"/>
      <c r="C911" s="363"/>
      <c r="D911" s="363"/>
      <c r="E911" s="363"/>
      <c r="F911" s="363"/>
      <c r="G911" s="363"/>
      <c r="H911" s="363"/>
      <c r="I911" s="363"/>
      <c r="J911" s="363"/>
      <c r="K911" s="363"/>
      <c r="L911" s="363"/>
      <c r="M911" s="363"/>
      <c r="N911" s="363"/>
      <c r="O911" s="363"/>
      <c r="P911" s="363"/>
      <c r="Q911" s="363"/>
      <c r="R911" s="363"/>
      <c r="S911" s="363"/>
      <c r="T911" s="363"/>
      <c r="U911" s="363"/>
      <c r="V911" s="363"/>
      <c r="W911" s="363"/>
      <c r="X911" s="363"/>
      <c r="Y911" s="363"/>
      <c r="Z911" s="363"/>
      <c r="AA911" s="363"/>
      <c r="AB911" s="363"/>
      <c r="AC911" s="363"/>
      <c r="AD911" s="363"/>
      <c r="AE911" s="363"/>
      <c r="AF911" s="363"/>
      <c r="AG911" s="363"/>
      <c r="AH911" s="363"/>
      <c r="AI911" s="363"/>
      <c r="AJ911" s="363"/>
      <c r="AK911" s="363"/>
      <c r="AL911" s="363"/>
      <c r="AM911" s="363"/>
    </row>
    <row r="912" spans="2:39" ht="12.75" customHeight="1" x14ac:dyDescent="0.2">
      <c r="B912" s="362"/>
      <c r="C912" s="363"/>
      <c r="D912" s="363"/>
      <c r="E912" s="363"/>
      <c r="F912" s="363"/>
      <c r="G912" s="363"/>
      <c r="H912" s="363"/>
      <c r="I912" s="363"/>
      <c r="J912" s="363"/>
      <c r="K912" s="363"/>
      <c r="L912" s="363"/>
      <c r="M912" s="363"/>
      <c r="N912" s="363"/>
      <c r="O912" s="363"/>
      <c r="P912" s="363"/>
      <c r="Q912" s="363"/>
      <c r="R912" s="363"/>
      <c r="S912" s="363"/>
      <c r="T912" s="363"/>
      <c r="U912" s="363"/>
      <c r="V912" s="363"/>
      <c r="W912" s="363"/>
      <c r="X912" s="363"/>
      <c r="Y912" s="363"/>
      <c r="Z912" s="363"/>
      <c r="AA912" s="363"/>
      <c r="AB912" s="363"/>
      <c r="AC912" s="363"/>
      <c r="AD912" s="363"/>
      <c r="AE912" s="363"/>
      <c r="AF912" s="363"/>
      <c r="AG912" s="363"/>
      <c r="AH912" s="363"/>
      <c r="AI912" s="363"/>
      <c r="AJ912" s="363"/>
      <c r="AK912" s="363"/>
      <c r="AL912" s="363"/>
      <c r="AM912" s="363"/>
    </row>
    <row r="913" spans="2:39" ht="12.75" customHeight="1" x14ac:dyDescent="0.2">
      <c r="B913" s="362"/>
      <c r="C913" s="363"/>
      <c r="D913" s="363"/>
      <c r="E913" s="363"/>
      <c r="F913" s="363"/>
      <c r="G913" s="363"/>
      <c r="H913" s="363"/>
      <c r="I913" s="363"/>
      <c r="J913" s="363"/>
      <c r="K913" s="363"/>
      <c r="L913" s="363"/>
      <c r="M913" s="363"/>
      <c r="N913" s="363"/>
      <c r="O913" s="363"/>
      <c r="P913" s="363"/>
      <c r="Q913" s="363"/>
      <c r="R913" s="363"/>
      <c r="S913" s="363"/>
      <c r="T913" s="363"/>
      <c r="U913" s="363"/>
      <c r="V913" s="363"/>
      <c r="W913" s="363"/>
      <c r="X913" s="363"/>
      <c r="Y913" s="363"/>
      <c r="Z913" s="363"/>
      <c r="AA913" s="363"/>
      <c r="AB913" s="363"/>
      <c r="AC913" s="363"/>
      <c r="AD913" s="363"/>
      <c r="AE913" s="363"/>
      <c r="AF913" s="363"/>
      <c r="AG913" s="363"/>
      <c r="AH913" s="363"/>
      <c r="AI913" s="363"/>
      <c r="AJ913" s="363"/>
      <c r="AK913" s="363"/>
      <c r="AL913" s="363"/>
      <c r="AM913" s="363"/>
    </row>
    <row r="914" spans="2:39" ht="12.75" customHeight="1" x14ac:dyDescent="0.2">
      <c r="B914" s="362"/>
      <c r="C914" s="363"/>
      <c r="D914" s="363"/>
      <c r="E914" s="363"/>
      <c r="F914" s="363"/>
      <c r="G914" s="363"/>
      <c r="H914" s="363"/>
      <c r="I914" s="363"/>
      <c r="J914" s="363"/>
      <c r="K914" s="363"/>
      <c r="L914" s="363"/>
      <c r="M914" s="363"/>
      <c r="N914" s="363"/>
      <c r="O914" s="363"/>
      <c r="P914" s="363"/>
      <c r="Q914" s="363"/>
      <c r="R914" s="363"/>
      <c r="S914" s="363"/>
      <c r="T914" s="363"/>
      <c r="U914" s="363"/>
      <c r="V914" s="363"/>
      <c r="W914" s="363"/>
      <c r="X914" s="363"/>
      <c r="Y914" s="363"/>
      <c r="Z914" s="363"/>
      <c r="AA914" s="363"/>
      <c r="AB914" s="363"/>
      <c r="AC914" s="363"/>
      <c r="AD914" s="363"/>
      <c r="AE914" s="363"/>
      <c r="AF914" s="363"/>
      <c r="AG914" s="363"/>
      <c r="AH914" s="363"/>
      <c r="AI914" s="363"/>
      <c r="AJ914" s="363"/>
      <c r="AK914" s="363"/>
      <c r="AL914" s="363"/>
      <c r="AM914" s="363"/>
    </row>
    <row r="915" spans="2:39" ht="12.75" customHeight="1" x14ac:dyDescent="0.2">
      <c r="B915" s="362"/>
      <c r="C915" s="363"/>
      <c r="D915" s="363"/>
      <c r="E915" s="363"/>
      <c r="F915" s="363"/>
      <c r="G915" s="363"/>
      <c r="H915" s="363"/>
      <c r="I915" s="363"/>
      <c r="J915" s="363"/>
      <c r="K915" s="363"/>
      <c r="L915" s="363"/>
      <c r="M915" s="363"/>
      <c r="N915" s="363"/>
      <c r="O915" s="363"/>
      <c r="P915" s="363"/>
      <c r="Q915" s="363"/>
      <c r="R915" s="363"/>
      <c r="S915" s="363"/>
      <c r="T915" s="363"/>
      <c r="U915" s="363"/>
      <c r="V915" s="363"/>
      <c r="W915" s="363"/>
      <c r="X915" s="363"/>
      <c r="Y915" s="363"/>
      <c r="Z915" s="363"/>
      <c r="AA915" s="363"/>
      <c r="AB915" s="363"/>
      <c r="AC915" s="363"/>
      <c r="AD915" s="363"/>
      <c r="AE915" s="363"/>
      <c r="AF915" s="363"/>
      <c r="AG915" s="363"/>
      <c r="AH915" s="363"/>
      <c r="AI915" s="363"/>
      <c r="AJ915" s="363"/>
      <c r="AK915" s="363"/>
      <c r="AL915" s="363"/>
      <c r="AM915" s="363"/>
    </row>
    <row r="916" spans="2:39" ht="12.75" customHeight="1" x14ac:dyDescent="0.2">
      <c r="B916" s="362"/>
      <c r="C916" s="363"/>
      <c r="D916" s="363"/>
      <c r="E916" s="363"/>
      <c r="F916" s="363"/>
      <c r="G916" s="363"/>
      <c r="H916" s="363"/>
      <c r="I916" s="363"/>
      <c r="J916" s="363"/>
      <c r="K916" s="363"/>
      <c r="L916" s="363"/>
      <c r="M916" s="363"/>
      <c r="N916" s="363"/>
      <c r="O916" s="363"/>
      <c r="P916" s="363"/>
      <c r="Q916" s="363"/>
      <c r="R916" s="363"/>
      <c r="S916" s="363"/>
      <c r="T916" s="363"/>
      <c r="U916" s="363"/>
      <c r="V916" s="363"/>
      <c r="W916" s="363"/>
      <c r="X916" s="363"/>
      <c r="Y916" s="363"/>
      <c r="Z916" s="363"/>
      <c r="AA916" s="363"/>
      <c r="AB916" s="363"/>
      <c r="AC916" s="363"/>
      <c r="AD916" s="363"/>
      <c r="AE916" s="363"/>
      <c r="AF916" s="363"/>
      <c r="AG916" s="363"/>
      <c r="AH916" s="363"/>
      <c r="AI916" s="363"/>
      <c r="AJ916" s="363"/>
      <c r="AK916" s="363"/>
      <c r="AL916" s="363"/>
      <c r="AM916" s="363"/>
    </row>
    <row r="917" spans="2:39" ht="12.75" customHeight="1" x14ac:dyDescent="0.2">
      <c r="B917" s="362"/>
      <c r="C917" s="363"/>
      <c r="D917" s="363"/>
      <c r="E917" s="363"/>
      <c r="F917" s="363"/>
      <c r="G917" s="363"/>
      <c r="H917" s="363"/>
      <c r="I917" s="363"/>
      <c r="J917" s="363"/>
      <c r="K917" s="363"/>
      <c r="L917" s="363"/>
      <c r="M917" s="363"/>
      <c r="N917" s="363"/>
      <c r="O917" s="363"/>
      <c r="P917" s="363"/>
      <c r="Q917" s="363"/>
      <c r="R917" s="363"/>
      <c r="S917" s="363"/>
      <c r="T917" s="363"/>
      <c r="U917" s="363"/>
      <c r="V917" s="363"/>
      <c r="W917" s="363"/>
      <c r="X917" s="363"/>
      <c r="Y917" s="363"/>
      <c r="Z917" s="363"/>
      <c r="AA917" s="363"/>
      <c r="AB917" s="363"/>
      <c r="AC917" s="363"/>
      <c r="AD917" s="363"/>
      <c r="AE917" s="363"/>
      <c r="AF917" s="363"/>
      <c r="AG917" s="363"/>
      <c r="AH917" s="363"/>
      <c r="AI917" s="363"/>
      <c r="AJ917" s="363"/>
      <c r="AK917" s="363"/>
      <c r="AL917" s="363"/>
      <c r="AM917" s="363"/>
    </row>
    <row r="918" spans="2:39" ht="12.75" customHeight="1" x14ac:dyDescent="0.2">
      <c r="B918" s="362"/>
      <c r="C918" s="363"/>
      <c r="D918" s="363"/>
      <c r="E918" s="363"/>
      <c r="F918" s="363"/>
      <c r="G918" s="363"/>
      <c r="H918" s="363"/>
      <c r="I918" s="363"/>
      <c r="J918" s="363"/>
      <c r="K918" s="363"/>
      <c r="L918" s="363"/>
      <c r="M918" s="363"/>
      <c r="N918" s="363"/>
      <c r="O918" s="363"/>
      <c r="P918" s="363"/>
      <c r="Q918" s="363"/>
      <c r="R918" s="363"/>
      <c r="S918" s="363"/>
      <c r="T918" s="363"/>
      <c r="U918" s="363"/>
      <c r="V918" s="363"/>
      <c r="W918" s="363"/>
      <c r="X918" s="363"/>
      <c r="Y918" s="363"/>
      <c r="Z918" s="363"/>
      <c r="AA918" s="363"/>
      <c r="AB918" s="363"/>
      <c r="AC918" s="363"/>
      <c r="AD918" s="363"/>
      <c r="AE918" s="363"/>
      <c r="AF918" s="363"/>
      <c r="AG918" s="363"/>
      <c r="AH918" s="363"/>
      <c r="AI918" s="363"/>
      <c r="AJ918" s="363"/>
      <c r="AK918" s="363"/>
      <c r="AL918" s="363"/>
      <c r="AM918" s="363"/>
    </row>
    <row r="919" spans="2:39" ht="12.75" customHeight="1" x14ac:dyDescent="0.2">
      <c r="B919" s="362"/>
      <c r="C919" s="363"/>
      <c r="D919" s="363"/>
      <c r="E919" s="363"/>
      <c r="F919" s="363"/>
      <c r="G919" s="363"/>
      <c r="H919" s="363"/>
      <c r="I919" s="363"/>
      <c r="J919" s="363"/>
      <c r="K919" s="363"/>
      <c r="L919" s="363"/>
      <c r="M919" s="363"/>
      <c r="N919" s="363"/>
      <c r="O919" s="363"/>
      <c r="P919" s="363"/>
      <c r="Q919" s="363"/>
      <c r="R919" s="363"/>
      <c r="S919" s="363"/>
      <c r="T919" s="363"/>
      <c r="U919" s="363"/>
      <c r="V919" s="363"/>
      <c r="W919" s="363"/>
      <c r="X919" s="363"/>
      <c r="Y919" s="363"/>
      <c r="Z919" s="363"/>
      <c r="AA919" s="363"/>
      <c r="AB919" s="363"/>
      <c r="AC919" s="363"/>
      <c r="AD919" s="363"/>
      <c r="AE919" s="363"/>
      <c r="AF919" s="363"/>
      <c r="AG919" s="363"/>
      <c r="AH919" s="363"/>
      <c r="AI919" s="363"/>
      <c r="AJ919" s="363"/>
      <c r="AK919" s="363"/>
      <c r="AL919" s="363"/>
      <c r="AM919" s="363"/>
    </row>
    <row r="920" spans="2:39" ht="12.75" customHeight="1" x14ac:dyDescent="0.2">
      <c r="B920" s="362"/>
      <c r="C920" s="363"/>
      <c r="D920" s="363"/>
      <c r="E920" s="363"/>
      <c r="F920" s="363"/>
      <c r="G920" s="363"/>
      <c r="H920" s="363"/>
      <c r="I920" s="363"/>
      <c r="J920" s="363"/>
      <c r="K920" s="363"/>
      <c r="L920" s="363"/>
      <c r="M920" s="363"/>
      <c r="N920" s="363"/>
      <c r="O920" s="363"/>
      <c r="P920" s="363"/>
      <c r="Q920" s="363"/>
      <c r="R920" s="363"/>
      <c r="S920" s="363"/>
      <c r="T920" s="363"/>
      <c r="U920" s="363"/>
      <c r="V920" s="363"/>
      <c r="W920" s="363"/>
      <c r="X920" s="363"/>
      <c r="Y920" s="363"/>
      <c r="Z920" s="363"/>
      <c r="AA920" s="363"/>
      <c r="AB920" s="363"/>
      <c r="AC920" s="363"/>
      <c r="AD920" s="363"/>
      <c r="AE920" s="363"/>
      <c r="AF920" s="363"/>
      <c r="AG920" s="363"/>
      <c r="AH920" s="363"/>
      <c r="AI920" s="363"/>
      <c r="AJ920" s="363"/>
      <c r="AK920" s="363"/>
      <c r="AL920" s="363"/>
      <c r="AM920" s="363"/>
    </row>
    <row r="921" spans="2:39" ht="12.75" customHeight="1" x14ac:dyDescent="0.2">
      <c r="B921" s="362"/>
      <c r="C921" s="363"/>
      <c r="D921" s="363"/>
      <c r="E921" s="363"/>
      <c r="F921" s="363"/>
      <c r="G921" s="363"/>
      <c r="H921" s="363"/>
      <c r="I921" s="363"/>
      <c r="J921" s="363"/>
      <c r="K921" s="363"/>
      <c r="L921" s="363"/>
      <c r="M921" s="363"/>
      <c r="N921" s="363"/>
      <c r="O921" s="363"/>
      <c r="P921" s="363"/>
      <c r="Q921" s="363"/>
      <c r="R921" s="363"/>
      <c r="S921" s="363"/>
      <c r="T921" s="363"/>
      <c r="U921" s="363"/>
      <c r="V921" s="363"/>
      <c r="W921" s="363"/>
      <c r="X921" s="363"/>
      <c r="Y921" s="363"/>
      <c r="Z921" s="363"/>
      <c r="AA921" s="363"/>
      <c r="AB921" s="363"/>
      <c r="AC921" s="363"/>
      <c r="AD921" s="363"/>
      <c r="AE921" s="363"/>
      <c r="AF921" s="363"/>
      <c r="AG921" s="363"/>
      <c r="AH921" s="363"/>
      <c r="AI921" s="363"/>
      <c r="AJ921" s="363"/>
      <c r="AK921" s="363"/>
      <c r="AL921" s="363"/>
      <c r="AM921" s="363"/>
    </row>
    <row r="922" spans="2:39" ht="12.75" customHeight="1" x14ac:dyDescent="0.2">
      <c r="B922" s="362"/>
      <c r="C922" s="363"/>
      <c r="D922" s="363"/>
      <c r="E922" s="363"/>
      <c r="F922" s="363"/>
      <c r="G922" s="363"/>
      <c r="H922" s="363"/>
      <c r="I922" s="363"/>
      <c r="J922" s="363"/>
      <c r="K922" s="363"/>
      <c r="L922" s="363"/>
      <c r="M922" s="363"/>
      <c r="N922" s="363"/>
      <c r="O922" s="363"/>
      <c r="P922" s="363"/>
      <c r="Q922" s="363"/>
      <c r="R922" s="363"/>
      <c r="S922" s="363"/>
      <c r="T922" s="363"/>
      <c r="U922" s="363"/>
      <c r="V922" s="363"/>
      <c r="W922" s="363"/>
      <c r="X922" s="363"/>
      <c r="Y922" s="363"/>
      <c r="Z922" s="363"/>
      <c r="AA922" s="363"/>
      <c r="AB922" s="363"/>
      <c r="AC922" s="363"/>
      <c r="AD922" s="363"/>
      <c r="AE922" s="363"/>
      <c r="AF922" s="363"/>
      <c r="AG922" s="363"/>
      <c r="AH922" s="363"/>
      <c r="AI922" s="363"/>
      <c r="AJ922" s="363"/>
      <c r="AK922" s="363"/>
      <c r="AL922" s="363"/>
      <c r="AM922" s="363"/>
    </row>
    <row r="923" spans="2:39" ht="12.75" customHeight="1" x14ac:dyDescent="0.2">
      <c r="B923" s="362"/>
      <c r="C923" s="363"/>
      <c r="D923" s="363"/>
      <c r="E923" s="363"/>
      <c r="F923" s="363"/>
      <c r="G923" s="363"/>
      <c r="H923" s="363"/>
      <c r="I923" s="363"/>
      <c r="J923" s="363"/>
      <c r="K923" s="363"/>
      <c r="L923" s="363"/>
      <c r="M923" s="363"/>
      <c r="N923" s="363"/>
      <c r="O923" s="363"/>
      <c r="P923" s="363"/>
      <c r="Q923" s="363"/>
      <c r="R923" s="363"/>
      <c r="S923" s="363"/>
      <c r="T923" s="363"/>
      <c r="U923" s="363"/>
      <c r="V923" s="363"/>
      <c r="W923" s="363"/>
      <c r="X923" s="363"/>
      <c r="Y923" s="363"/>
      <c r="Z923" s="363"/>
      <c r="AA923" s="363"/>
      <c r="AB923" s="363"/>
      <c r="AC923" s="363"/>
      <c r="AD923" s="363"/>
      <c r="AE923" s="363"/>
      <c r="AF923" s="363"/>
      <c r="AG923" s="363"/>
      <c r="AH923" s="363"/>
      <c r="AI923" s="363"/>
      <c r="AJ923" s="363"/>
      <c r="AK923" s="363"/>
      <c r="AL923" s="363"/>
      <c r="AM923" s="363"/>
    </row>
    <row r="924" spans="2:39" ht="12.75" customHeight="1" x14ac:dyDescent="0.2">
      <c r="B924" s="362"/>
      <c r="C924" s="363"/>
      <c r="D924" s="363"/>
      <c r="E924" s="363"/>
      <c r="F924" s="363"/>
      <c r="G924" s="363"/>
      <c r="H924" s="363"/>
      <c r="I924" s="363"/>
      <c r="J924" s="363"/>
      <c r="K924" s="363"/>
      <c r="L924" s="363"/>
      <c r="M924" s="363"/>
      <c r="N924" s="363"/>
      <c r="O924" s="363"/>
      <c r="P924" s="363"/>
      <c r="Q924" s="363"/>
      <c r="R924" s="363"/>
      <c r="S924" s="363"/>
      <c r="T924" s="363"/>
      <c r="U924" s="363"/>
      <c r="V924" s="363"/>
      <c r="W924" s="363"/>
      <c r="X924" s="363"/>
      <c r="Y924" s="363"/>
      <c r="Z924" s="363"/>
      <c r="AA924" s="363"/>
      <c r="AB924" s="363"/>
      <c r="AC924" s="363"/>
      <c r="AD924" s="363"/>
      <c r="AE924" s="363"/>
      <c r="AF924" s="363"/>
      <c r="AG924" s="363"/>
      <c r="AH924" s="363"/>
      <c r="AI924" s="363"/>
      <c r="AJ924" s="363"/>
      <c r="AK924" s="363"/>
      <c r="AL924" s="363"/>
      <c r="AM924" s="363"/>
    </row>
    <row r="925" spans="2:39" ht="12.75" customHeight="1" x14ac:dyDescent="0.2">
      <c r="B925" s="362"/>
      <c r="C925" s="363"/>
      <c r="D925" s="363"/>
      <c r="E925" s="363"/>
      <c r="F925" s="363"/>
      <c r="G925" s="363"/>
      <c r="H925" s="363"/>
      <c r="I925" s="363"/>
      <c r="J925" s="363"/>
      <c r="K925" s="363"/>
      <c r="L925" s="363"/>
      <c r="M925" s="363"/>
      <c r="N925" s="363"/>
      <c r="O925" s="363"/>
      <c r="P925" s="363"/>
      <c r="Q925" s="363"/>
      <c r="R925" s="363"/>
      <c r="S925" s="363"/>
      <c r="T925" s="363"/>
      <c r="U925" s="363"/>
      <c r="V925" s="363"/>
      <c r="W925" s="363"/>
      <c r="X925" s="363"/>
      <c r="Y925" s="363"/>
      <c r="Z925" s="363"/>
      <c r="AA925" s="363"/>
      <c r="AB925" s="363"/>
      <c r="AC925" s="363"/>
      <c r="AD925" s="363"/>
      <c r="AE925" s="363"/>
      <c r="AF925" s="363"/>
      <c r="AG925" s="363"/>
      <c r="AH925" s="363"/>
      <c r="AI925" s="363"/>
      <c r="AJ925" s="363"/>
      <c r="AK925" s="363"/>
      <c r="AL925" s="363"/>
      <c r="AM925" s="363"/>
    </row>
    <row r="926" spans="2:39" ht="12.75" customHeight="1" x14ac:dyDescent="0.2">
      <c r="B926" s="362"/>
      <c r="C926" s="363"/>
      <c r="D926" s="363"/>
      <c r="E926" s="363"/>
      <c r="F926" s="363"/>
      <c r="G926" s="363"/>
      <c r="H926" s="363"/>
      <c r="I926" s="363"/>
      <c r="J926" s="363"/>
      <c r="K926" s="363"/>
      <c r="L926" s="363"/>
      <c r="M926" s="363"/>
      <c r="N926" s="363"/>
      <c r="O926" s="363"/>
      <c r="P926" s="363"/>
      <c r="Q926" s="363"/>
      <c r="R926" s="363"/>
      <c r="S926" s="363"/>
      <c r="T926" s="363"/>
      <c r="U926" s="363"/>
      <c r="V926" s="363"/>
      <c r="W926" s="363"/>
      <c r="X926" s="363"/>
      <c r="Y926" s="363"/>
      <c r="Z926" s="363"/>
      <c r="AA926" s="363"/>
      <c r="AB926" s="363"/>
      <c r="AC926" s="363"/>
      <c r="AD926" s="363"/>
      <c r="AE926" s="363"/>
      <c r="AF926" s="363"/>
      <c r="AG926" s="363"/>
      <c r="AH926" s="363"/>
      <c r="AI926" s="363"/>
      <c r="AJ926" s="363"/>
      <c r="AK926" s="363"/>
      <c r="AL926" s="363"/>
      <c r="AM926" s="363"/>
    </row>
    <row r="927" spans="2:39" ht="12.75" customHeight="1" x14ac:dyDescent="0.2">
      <c r="B927" s="362"/>
      <c r="C927" s="363"/>
      <c r="D927" s="363"/>
      <c r="E927" s="363"/>
      <c r="F927" s="363"/>
      <c r="G927" s="363"/>
      <c r="H927" s="363"/>
      <c r="I927" s="363"/>
      <c r="J927" s="363"/>
      <c r="K927" s="363"/>
      <c r="L927" s="363"/>
      <c r="M927" s="363"/>
      <c r="N927" s="363"/>
      <c r="O927" s="363"/>
      <c r="P927" s="363"/>
      <c r="Q927" s="363"/>
      <c r="R927" s="363"/>
      <c r="S927" s="363"/>
      <c r="T927" s="363"/>
      <c r="U927" s="363"/>
      <c r="V927" s="363"/>
      <c r="W927" s="363"/>
      <c r="X927" s="363"/>
      <c r="Y927" s="363"/>
      <c r="Z927" s="363"/>
      <c r="AA927" s="363"/>
      <c r="AB927" s="363"/>
      <c r="AC927" s="363"/>
      <c r="AD927" s="363"/>
      <c r="AE927" s="363"/>
      <c r="AF927" s="363"/>
      <c r="AG927" s="363"/>
      <c r="AH927" s="363"/>
      <c r="AI927" s="363"/>
      <c r="AJ927" s="363"/>
      <c r="AK927" s="363"/>
      <c r="AL927" s="363"/>
      <c r="AM927" s="363"/>
    </row>
    <row r="928" spans="2:39" ht="12.75" customHeight="1" x14ac:dyDescent="0.2">
      <c r="B928" s="362"/>
      <c r="C928" s="363"/>
      <c r="D928" s="363"/>
      <c r="E928" s="363"/>
      <c r="F928" s="363"/>
      <c r="G928" s="363"/>
      <c r="H928" s="363"/>
      <c r="I928" s="363"/>
      <c r="J928" s="363"/>
      <c r="K928" s="363"/>
      <c r="L928" s="363"/>
      <c r="M928" s="363"/>
      <c r="N928" s="363"/>
      <c r="O928" s="363"/>
      <c r="P928" s="363"/>
      <c r="Q928" s="363"/>
      <c r="R928" s="363"/>
      <c r="S928" s="363"/>
      <c r="T928" s="363"/>
      <c r="U928" s="363"/>
      <c r="V928" s="363"/>
      <c r="W928" s="363"/>
      <c r="X928" s="363"/>
      <c r="Y928" s="363"/>
      <c r="Z928" s="363"/>
      <c r="AA928" s="363"/>
      <c r="AB928" s="363"/>
      <c r="AC928" s="363"/>
      <c r="AD928" s="363"/>
      <c r="AE928" s="363"/>
      <c r="AF928" s="363"/>
      <c r="AG928" s="363"/>
      <c r="AH928" s="363"/>
      <c r="AI928" s="363"/>
      <c r="AJ928" s="363"/>
      <c r="AK928" s="363"/>
      <c r="AL928" s="363"/>
      <c r="AM928" s="363"/>
    </row>
    <row r="929" spans="2:39" ht="12.75" customHeight="1" x14ac:dyDescent="0.2">
      <c r="B929" s="362"/>
      <c r="C929" s="363"/>
      <c r="D929" s="363"/>
      <c r="E929" s="363"/>
      <c r="F929" s="363"/>
      <c r="G929" s="363"/>
      <c r="H929" s="363"/>
      <c r="I929" s="363"/>
      <c r="J929" s="363"/>
      <c r="K929" s="363"/>
      <c r="L929" s="363"/>
      <c r="M929" s="363"/>
      <c r="N929" s="363"/>
      <c r="O929" s="363"/>
      <c r="P929" s="363"/>
      <c r="Q929" s="363"/>
      <c r="R929" s="363"/>
      <c r="S929" s="363"/>
      <c r="T929" s="363"/>
      <c r="U929" s="363"/>
      <c r="V929" s="363"/>
      <c r="W929" s="363"/>
      <c r="X929" s="363"/>
      <c r="Y929" s="363"/>
      <c r="Z929" s="363"/>
      <c r="AA929" s="363"/>
      <c r="AB929" s="363"/>
      <c r="AC929" s="363"/>
      <c r="AD929" s="363"/>
      <c r="AE929" s="363"/>
      <c r="AF929" s="363"/>
      <c r="AG929" s="363"/>
      <c r="AH929" s="363"/>
      <c r="AI929" s="363"/>
      <c r="AJ929" s="363"/>
      <c r="AK929" s="363"/>
      <c r="AL929" s="363"/>
      <c r="AM929" s="363"/>
    </row>
    <row r="930" spans="2:39" ht="12.75" customHeight="1" x14ac:dyDescent="0.2">
      <c r="B930" s="362"/>
      <c r="C930" s="363"/>
      <c r="D930" s="363"/>
      <c r="E930" s="363"/>
      <c r="F930" s="363"/>
      <c r="G930" s="363"/>
      <c r="H930" s="363"/>
      <c r="I930" s="363"/>
      <c r="J930" s="363"/>
      <c r="K930" s="363"/>
      <c r="L930" s="363"/>
      <c r="M930" s="363"/>
      <c r="N930" s="363"/>
      <c r="O930" s="363"/>
      <c r="P930" s="363"/>
      <c r="Q930" s="363"/>
      <c r="R930" s="363"/>
      <c r="S930" s="363"/>
      <c r="T930" s="363"/>
      <c r="U930" s="363"/>
      <c r="V930" s="363"/>
      <c r="W930" s="363"/>
      <c r="X930" s="363"/>
      <c r="Y930" s="363"/>
      <c r="Z930" s="363"/>
      <c r="AA930" s="363"/>
      <c r="AB930" s="363"/>
      <c r="AC930" s="363"/>
      <c r="AD930" s="363"/>
      <c r="AE930" s="363"/>
      <c r="AF930" s="363"/>
      <c r="AG930" s="363"/>
      <c r="AH930" s="363"/>
      <c r="AI930" s="363"/>
      <c r="AJ930" s="363"/>
      <c r="AK930" s="363"/>
      <c r="AL930" s="363"/>
      <c r="AM930" s="363"/>
    </row>
    <row r="931" spans="2:39" ht="12.75" customHeight="1" x14ac:dyDescent="0.2">
      <c r="B931" s="362"/>
      <c r="C931" s="363"/>
      <c r="D931" s="363"/>
      <c r="E931" s="363"/>
      <c r="F931" s="363"/>
      <c r="G931" s="363"/>
      <c r="H931" s="363"/>
      <c r="I931" s="363"/>
      <c r="J931" s="363"/>
      <c r="K931" s="363"/>
      <c r="L931" s="363"/>
      <c r="M931" s="363"/>
      <c r="N931" s="363"/>
      <c r="O931" s="363"/>
      <c r="P931" s="363"/>
      <c r="Q931" s="363"/>
      <c r="R931" s="363"/>
      <c r="S931" s="363"/>
      <c r="T931" s="363"/>
      <c r="U931" s="363"/>
      <c r="V931" s="363"/>
      <c r="W931" s="363"/>
      <c r="X931" s="363"/>
      <c r="Y931" s="363"/>
      <c r="Z931" s="363"/>
      <c r="AA931" s="363"/>
      <c r="AB931" s="363"/>
      <c r="AC931" s="363"/>
      <c r="AD931" s="363"/>
      <c r="AE931" s="363"/>
      <c r="AF931" s="363"/>
      <c r="AG931" s="363"/>
      <c r="AH931" s="363"/>
      <c r="AI931" s="363"/>
      <c r="AJ931" s="363"/>
      <c r="AK931" s="363"/>
      <c r="AL931" s="363"/>
      <c r="AM931" s="363"/>
    </row>
    <row r="932" spans="2:39" ht="12.75" customHeight="1" x14ac:dyDescent="0.2">
      <c r="B932" s="362"/>
      <c r="C932" s="363"/>
      <c r="D932" s="363"/>
      <c r="E932" s="363"/>
      <c r="F932" s="363"/>
      <c r="G932" s="363"/>
      <c r="H932" s="363"/>
      <c r="I932" s="363"/>
      <c r="J932" s="363"/>
      <c r="K932" s="363"/>
      <c r="L932" s="363"/>
      <c r="M932" s="363"/>
      <c r="N932" s="363"/>
      <c r="O932" s="363"/>
      <c r="P932" s="363"/>
      <c r="Q932" s="363"/>
      <c r="R932" s="363"/>
      <c r="S932" s="363"/>
      <c r="T932" s="363"/>
      <c r="U932" s="363"/>
      <c r="V932" s="363"/>
      <c r="W932" s="363"/>
      <c r="X932" s="363"/>
      <c r="Y932" s="363"/>
      <c r="Z932" s="363"/>
      <c r="AA932" s="363"/>
      <c r="AB932" s="363"/>
      <c r="AC932" s="363"/>
      <c r="AD932" s="363"/>
      <c r="AE932" s="363"/>
      <c r="AF932" s="363"/>
      <c r="AG932" s="363"/>
      <c r="AH932" s="363"/>
      <c r="AI932" s="363"/>
      <c r="AJ932" s="363"/>
      <c r="AK932" s="363"/>
      <c r="AL932" s="363"/>
      <c r="AM932" s="363"/>
    </row>
    <row r="933" spans="2:39" ht="12.75" customHeight="1" x14ac:dyDescent="0.2">
      <c r="B933" s="362"/>
      <c r="C933" s="363"/>
      <c r="D933" s="363"/>
      <c r="E933" s="363"/>
      <c r="F933" s="363"/>
      <c r="G933" s="363"/>
      <c r="H933" s="363"/>
      <c r="I933" s="363"/>
      <c r="J933" s="363"/>
      <c r="K933" s="363"/>
      <c r="L933" s="363"/>
      <c r="M933" s="363"/>
      <c r="N933" s="363"/>
      <c r="O933" s="363"/>
      <c r="P933" s="363"/>
      <c r="Q933" s="363"/>
      <c r="R933" s="363"/>
      <c r="S933" s="363"/>
      <c r="T933" s="363"/>
      <c r="U933" s="363"/>
      <c r="V933" s="363"/>
      <c r="W933" s="363"/>
      <c r="X933" s="363"/>
      <c r="Y933" s="363"/>
      <c r="Z933" s="363"/>
      <c r="AA933" s="363"/>
      <c r="AB933" s="363"/>
      <c r="AC933" s="363"/>
      <c r="AD933" s="363"/>
      <c r="AE933" s="363"/>
      <c r="AF933" s="363"/>
      <c r="AG933" s="363"/>
      <c r="AH933" s="363"/>
      <c r="AI933" s="363"/>
      <c r="AJ933" s="363"/>
      <c r="AK933" s="363"/>
      <c r="AL933" s="363"/>
      <c r="AM933" s="363"/>
    </row>
    <row r="934" spans="2:39" ht="12.75" customHeight="1" x14ac:dyDescent="0.2">
      <c r="B934" s="362"/>
      <c r="C934" s="363"/>
      <c r="D934" s="363"/>
      <c r="E934" s="363"/>
      <c r="F934" s="363"/>
      <c r="G934" s="363"/>
      <c r="H934" s="363"/>
      <c r="I934" s="363"/>
      <c r="J934" s="363"/>
      <c r="K934" s="363"/>
      <c r="L934" s="363"/>
      <c r="M934" s="363"/>
      <c r="N934" s="363"/>
      <c r="O934" s="363"/>
      <c r="P934" s="363"/>
      <c r="Q934" s="363"/>
      <c r="R934" s="363"/>
      <c r="S934" s="363"/>
      <c r="T934" s="363"/>
      <c r="U934" s="363"/>
      <c r="V934" s="363"/>
      <c r="W934" s="363"/>
      <c r="X934" s="363"/>
      <c r="Y934" s="363"/>
      <c r="Z934" s="363"/>
      <c r="AA934" s="363"/>
      <c r="AB934" s="363"/>
      <c r="AC934" s="363"/>
      <c r="AD934" s="363"/>
      <c r="AE934" s="363"/>
      <c r="AF934" s="363"/>
      <c r="AG934" s="363"/>
      <c r="AH934" s="363"/>
      <c r="AI934" s="363"/>
      <c r="AJ934" s="363"/>
      <c r="AK934" s="363"/>
      <c r="AL934" s="363"/>
      <c r="AM934" s="363"/>
    </row>
    <row r="935" spans="2:39" ht="12.75" customHeight="1" x14ac:dyDescent="0.2">
      <c r="B935" s="362"/>
      <c r="C935" s="363"/>
      <c r="D935" s="363"/>
      <c r="E935" s="363"/>
      <c r="F935" s="363"/>
      <c r="G935" s="363"/>
      <c r="H935" s="363"/>
      <c r="I935" s="363"/>
      <c r="J935" s="363"/>
      <c r="K935" s="363"/>
      <c r="L935" s="363"/>
      <c r="M935" s="363"/>
      <c r="N935" s="363"/>
      <c r="O935" s="363"/>
      <c r="P935" s="363"/>
      <c r="Q935" s="363"/>
      <c r="R935" s="363"/>
      <c r="S935" s="363"/>
      <c r="T935" s="363"/>
      <c r="U935" s="363"/>
      <c r="V935" s="363"/>
      <c r="W935" s="363"/>
      <c r="X935" s="363"/>
      <c r="Y935" s="363"/>
      <c r="Z935" s="363"/>
      <c r="AA935" s="363"/>
      <c r="AB935" s="363"/>
      <c r="AC935" s="363"/>
      <c r="AD935" s="363"/>
      <c r="AE935" s="363"/>
      <c r="AF935" s="363"/>
      <c r="AG935" s="363"/>
      <c r="AH935" s="363"/>
      <c r="AI935" s="363"/>
      <c r="AJ935" s="363"/>
      <c r="AK935" s="363"/>
      <c r="AL935" s="363"/>
      <c r="AM935" s="363"/>
    </row>
    <row r="936" spans="2:39" ht="12.75" customHeight="1" x14ac:dyDescent="0.2">
      <c r="B936" s="362"/>
      <c r="C936" s="363"/>
      <c r="D936" s="363"/>
      <c r="E936" s="363"/>
      <c r="F936" s="363"/>
      <c r="G936" s="363"/>
      <c r="H936" s="363"/>
      <c r="I936" s="363"/>
      <c r="J936" s="363"/>
      <c r="K936" s="363"/>
      <c r="L936" s="363"/>
      <c r="M936" s="363"/>
      <c r="N936" s="363"/>
      <c r="O936" s="363"/>
      <c r="P936" s="363"/>
      <c r="Q936" s="363"/>
      <c r="R936" s="363"/>
      <c r="S936" s="363"/>
      <c r="T936" s="363"/>
      <c r="U936" s="363"/>
      <c r="V936" s="363"/>
      <c r="W936" s="363"/>
      <c r="X936" s="363"/>
      <c r="Y936" s="363"/>
      <c r="Z936" s="363"/>
      <c r="AA936" s="363"/>
      <c r="AB936" s="363"/>
      <c r="AC936" s="363"/>
      <c r="AD936" s="363"/>
      <c r="AE936" s="363"/>
      <c r="AF936" s="363"/>
      <c r="AG936" s="363"/>
      <c r="AH936" s="363"/>
      <c r="AI936" s="363"/>
      <c r="AJ936" s="363"/>
      <c r="AK936" s="363"/>
      <c r="AL936" s="363"/>
      <c r="AM936" s="363"/>
    </row>
    <row r="937" spans="2:39" ht="12.75" customHeight="1" x14ac:dyDescent="0.2">
      <c r="B937" s="362"/>
      <c r="C937" s="363"/>
      <c r="D937" s="363"/>
      <c r="E937" s="363"/>
      <c r="F937" s="363"/>
      <c r="G937" s="363"/>
      <c r="H937" s="363"/>
      <c r="I937" s="363"/>
      <c r="J937" s="363"/>
      <c r="K937" s="363"/>
      <c r="L937" s="363"/>
      <c r="M937" s="363"/>
      <c r="N937" s="363"/>
      <c r="O937" s="363"/>
      <c r="P937" s="363"/>
      <c r="Q937" s="363"/>
      <c r="R937" s="363"/>
      <c r="S937" s="363"/>
      <c r="T937" s="363"/>
      <c r="U937" s="363"/>
      <c r="V937" s="363"/>
      <c r="W937" s="363"/>
      <c r="X937" s="363"/>
      <c r="Y937" s="363"/>
      <c r="Z937" s="363"/>
      <c r="AA937" s="363"/>
      <c r="AB937" s="363"/>
      <c r="AC937" s="363"/>
      <c r="AD937" s="363"/>
      <c r="AE937" s="363"/>
      <c r="AF937" s="363"/>
      <c r="AG937" s="363"/>
      <c r="AH937" s="363"/>
      <c r="AI937" s="363"/>
      <c r="AJ937" s="363"/>
      <c r="AK937" s="363"/>
      <c r="AL937" s="363"/>
      <c r="AM937" s="363"/>
    </row>
    <row r="938" spans="2:39" ht="12.75" customHeight="1" x14ac:dyDescent="0.2">
      <c r="B938" s="362"/>
      <c r="C938" s="363"/>
      <c r="D938" s="363"/>
      <c r="E938" s="363"/>
      <c r="F938" s="363"/>
      <c r="G938" s="363"/>
      <c r="H938" s="363"/>
      <c r="I938" s="363"/>
      <c r="J938" s="363"/>
      <c r="K938" s="363"/>
      <c r="L938" s="363"/>
      <c r="M938" s="363"/>
      <c r="N938" s="363"/>
      <c r="O938" s="363"/>
      <c r="P938" s="363"/>
      <c r="Q938" s="363"/>
      <c r="R938" s="363"/>
      <c r="S938" s="363"/>
      <c r="T938" s="363"/>
      <c r="U938" s="363"/>
      <c r="V938" s="363"/>
      <c r="W938" s="363"/>
      <c r="X938" s="363"/>
      <c r="Y938" s="363"/>
      <c r="Z938" s="363"/>
      <c r="AA938" s="363"/>
      <c r="AB938" s="363"/>
      <c r="AC938" s="363"/>
      <c r="AD938" s="363"/>
      <c r="AE938" s="363"/>
      <c r="AF938" s="363"/>
      <c r="AG938" s="363"/>
      <c r="AH938" s="363"/>
      <c r="AI938" s="363"/>
      <c r="AJ938" s="363"/>
      <c r="AK938" s="363"/>
      <c r="AL938" s="363"/>
      <c r="AM938" s="363"/>
    </row>
    <row r="939" spans="2:39" ht="12.75" customHeight="1" x14ac:dyDescent="0.2">
      <c r="B939" s="362"/>
      <c r="C939" s="363"/>
      <c r="D939" s="363"/>
      <c r="E939" s="363"/>
      <c r="F939" s="363"/>
      <c r="G939" s="363"/>
      <c r="H939" s="363"/>
      <c r="I939" s="363"/>
      <c r="J939" s="363"/>
      <c r="K939" s="363"/>
      <c r="L939" s="363"/>
      <c r="M939" s="363"/>
      <c r="N939" s="363"/>
      <c r="O939" s="363"/>
      <c r="P939" s="363"/>
      <c r="Q939" s="363"/>
      <c r="R939" s="363"/>
      <c r="S939" s="363"/>
      <c r="T939" s="363"/>
      <c r="U939" s="363"/>
      <c r="V939" s="363"/>
      <c r="W939" s="363"/>
      <c r="X939" s="363"/>
      <c r="Y939" s="363"/>
      <c r="Z939" s="363"/>
      <c r="AA939" s="363"/>
      <c r="AB939" s="363"/>
      <c r="AC939" s="363"/>
      <c r="AD939" s="363"/>
      <c r="AE939" s="363"/>
      <c r="AF939" s="363"/>
      <c r="AG939" s="363"/>
      <c r="AH939" s="363"/>
      <c r="AI939" s="363"/>
      <c r="AJ939" s="363"/>
      <c r="AK939" s="363"/>
      <c r="AL939" s="363"/>
      <c r="AM939" s="363"/>
    </row>
    <row r="940" spans="2:39" ht="12.75" customHeight="1" x14ac:dyDescent="0.2">
      <c r="B940" s="362"/>
      <c r="C940" s="363"/>
      <c r="D940" s="363"/>
      <c r="E940" s="363"/>
      <c r="F940" s="363"/>
      <c r="G940" s="363"/>
      <c r="H940" s="363"/>
      <c r="I940" s="363"/>
      <c r="J940" s="363"/>
      <c r="K940" s="363"/>
      <c r="L940" s="363"/>
      <c r="M940" s="363"/>
      <c r="N940" s="363"/>
      <c r="O940" s="363"/>
      <c r="P940" s="363"/>
      <c r="Q940" s="363"/>
      <c r="R940" s="363"/>
      <c r="S940" s="363"/>
      <c r="T940" s="363"/>
      <c r="U940" s="363"/>
      <c r="V940" s="363"/>
      <c r="W940" s="363"/>
      <c r="X940" s="363"/>
      <c r="Y940" s="363"/>
      <c r="Z940" s="363"/>
      <c r="AA940" s="363"/>
      <c r="AB940" s="363"/>
      <c r="AC940" s="363"/>
      <c r="AD940" s="363"/>
      <c r="AE940" s="363"/>
      <c r="AF940" s="363"/>
      <c r="AG940" s="363"/>
      <c r="AH940" s="363"/>
      <c r="AI940" s="363"/>
      <c r="AJ940" s="363"/>
      <c r="AK940" s="363"/>
      <c r="AL940" s="363"/>
      <c r="AM940" s="363"/>
    </row>
    <row r="941" spans="2:39" ht="12.75" customHeight="1" x14ac:dyDescent="0.2">
      <c r="B941" s="362"/>
      <c r="C941" s="363"/>
      <c r="D941" s="363"/>
      <c r="E941" s="363"/>
      <c r="F941" s="363"/>
      <c r="G941" s="363"/>
      <c r="H941" s="363"/>
      <c r="I941" s="363"/>
      <c r="J941" s="363"/>
      <c r="K941" s="363"/>
      <c r="L941" s="363"/>
      <c r="M941" s="363"/>
      <c r="N941" s="363"/>
      <c r="O941" s="363"/>
      <c r="P941" s="363"/>
      <c r="Q941" s="363"/>
      <c r="R941" s="363"/>
      <c r="S941" s="363"/>
      <c r="T941" s="363"/>
      <c r="U941" s="363"/>
      <c r="V941" s="363"/>
      <c r="W941" s="363"/>
      <c r="X941" s="363"/>
      <c r="Y941" s="363"/>
      <c r="Z941" s="363"/>
      <c r="AA941" s="363"/>
      <c r="AB941" s="363"/>
      <c r="AC941" s="363"/>
      <c r="AD941" s="363"/>
      <c r="AE941" s="363"/>
      <c r="AF941" s="363"/>
      <c r="AG941" s="363"/>
      <c r="AH941" s="363"/>
      <c r="AI941" s="363"/>
      <c r="AJ941" s="363"/>
      <c r="AK941" s="363"/>
      <c r="AL941" s="363"/>
      <c r="AM941" s="363"/>
    </row>
    <row r="942" spans="2:39" ht="12.75" customHeight="1" x14ac:dyDescent="0.2">
      <c r="B942" s="362"/>
      <c r="C942" s="363"/>
      <c r="D942" s="363"/>
      <c r="E942" s="363"/>
      <c r="F942" s="363"/>
      <c r="G942" s="363"/>
      <c r="H942" s="363"/>
      <c r="I942" s="363"/>
      <c r="J942" s="363"/>
      <c r="K942" s="363"/>
      <c r="L942" s="363"/>
      <c r="M942" s="363"/>
      <c r="N942" s="363"/>
      <c r="O942" s="363"/>
      <c r="P942" s="363"/>
      <c r="Q942" s="363"/>
      <c r="R942" s="363"/>
      <c r="S942" s="363"/>
      <c r="T942" s="363"/>
      <c r="U942" s="363"/>
      <c r="V942" s="363"/>
      <c r="W942" s="363"/>
      <c r="X942" s="363"/>
      <c r="Y942" s="363"/>
      <c r="Z942" s="363"/>
      <c r="AA942" s="363"/>
      <c r="AB942" s="363"/>
      <c r="AC942" s="363"/>
      <c r="AD942" s="363"/>
      <c r="AE942" s="363"/>
      <c r="AF942" s="363"/>
      <c r="AG942" s="363"/>
      <c r="AH942" s="363"/>
      <c r="AI942" s="363"/>
      <c r="AJ942" s="363"/>
      <c r="AK942" s="363"/>
      <c r="AL942" s="363"/>
      <c r="AM942" s="363"/>
    </row>
    <row r="943" spans="2:39" ht="12.75" customHeight="1" x14ac:dyDescent="0.2">
      <c r="B943" s="362"/>
      <c r="C943" s="363"/>
      <c r="D943" s="363"/>
      <c r="E943" s="363"/>
      <c r="F943" s="363"/>
      <c r="G943" s="363"/>
      <c r="H943" s="363"/>
      <c r="I943" s="363"/>
      <c r="J943" s="363"/>
      <c r="K943" s="363"/>
      <c r="L943" s="363"/>
      <c r="M943" s="363"/>
      <c r="N943" s="363"/>
      <c r="O943" s="363"/>
      <c r="P943" s="363"/>
      <c r="Q943" s="363"/>
      <c r="R943" s="363"/>
      <c r="S943" s="363"/>
      <c r="T943" s="363"/>
      <c r="U943" s="363"/>
      <c r="V943" s="363"/>
      <c r="W943" s="363"/>
      <c r="X943" s="363"/>
      <c r="Y943" s="363"/>
      <c r="Z943" s="363"/>
      <c r="AA943" s="363"/>
      <c r="AB943" s="363"/>
      <c r="AC943" s="363"/>
      <c r="AD943" s="363"/>
      <c r="AE943" s="363"/>
      <c r="AF943" s="363"/>
      <c r="AG943" s="363"/>
      <c r="AH943" s="363"/>
      <c r="AI943" s="363"/>
      <c r="AJ943" s="363"/>
      <c r="AK943" s="363"/>
      <c r="AL943" s="363"/>
      <c r="AM943" s="363"/>
    </row>
    <row r="944" spans="2:39" ht="12.75" customHeight="1" x14ac:dyDescent="0.2">
      <c r="B944" s="362"/>
      <c r="C944" s="363"/>
      <c r="D944" s="363"/>
      <c r="E944" s="363"/>
      <c r="F944" s="363"/>
      <c r="G944" s="363"/>
      <c r="H944" s="363"/>
      <c r="I944" s="363"/>
      <c r="J944" s="363"/>
      <c r="K944" s="363"/>
      <c r="L944" s="363"/>
      <c r="M944" s="363"/>
      <c r="N944" s="363"/>
      <c r="O944" s="363"/>
      <c r="P944" s="363"/>
      <c r="Q944" s="363"/>
      <c r="R944" s="363"/>
      <c r="S944" s="363"/>
      <c r="T944" s="363"/>
      <c r="U944" s="363"/>
      <c r="V944" s="363"/>
      <c r="W944" s="363"/>
      <c r="X944" s="363"/>
      <c r="Y944" s="363"/>
      <c r="Z944" s="363"/>
      <c r="AA944" s="363"/>
      <c r="AB944" s="363"/>
      <c r="AC944" s="363"/>
      <c r="AD944" s="363"/>
      <c r="AE944" s="363"/>
      <c r="AF944" s="363"/>
      <c r="AG944" s="363"/>
      <c r="AH944" s="363"/>
      <c r="AI944" s="363"/>
      <c r="AJ944" s="363"/>
      <c r="AK944" s="363"/>
      <c r="AL944" s="363"/>
      <c r="AM944" s="363"/>
    </row>
    <row r="945" spans="2:39" ht="12.75" customHeight="1" x14ac:dyDescent="0.2">
      <c r="B945" s="362"/>
      <c r="C945" s="363"/>
      <c r="D945" s="363"/>
      <c r="E945" s="363"/>
      <c r="F945" s="363"/>
      <c r="G945" s="363"/>
      <c r="H945" s="363"/>
      <c r="I945" s="363"/>
      <c r="J945" s="363"/>
      <c r="K945" s="363"/>
      <c r="L945" s="363"/>
      <c r="M945" s="363"/>
      <c r="N945" s="363"/>
      <c r="O945" s="363"/>
      <c r="P945" s="363"/>
      <c r="Q945" s="363"/>
      <c r="R945" s="363"/>
      <c r="S945" s="363"/>
      <c r="T945" s="363"/>
      <c r="U945" s="363"/>
      <c r="V945" s="363"/>
      <c r="W945" s="363"/>
      <c r="X945" s="363"/>
      <c r="Y945" s="363"/>
      <c r="Z945" s="363"/>
      <c r="AA945" s="363"/>
      <c r="AB945" s="363"/>
      <c r="AC945" s="363"/>
      <c r="AD945" s="363"/>
      <c r="AE945" s="363"/>
      <c r="AF945" s="363"/>
      <c r="AG945" s="363"/>
      <c r="AH945" s="363"/>
      <c r="AI945" s="363"/>
      <c r="AJ945" s="363"/>
      <c r="AK945" s="363"/>
      <c r="AL945" s="363"/>
      <c r="AM945" s="363"/>
    </row>
    <row r="946" spans="2:39" ht="12.75" customHeight="1" x14ac:dyDescent="0.2">
      <c r="B946" s="362"/>
      <c r="C946" s="363"/>
      <c r="D946" s="363"/>
      <c r="E946" s="363"/>
      <c r="F946" s="363"/>
      <c r="G946" s="363"/>
      <c r="H946" s="363"/>
      <c r="I946" s="363"/>
      <c r="J946" s="363"/>
      <c r="K946" s="363"/>
      <c r="L946" s="363"/>
      <c r="M946" s="363"/>
      <c r="N946" s="363"/>
      <c r="O946" s="363"/>
      <c r="P946" s="363"/>
      <c r="Q946" s="363"/>
      <c r="R946" s="363"/>
      <c r="S946" s="363"/>
      <c r="T946" s="363"/>
      <c r="U946" s="363"/>
      <c r="V946" s="363"/>
      <c r="W946" s="363"/>
      <c r="X946" s="363"/>
      <c r="Y946" s="363"/>
      <c r="Z946" s="363"/>
      <c r="AA946" s="363"/>
      <c r="AB946" s="363"/>
      <c r="AC946" s="363"/>
      <c r="AD946" s="363"/>
      <c r="AE946" s="363"/>
      <c r="AF946" s="363"/>
      <c r="AG946" s="363"/>
      <c r="AH946" s="363"/>
      <c r="AI946" s="363"/>
      <c r="AJ946" s="363"/>
      <c r="AK946" s="363"/>
      <c r="AL946" s="363"/>
      <c r="AM946" s="363"/>
    </row>
    <row r="947" spans="2:39" ht="12.75" customHeight="1" x14ac:dyDescent="0.2">
      <c r="B947" s="362"/>
      <c r="C947" s="363"/>
      <c r="D947" s="363"/>
      <c r="E947" s="363"/>
      <c r="F947" s="363"/>
      <c r="G947" s="363"/>
      <c r="H947" s="363"/>
      <c r="I947" s="363"/>
      <c r="J947" s="363"/>
      <c r="K947" s="363"/>
      <c r="L947" s="363"/>
      <c r="M947" s="363"/>
      <c r="N947" s="363"/>
      <c r="O947" s="363"/>
      <c r="P947" s="363"/>
      <c r="Q947" s="363"/>
      <c r="R947" s="363"/>
      <c r="S947" s="363"/>
      <c r="T947" s="363"/>
      <c r="U947" s="363"/>
      <c r="V947" s="363"/>
      <c r="W947" s="363"/>
      <c r="X947" s="363"/>
      <c r="Y947" s="363"/>
      <c r="Z947" s="363"/>
      <c r="AA947" s="363"/>
      <c r="AB947" s="363"/>
      <c r="AC947" s="363"/>
      <c r="AD947" s="363"/>
      <c r="AE947" s="363"/>
      <c r="AF947" s="363"/>
      <c r="AG947" s="363"/>
      <c r="AH947" s="363"/>
      <c r="AI947" s="363"/>
      <c r="AJ947" s="363"/>
      <c r="AK947" s="363"/>
      <c r="AL947" s="363"/>
      <c r="AM947" s="363"/>
    </row>
    <row r="948" spans="2:39" ht="12.75" customHeight="1" x14ac:dyDescent="0.2">
      <c r="B948" s="362"/>
      <c r="C948" s="363"/>
      <c r="D948" s="363"/>
      <c r="E948" s="363"/>
      <c r="F948" s="363"/>
      <c r="G948" s="363"/>
      <c r="H948" s="363"/>
      <c r="I948" s="363"/>
      <c r="J948" s="363"/>
      <c r="K948" s="363"/>
      <c r="L948" s="363"/>
      <c r="M948" s="363"/>
      <c r="N948" s="363"/>
      <c r="O948" s="363"/>
      <c r="P948" s="363"/>
      <c r="Q948" s="363"/>
      <c r="R948" s="363"/>
      <c r="S948" s="363"/>
      <c r="T948" s="363"/>
      <c r="U948" s="363"/>
      <c r="V948" s="363"/>
      <c r="W948" s="363"/>
      <c r="X948" s="363"/>
      <c r="Y948" s="363"/>
      <c r="Z948" s="363"/>
      <c r="AA948" s="363"/>
      <c r="AB948" s="363"/>
      <c r="AC948" s="363"/>
      <c r="AD948" s="363"/>
      <c r="AE948" s="363"/>
      <c r="AF948" s="363"/>
      <c r="AG948" s="363"/>
      <c r="AH948" s="363"/>
      <c r="AI948" s="363"/>
      <c r="AJ948" s="363"/>
      <c r="AK948" s="363"/>
      <c r="AL948" s="363"/>
      <c r="AM948" s="363"/>
    </row>
    <row r="949" spans="2:39" ht="12.75" customHeight="1" x14ac:dyDescent="0.2">
      <c r="B949" s="362"/>
      <c r="C949" s="363"/>
      <c r="D949" s="363"/>
      <c r="E949" s="363"/>
      <c r="F949" s="363"/>
      <c r="G949" s="363"/>
      <c r="H949" s="363"/>
      <c r="I949" s="363"/>
      <c r="J949" s="363"/>
      <c r="K949" s="363"/>
      <c r="L949" s="363"/>
      <c r="M949" s="363"/>
      <c r="N949" s="363"/>
      <c r="O949" s="363"/>
      <c r="P949" s="363"/>
      <c r="Q949" s="363"/>
      <c r="R949" s="363"/>
      <c r="S949" s="363"/>
      <c r="T949" s="363"/>
      <c r="U949" s="363"/>
      <c r="V949" s="363"/>
      <c r="W949" s="363"/>
      <c r="X949" s="363"/>
      <c r="Y949" s="363"/>
      <c r="Z949" s="363"/>
      <c r="AA949" s="363"/>
      <c r="AB949" s="363"/>
      <c r="AC949" s="363"/>
      <c r="AD949" s="363"/>
      <c r="AE949" s="363"/>
      <c r="AF949" s="363"/>
      <c r="AG949" s="363"/>
      <c r="AH949" s="363"/>
      <c r="AI949" s="363"/>
      <c r="AJ949" s="363"/>
      <c r="AK949" s="363"/>
      <c r="AL949" s="363"/>
      <c r="AM949" s="363"/>
    </row>
    <row r="950" spans="2:39" ht="12.75" customHeight="1" x14ac:dyDescent="0.2">
      <c r="B950" s="362"/>
      <c r="C950" s="363"/>
      <c r="D950" s="363"/>
      <c r="E950" s="363"/>
      <c r="F950" s="363"/>
      <c r="G950" s="363"/>
      <c r="H950" s="363"/>
      <c r="I950" s="363"/>
      <c r="J950" s="363"/>
      <c r="K950" s="363"/>
      <c r="L950" s="363"/>
      <c r="M950" s="363"/>
      <c r="N950" s="363"/>
      <c r="O950" s="363"/>
      <c r="P950" s="363"/>
      <c r="Q950" s="363"/>
      <c r="R950" s="363"/>
      <c r="S950" s="363"/>
      <c r="T950" s="363"/>
      <c r="U950" s="363"/>
      <c r="V950" s="363"/>
      <c r="W950" s="363"/>
      <c r="X950" s="363"/>
      <c r="Y950" s="363"/>
      <c r="Z950" s="363"/>
      <c r="AA950" s="363"/>
      <c r="AB950" s="363"/>
      <c r="AC950" s="363"/>
      <c r="AD950" s="363"/>
      <c r="AE950" s="363"/>
      <c r="AF950" s="363"/>
      <c r="AG950" s="363"/>
      <c r="AH950" s="363"/>
      <c r="AI950" s="363"/>
      <c r="AJ950" s="363"/>
      <c r="AK950" s="363"/>
      <c r="AL950" s="363"/>
      <c r="AM950" s="363"/>
    </row>
    <row r="951" spans="2:39" ht="12.75" customHeight="1" x14ac:dyDescent="0.2">
      <c r="B951" s="362"/>
      <c r="C951" s="363"/>
      <c r="D951" s="363"/>
      <c r="E951" s="363"/>
      <c r="F951" s="363"/>
      <c r="G951" s="363"/>
      <c r="H951" s="363"/>
      <c r="I951" s="363"/>
      <c r="J951" s="363"/>
      <c r="K951" s="363"/>
      <c r="L951" s="363"/>
      <c r="M951" s="363"/>
      <c r="N951" s="363"/>
      <c r="O951" s="363"/>
      <c r="P951" s="363"/>
      <c r="Q951" s="363"/>
      <c r="R951" s="363"/>
      <c r="S951" s="363"/>
      <c r="T951" s="363"/>
      <c r="U951" s="363"/>
      <c r="V951" s="363"/>
      <c r="W951" s="363"/>
      <c r="X951" s="363"/>
      <c r="Y951" s="363"/>
      <c r="Z951" s="363"/>
      <c r="AA951" s="363"/>
      <c r="AB951" s="363"/>
      <c r="AC951" s="363"/>
      <c r="AD951" s="363"/>
      <c r="AE951" s="363"/>
      <c r="AF951" s="363"/>
      <c r="AG951" s="363"/>
      <c r="AH951" s="363"/>
      <c r="AI951" s="363"/>
      <c r="AJ951" s="363"/>
      <c r="AK951" s="363"/>
      <c r="AL951" s="363"/>
      <c r="AM951" s="363"/>
    </row>
    <row r="952" spans="2:39" ht="12.75" customHeight="1" x14ac:dyDescent="0.2">
      <c r="B952" s="362"/>
      <c r="C952" s="363"/>
      <c r="D952" s="363"/>
      <c r="E952" s="363"/>
      <c r="F952" s="363"/>
      <c r="G952" s="363"/>
      <c r="H952" s="363"/>
      <c r="I952" s="363"/>
      <c r="J952" s="363"/>
      <c r="K952" s="363"/>
      <c r="L952" s="363"/>
      <c r="M952" s="363"/>
      <c r="N952" s="363"/>
      <c r="O952" s="363"/>
      <c r="P952" s="363"/>
      <c r="Q952" s="363"/>
      <c r="R952" s="363"/>
      <c r="S952" s="363"/>
      <c r="T952" s="363"/>
      <c r="U952" s="363"/>
      <c r="V952" s="363"/>
      <c r="W952" s="363"/>
      <c r="X952" s="363"/>
      <c r="Y952" s="363"/>
      <c r="Z952" s="363"/>
      <c r="AA952" s="363"/>
      <c r="AB952" s="363"/>
      <c r="AC952" s="363"/>
      <c r="AD952" s="363"/>
      <c r="AE952" s="363"/>
      <c r="AF952" s="363"/>
      <c r="AG952" s="363"/>
      <c r="AH952" s="363"/>
      <c r="AI952" s="363"/>
      <c r="AJ952" s="363"/>
      <c r="AK952" s="363"/>
      <c r="AL952" s="363"/>
      <c r="AM952" s="363"/>
    </row>
    <row r="953" spans="2:39" ht="12.75" customHeight="1" x14ac:dyDescent="0.2">
      <c r="B953" s="362"/>
      <c r="C953" s="363"/>
      <c r="D953" s="363"/>
      <c r="E953" s="363"/>
      <c r="F953" s="363"/>
      <c r="G953" s="363"/>
      <c r="H953" s="363"/>
      <c r="I953" s="363"/>
      <c r="J953" s="363"/>
      <c r="K953" s="363"/>
      <c r="L953" s="363"/>
      <c r="M953" s="363"/>
      <c r="N953" s="363"/>
      <c r="O953" s="363"/>
      <c r="P953" s="363"/>
      <c r="Q953" s="363"/>
      <c r="R953" s="363"/>
      <c r="S953" s="363"/>
      <c r="T953" s="363"/>
      <c r="U953" s="363"/>
      <c r="V953" s="363"/>
      <c r="W953" s="363"/>
      <c r="X953" s="363"/>
      <c r="Y953" s="363"/>
      <c r="Z953" s="363"/>
      <c r="AA953" s="363"/>
      <c r="AB953" s="363"/>
      <c r="AC953" s="363"/>
      <c r="AD953" s="363"/>
      <c r="AE953" s="363"/>
      <c r="AF953" s="363"/>
      <c r="AG953" s="363"/>
      <c r="AH953" s="363"/>
      <c r="AI953" s="363"/>
      <c r="AJ953" s="363"/>
      <c r="AK953" s="363"/>
      <c r="AL953" s="363"/>
      <c r="AM953" s="363"/>
    </row>
    <row r="954" spans="2:39" ht="12.75" customHeight="1" x14ac:dyDescent="0.2">
      <c r="B954" s="362"/>
      <c r="C954" s="363"/>
      <c r="D954" s="363"/>
      <c r="E954" s="363"/>
      <c r="F954" s="363"/>
      <c r="G954" s="363"/>
      <c r="H954" s="363"/>
      <c r="I954" s="363"/>
      <c r="J954" s="363"/>
      <c r="K954" s="363"/>
      <c r="L954" s="363"/>
      <c r="M954" s="363"/>
      <c r="N954" s="363"/>
      <c r="O954" s="363"/>
      <c r="P954" s="363"/>
      <c r="Q954" s="363"/>
      <c r="R954" s="363"/>
      <c r="S954" s="363"/>
      <c r="T954" s="363"/>
      <c r="U954" s="363"/>
      <c r="V954" s="363"/>
      <c r="W954" s="363"/>
      <c r="X954" s="363"/>
      <c r="Y954" s="363"/>
      <c r="Z954" s="363"/>
      <c r="AA954" s="363"/>
      <c r="AB954" s="363"/>
      <c r="AC954" s="363"/>
      <c r="AD954" s="363"/>
      <c r="AE954" s="363"/>
      <c r="AF954" s="363"/>
      <c r="AG954" s="363"/>
      <c r="AH954" s="363"/>
      <c r="AI954" s="363"/>
      <c r="AJ954" s="363"/>
      <c r="AK954" s="363"/>
      <c r="AL954" s="363"/>
      <c r="AM954" s="363"/>
    </row>
    <row r="955" spans="2:39" ht="12.75" customHeight="1" x14ac:dyDescent="0.2">
      <c r="B955" s="362"/>
      <c r="C955" s="363"/>
      <c r="D955" s="363"/>
      <c r="E955" s="363"/>
      <c r="F955" s="363"/>
      <c r="G955" s="363"/>
      <c r="H955" s="363"/>
      <c r="I955" s="363"/>
      <c r="J955" s="363"/>
      <c r="K955" s="363"/>
      <c r="L955" s="363"/>
      <c r="M955" s="363"/>
      <c r="N955" s="363"/>
      <c r="O955" s="363"/>
      <c r="P955" s="363"/>
      <c r="Q955" s="363"/>
      <c r="R955" s="363"/>
      <c r="S955" s="363"/>
      <c r="T955" s="363"/>
      <c r="U955" s="363"/>
      <c r="V955" s="363"/>
      <c r="W955" s="363"/>
      <c r="X955" s="363"/>
      <c r="Y955" s="363"/>
      <c r="Z955" s="363"/>
      <c r="AA955" s="363"/>
      <c r="AB955" s="363"/>
      <c r="AC955" s="363"/>
      <c r="AD955" s="363"/>
      <c r="AE955" s="363"/>
      <c r="AF955" s="363"/>
      <c r="AG955" s="363"/>
      <c r="AH955" s="363"/>
      <c r="AI955" s="363"/>
      <c r="AJ955" s="363"/>
      <c r="AK955" s="363"/>
      <c r="AL955" s="363"/>
      <c r="AM955" s="363"/>
    </row>
    <row r="956" spans="2:39" ht="12.75" customHeight="1" x14ac:dyDescent="0.2">
      <c r="B956" s="362"/>
      <c r="C956" s="363"/>
      <c r="D956" s="363"/>
      <c r="E956" s="363"/>
      <c r="F956" s="363"/>
      <c r="G956" s="363"/>
      <c r="H956" s="363"/>
      <c r="I956" s="363"/>
      <c r="J956" s="363"/>
      <c r="K956" s="363"/>
      <c r="L956" s="363"/>
      <c r="M956" s="363"/>
      <c r="N956" s="363"/>
      <c r="O956" s="363"/>
      <c r="P956" s="363"/>
      <c r="Q956" s="363"/>
      <c r="R956" s="363"/>
      <c r="S956" s="363"/>
      <c r="T956" s="363"/>
      <c r="U956" s="363"/>
      <c r="V956" s="363"/>
      <c r="W956" s="363"/>
      <c r="X956" s="363"/>
      <c r="Y956" s="363"/>
      <c r="Z956" s="363"/>
      <c r="AA956" s="363"/>
      <c r="AB956" s="363"/>
      <c r="AC956" s="363"/>
      <c r="AD956" s="363"/>
      <c r="AE956" s="363"/>
      <c r="AF956" s="363"/>
      <c r="AG956" s="363"/>
      <c r="AH956" s="363"/>
      <c r="AI956" s="363"/>
      <c r="AJ956" s="363"/>
      <c r="AK956" s="363"/>
      <c r="AL956" s="363"/>
      <c r="AM956" s="363"/>
    </row>
    <row r="957" spans="2:39" ht="12.75" customHeight="1" x14ac:dyDescent="0.2">
      <c r="B957" s="362"/>
      <c r="C957" s="363"/>
      <c r="D957" s="363"/>
      <c r="E957" s="363"/>
      <c r="F957" s="363"/>
      <c r="G957" s="363"/>
      <c r="H957" s="363"/>
      <c r="I957" s="363"/>
      <c r="J957" s="363"/>
      <c r="K957" s="363"/>
      <c r="L957" s="363"/>
      <c r="M957" s="363"/>
      <c r="N957" s="363"/>
      <c r="O957" s="363"/>
      <c r="P957" s="363"/>
      <c r="Q957" s="363"/>
      <c r="R957" s="363"/>
      <c r="S957" s="363"/>
      <c r="T957" s="363"/>
      <c r="U957" s="363"/>
      <c r="V957" s="363"/>
      <c r="W957" s="363"/>
      <c r="X957" s="363"/>
      <c r="Y957" s="363"/>
      <c r="Z957" s="363"/>
      <c r="AA957" s="363"/>
      <c r="AB957" s="363"/>
      <c r="AC957" s="363"/>
      <c r="AD957" s="363"/>
      <c r="AE957" s="363"/>
      <c r="AF957" s="363"/>
      <c r="AG957" s="363"/>
      <c r="AH957" s="363"/>
      <c r="AI957" s="363"/>
      <c r="AJ957" s="363"/>
      <c r="AK957" s="363"/>
      <c r="AL957" s="363"/>
      <c r="AM957" s="363"/>
    </row>
    <row r="958" spans="2:39" ht="12.75" customHeight="1" x14ac:dyDescent="0.2">
      <c r="B958" s="362"/>
      <c r="C958" s="363"/>
      <c r="D958" s="363"/>
      <c r="E958" s="363"/>
      <c r="F958" s="363"/>
      <c r="G958" s="363"/>
      <c r="H958" s="363"/>
      <c r="I958" s="363"/>
      <c r="J958" s="363"/>
      <c r="K958" s="363"/>
      <c r="L958" s="363"/>
      <c r="M958" s="363"/>
      <c r="N958" s="363"/>
      <c r="O958" s="363"/>
      <c r="P958" s="363"/>
      <c r="Q958" s="363"/>
      <c r="R958" s="363"/>
      <c r="S958" s="363"/>
      <c r="T958" s="363"/>
      <c r="U958" s="363"/>
      <c r="V958" s="363"/>
      <c r="W958" s="363"/>
      <c r="X958" s="363"/>
      <c r="Y958" s="363"/>
      <c r="Z958" s="363"/>
      <c r="AA958" s="363"/>
      <c r="AB958" s="363"/>
      <c r="AC958" s="363"/>
      <c r="AD958" s="363"/>
      <c r="AE958" s="363"/>
      <c r="AF958" s="363"/>
      <c r="AG958" s="363"/>
      <c r="AH958" s="363"/>
      <c r="AI958" s="363"/>
      <c r="AJ958" s="363"/>
      <c r="AK958" s="363"/>
      <c r="AL958" s="363"/>
      <c r="AM958" s="363"/>
    </row>
    <row r="959" spans="2:39" ht="12.75" customHeight="1" x14ac:dyDescent="0.2">
      <c r="B959" s="362"/>
      <c r="C959" s="363"/>
      <c r="D959" s="363"/>
      <c r="E959" s="363"/>
      <c r="F959" s="363"/>
      <c r="G959" s="363"/>
      <c r="H959" s="363"/>
      <c r="I959" s="363"/>
      <c r="J959" s="363"/>
      <c r="K959" s="363"/>
      <c r="L959" s="363"/>
      <c r="M959" s="363"/>
      <c r="N959" s="363"/>
      <c r="O959" s="363"/>
      <c r="P959" s="363"/>
      <c r="Q959" s="363"/>
      <c r="R959" s="363"/>
      <c r="S959" s="363"/>
      <c r="T959" s="363"/>
      <c r="U959" s="363"/>
      <c r="V959" s="363"/>
      <c r="W959" s="363"/>
      <c r="X959" s="363"/>
      <c r="Y959" s="363"/>
      <c r="Z959" s="363"/>
      <c r="AA959" s="363"/>
      <c r="AB959" s="363"/>
      <c r="AC959" s="363"/>
      <c r="AD959" s="363"/>
      <c r="AE959" s="363"/>
      <c r="AF959" s="363"/>
      <c r="AG959" s="363"/>
      <c r="AH959" s="363"/>
      <c r="AI959" s="363"/>
      <c r="AJ959" s="363"/>
      <c r="AK959" s="363"/>
      <c r="AL959" s="363"/>
      <c r="AM959" s="363"/>
    </row>
    <row r="960" spans="2:39" ht="12.75" customHeight="1" x14ac:dyDescent="0.2">
      <c r="B960" s="362"/>
      <c r="C960" s="363"/>
      <c r="D960" s="363"/>
      <c r="E960" s="363"/>
      <c r="F960" s="363"/>
      <c r="G960" s="363"/>
      <c r="H960" s="363"/>
      <c r="I960" s="363"/>
      <c r="J960" s="363"/>
      <c r="K960" s="363"/>
      <c r="L960" s="363"/>
      <c r="M960" s="363"/>
      <c r="N960" s="363"/>
      <c r="O960" s="363"/>
      <c r="P960" s="363"/>
      <c r="Q960" s="363"/>
      <c r="R960" s="363"/>
      <c r="S960" s="363"/>
      <c r="T960" s="363"/>
      <c r="U960" s="363"/>
      <c r="V960" s="363"/>
      <c r="W960" s="363"/>
      <c r="X960" s="363"/>
      <c r="Y960" s="363"/>
      <c r="Z960" s="363"/>
      <c r="AA960" s="363"/>
      <c r="AB960" s="363"/>
      <c r="AC960" s="363"/>
      <c r="AD960" s="363"/>
      <c r="AE960" s="363"/>
      <c r="AF960" s="363"/>
      <c r="AG960" s="363"/>
      <c r="AH960" s="363"/>
      <c r="AI960" s="363"/>
      <c r="AJ960" s="363"/>
      <c r="AK960" s="363"/>
      <c r="AL960" s="363"/>
      <c r="AM960" s="363"/>
    </row>
    <row r="961" spans="2:39" ht="12.75" customHeight="1" x14ac:dyDescent="0.2">
      <c r="B961" s="362"/>
      <c r="C961" s="363"/>
      <c r="D961" s="363"/>
      <c r="E961" s="363"/>
      <c r="F961" s="363"/>
      <c r="G961" s="363"/>
      <c r="H961" s="363"/>
      <c r="I961" s="363"/>
      <c r="J961" s="363"/>
      <c r="K961" s="363"/>
      <c r="L961" s="363"/>
      <c r="M961" s="363"/>
      <c r="N961" s="363"/>
      <c r="O961" s="363"/>
      <c r="P961" s="363"/>
      <c r="Q961" s="363"/>
      <c r="R961" s="363"/>
      <c r="S961" s="363"/>
      <c r="T961" s="363"/>
      <c r="U961" s="363"/>
      <c r="V961" s="363"/>
      <c r="W961" s="363"/>
      <c r="X961" s="363"/>
      <c r="Y961" s="363"/>
      <c r="Z961" s="363"/>
      <c r="AA961" s="363"/>
      <c r="AB961" s="363"/>
      <c r="AC961" s="363"/>
      <c r="AD961" s="363"/>
      <c r="AE961" s="363"/>
      <c r="AF961" s="363"/>
      <c r="AG961" s="363"/>
      <c r="AH961" s="363"/>
      <c r="AI961" s="363"/>
      <c r="AJ961" s="363"/>
      <c r="AK961" s="363"/>
      <c r="AL961" s="363"/>
      <c r="AM961" s="363"/>
    </row>
    <row r="962" spans="2:39" ht="12.75" customHeight="1" x14ac:dyDescent="0.2">
      <c r="B962" s="362"/>
      <c r="C962" s="363"/>
      <c r="D962" s="363"/>
      <c r="E962" s="363"/>
      <c r="F962" s="363"/>
      <c r="G962" s="363"/>
      <c r="H962" s="363"/>
      <c r="I962" s="363"/>
      <c r="J962" s="363"/>
      <c r="K962" s="363"/>
      <c r="L962" s="363"/>
      <c r="M962" s="363"/>
      <c r="N962" s="363"/>
      <c r="O962" s="363"/>
      <c r="P962" s="363"/>
      <c r="Q962" s="363"/>
      <c r="R962" s="363"/>
      <c r="S962" s="363"/>
      <c r="T962" s="363"/>
      <c r="U962" s="363"/>
      <c r="V962" s="363"/>
      <c r="W962" s="363"/>
      <c r="X962" s="363"/>
      <c r="Y962" s="363"/>
      <c r="Z962" s="363"/>
      <c r="AA962" s="363"/>
      <c r="AB962" s="363"/>
      <c r="AC962" s="363"/>
      <c r="AD962" s="363"/>
      <c r="AE962" s="363"/>
      <c r="AF962" s="363"/>
      <c r="AG962" s="363"/>
      <c r="AH962" s="363"/>
      <c r="AI962" s="363"/>
      <c r="AJ962" s="363"/>
      <c r="AK962" s="363"/>
      <c r="AL962" s="363"/>
      <c r="AM962" s="363"/>
    </row>
    <row r="963" spans="2:39" ht="12.75" customHeight="1" x14ac:dyDescent="0.2">
      <c r="B963" s="362"/>
      <c r="C963" s="363"/>
      <c r="D963" s="363"/>
      <c r="E963" s="363"/>
      <c r="F963" s="363"/>
      <c r="G963" s="363"/>
      <c r="H963" s="363"/>
      <c r="I963" s="363"/>
      <c r="J963" s="363"/>
      <c r="K963" s="363"/>
      <c r="L963" s="363"/>
      <c r="M963" s="363"/>
      <c r="N963" s="363"/>
      <c r="O963" s="363"/>
      <c r="P963" s="363"/>
      <c r="Q963" s="363"/>
      <c r="R963" s="363"/>
      <c r="S963" s="363"/>
      <c r="T963" s="363"/>
      <c r="U963" s="363"/>
      <c r="V963" s="363"/>
      <c r="W963" s="363"/>
      <c r="X963" s="363"/>
      <c r="Y963" s="363"/>
      <c r="Z963" s="363"/>
      <c r="AA963" s="363"/>
      <c r="AB963" s="363"/>
      <c r="AC963" s="363"/>
      <c r="AD963" s="363"/>
      <c r="AE963" s="363"/>
      <c r="AF963" s="363"/>
      <c r="AG963" s="363"/>
      <c r="AH963" s="363"/>
      <c r="AI963" s="363"/>
      <c r="AJ963" s="363"/>
      <c r="AK963" s="363"/>
      <c r="AL963" s="363"/>
      <c r="AM963" s="363"/>
    </row>
    <row r="964" spans="2:39" ht="12.75" customHeight="1" x14ac:dyDescent="0.2">
      <c r="B964" s="362"/>
      <c r="C964" s="363"/>
      <c r="D964" s="363"/>
      <c r="E964" s="363"/>
      <c r="F964" s="363"/>
      <c r="G964" s="363"/>
      <c r="H964" s="363"/>
      <c r="I964" s="363"/>
      <c r="J964" s="363"/>
      <c r="K964" s="363"/>
      <c r="L964" s="363"/>
      <c r="M964" s="363"/>
      <c r="N964" s="363"/>
      <c r="O964" s="363"/>
      <c r="P964" s="363"/>
      <c r="Q964" s="363"/>
      <c r="R964" s="363"/>
      <c r="S964" s="363"/>
      <c r="T964" s="363"/>
      <c r="U964" s="363"/>
      <c r="V964" s="363"/>
      <c r="W964" s="363"/>
      <c r="X964" s="363"/>
      <c r="Y964" s="363"/>
      <c r="Z964" s="363"/>
      <c r="AA964" s="363"/>
      <c r="AB964" s="363"/>
      <c r="AC964" s="363"/>
      <c r="AD964" s="363"/>
      <c r="AE964" s="363"/>
      <c r="AF964" s="363"/>
      <c r="AG964" s="363"/>
      <c r="AH964" s="363"/>
      <c r="AI964" s="363"/>
      <c r="AJ964" s="363"/>
      <c r="AK964" s="363"/>
      <c r="AL964" s="363"/>
      <c r="AM964" s="363"/>
    </row>
    <row r="965" spans="2:39" ht="12.75" customHeight="1" x14ac:dyDescent="0.2">
      <c r="B965" s="362"/>
      <c r="C965" s="363"/>
      <c r="D965" s="363"/>
      <c r="E965" s="363"/>
      <c r="F965" s="363"/>
      <c r="G965" s="363"/>
      <c r="H965" s="363"/>
      <c r="I965" s="363"/>
      <c r="J965" s="363"/>
      <c r="K965" s="363"/>
      <c r="L965" s="363"/>
      <c r="M965" s="363"/>
      <c r="N965" s="363"/>
      <c r="O965" s="363"/>
      <c r="P965" s="363"/>
      <c r="Q965" s="363"/>
      <c r="R965" s="363"/>
      <c r="S965" s="363"/>
      <c r="T965" s="363"/>
      <c r="U965" s="363"/>
      <c r="V965" s="363"/>
      <c r="W965" s="363"/>
      <c r="X965" s="363"/>
      <c r="Y965" s="363"/>
      <c r="Z965" s="363"/>
      <c r="AA965" s="363"/>
      <c r="AB965" s="363"/>
      <c r="AC965" s="363"/>
      <c r="AD965" s="363"/>
      <c r="AE965" s="363"/>
      <c r="AF965" s="363"/>
      <c r="AG965" s="363"/>
      <c r="AH965" s="363"/>
      <c r="AI965" s="363"/>
      <c r="AJ965" s="363"/>
      <c r="AK965" s="363"/>
      <c r="AL965" s="363"/>
      <c r="AM965" s="363"/>
    </row>
    <row r="966" spans="2:39" ht="12.75" customHeight="1" x14ac:dyDescent="0.2">
      <c r="B966" s="362"/>
      <c r="C966" s="363"/>
      <c r="D966" s="363"/>
      <c r="E966" s="363"/>
      <c r="F966" s="363"/>
      <c r="G966" s="363"/>
      <c r="H966" s="363"/>
      <c r="I966" s="363"/>
      <c r="J966" s="363"/>
      <c r="K966" s="363"/>
      <c r="L966" s="363"/>
      <c r="M966" s="363"/>
      <c r="N966" s="363"/>
      <c r="O966" s="363"/>
      <c r="P966" s="363"/>
      <c r="Q966" s="363"/>
      <c r="R966" s="363"/>
      <c r="S966" s="363"/>
      <c r="T966" s="363"/>
      <c r="U966" s="363"/>
      <c r="V966" s="363"/>
      <c r="W966" s="363"/>
      <c r="X966" s="363"/>
      <c r="Y966" s="363"/>
      <c r="Z966" s="363"/>
      <c r="AA966" s="363"/>
      <c r="AB966" s="363"/>
      <c r="AC966" s="363"/>
      <c r="AD966" s="363"/>
      <c r="AE966" s="363"/>
      <c r="AF966" s="363"/>
      <c r="AG966" s="363"/>
      <c r="AH966" s="363"/>
      <c r="AI966" s="363"/>
      <c r="AJ966" s="363"/>
      <c r="AK966" s="363"/>
      <c r="AL966" s="363"/>
      <c r="AM966" s="363"/>
    </row>
    <row r="967" spans="2:39" ht="12.75" customHeight="1" x14ac:dyDescent="0.2">
      <c r="B967" s="362"/>
      <c r="C967" s="363"/>
      <c r="D967" s="363"/>
      <c r="E967" s="363"/>
      <c r="F967" s="363"/>
      <c r="G967" s="363"/>
      <c r="H967" s="363"/>
      <c r="I967" s="363"/>
      <c r="J967" s="363"/>
      <c r="K967" s="363"/>
      <c r="L967" s="363"/>
      <c r="M967" s="363"/>
      <c r="N967" s="363"/>
      <c r="O967" s="363"/>
      <c r="P967" s="363"/>
      <c r="Q967" s="363"/>
      <c r="R967" s="363"/>
      <c r="S967" s="363"/>
      <c r="T967" s="363"/>
      <c r="U967" s="363"/>
      <c r="V967" s="363"/>
      <c r="W967" s="363"/>
      <c r="X967" s="363"/>
      <c r="Y967" s="363"/>
      <c r="Z967" s="363"/>
      <c r="AA967" s="363"/>
      <c r="AB967" s="363"/>
      <c r="AC967" s="363"/>
      <c r="AD967" s="363"/>
      <c r="AE967" s="363"/>
      <c r="AF967" s="363"/>
      <c r="AG967" s="363"/>
      <c r="AH967" s="363"/>
      <c r="AI967" s="363"/>
      <c r="AJ967" s="363"/>
      <c r="AK967" s="363"/>
      <c r="AL967" s="363"/>
      <c r="AM967" s="363"/>
    </row>
    <row r="968" spans="2:39" ht="12.75" customHeight="1" x14ac:dyDescent="0.2">
      <c r="B968" s="362"/>
      <c r="C968" s="363"/>
      <c r="D968" s="363"/>
      <c r="E968" s="363"/>
      <c r="F968" s="363"/>
      <c r="G968" s="363"/>
      <c r="H968" s="363"/>
      <c r="I968" s="363"/>
      <c r="J968" s="363"/>
      <c r="K968" s="363"/>
      <c r="L968" s="363"/>
      <c r="M968" s="363"/>
      <c r="N968" s="363"/>
      <c r="O968" s="363"/>
      <c r="P968" s="363"/>
      <c r="Q968" s="363"/>
      <c r="R968" s="363"/>
      <c r="S968" s="363"/>
      <c r="T968" s="363"/>
      <c r="U968" s="363"/>
      <c r="V968" s="363"/>
      <c r="W968" s="363"/>
      <c r="X968" s="363"/>
      <c r="Y968" s="363"/>
      <c r="Z968" s="363"/>
      <c r="AA968" s="363"/>
      <c r="AB968" s="363"/>
      <c r="AC968" s="363"/>
      <c r="AD968" s="363"/>
      <c r="AE968" s="363"/>
      <c r="AF968" s="363"/>
      <c r="AG968" s="363"/>
      <c r="AH968" s="363"/>
      <c r="AI968" s="363"/>
      <c r="AJ968" s="363"/>
      <c r="AK968" s="363"/>
      <c r="AL968" s="363"/>
      <c r="AM968" s="363"/>
    </row>
    <row r="969" spans="2:39" ht="12.75" customHeight="1" x14ac:dyDescent="0.2">
      <c r="B969" s="362"/>
      <c r="C969" s="363"/>
      <c r="D969" s="363"/>
      <c r="E969" s="363"/>
      <c r="F969" s="363"/>
      <c r="G969" s="363"/>
      <c r="H969" s="363"/>
      <c r="I969" s="363"/>
      <c r="J969" s="363"/>
      <c r="K969" s="363"/>
      <c r="L969" s="363"/>
      <c r="M969" s="363"/>
      <c r="N969" s="363"/>
      <c r="O969" s="363"/>
      <c r="P969" s="363"/>
      <c r="Q969" s="363"/>
      <c r="R969" s="363"/>
      <c r="S969" s="363"/>
      <c r="T969" s="363"/>
      <c r="U969" s="363"/>
      <c r="V969" s="363"/>
      <c r="W969" s="363"/>
      <c r="X969" s="363"/>
      <c r="Y969" s="363"/>
      <c r="Z969" s="363"/>
      <c r="AA969" s="363"/>
      <c r="AB969" s="363"/>
      <c r="AC969" s="363"/>
      <c r="AD969" s="363"/>
      <c r="AE969" s="363"/>
      <c r="AF969" s="363"/>
      <c r="AG969" s="363"/>
      <c r="AH969" s="363"/>
      <c r="AI969" s="363"/>
      <c r="AJ969" s="363"/>
      <c r="AK969" s="363"/>
      <c r="AL969" s="363"/>
      <c r="AM969" s="363"/>
    </row>
    <row r="970" spans="2:39" ht="12.75" customHeight="1" x14ac:dyDescent="0.2">
      <c r="B970" s="362"/>
      <c r="C970" s="363"/>
      <c r="D970" s="363"/>
      <c r="E970" s="363"/>
      <c r="F970" s="363"/>
      <c r="G970" s="363"/>
      <c r="H970" s="363"/>
      <c r="I970" s="363"/>
      <c r="J970" s="363"/>
      <c r="K970" s="363"/>
      <c r="L970" s="363"/>
      <c r="M970" s="363"/>
      <c r="N970" s="363"/>
      <c r="O970" s="363"/>
      <c r="P970" s="363"/>
      <c r="Q970" s="363"/>
      <c r="R970" s="363"/>
      <c r="S970" s="363"/>
      <c r="T970" s="363"/>
      <c r="U970" s="363"/>
      <c r="V970" s="363"/>
      <c r="W970" s="363"/>
      <c r="X970" s="363"/>
      <c r="Y970" s="363"/>
      <c r="Z970" s="363"/>
      <c r="AA970" s="363"/>
      <c r="AB970" s="363"/>
      <c r="AC970" s="363"/>
      <c r="AD970" s="363"/>
      <c r="AE970" s="363"/>
      <c r="AF970" s="363"/>
      <c r="AG970" s="363"/>
      <c r="AH970" s="363"/>
      <c r="AI970" s="363"/>
      <c r="AJ970" s="363"/>
      <c r="AK970" s="363"/>
      <c r="AL970" s="363"/>
      <c r="AM970" s="363"/>
    </row>
    <row r="971" spans="2:39" ht="12.75" customHeight="1" x14ac:dyDescent="0.2">
      <c r="B971" s="362"/>
      <c r="C971" s="363"/>
      <c r="D971" s="363"/>
      <c r="E971" s="363"/>
      <c r="F971" s="363"/>
      <c r="G971" s="363"/>
      <c r="H971" s="363"/>
      <c r="I971" s="36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3"/>
      <c r="U971" s="363"/>
      <c r="V971" s="363"/>
      <c r="W971" s="363"/>
      <c r="X971" s="363"/>
      <c r="Y971" s="363"/>
      <c r="Z971" s="363"/>
      <c r="AA971" s="363"/>
      <c r="AB971" s="363"/>
      <c r="AC971" s="363"/>
      <c r="AD971" s="363"/>
      <c r="AE971" s="363"/>
      <c r="AF971" s="363"/>
      <c r="AG971" s="363"/>
      <c r="AH971" s="363"/>
      <c r="AI971" s="363"/>
      <c r="AJ971" s="363"/>
      <c r="AK971" s="363"/>
      <c r="AL971" s="363"/>
      <c r="AM971" s="363"/>
    </row>
    <row r="972" spans="2:39" ht="12.75" customHeight="1" x14ac:dyDescent="0.2">
      <c r="B972" s="362"/>
      <c r="C972" s="363"/>
      <c r="D972" s="363"/>
      <c r="E972" s="363"/>
      <c r="F972" s="363"/>
      <c r="G972" s="363"/>
      <c r="H972" s="363"/>
      <c r="I972" s="363"/>
      <c r="J972" s="363"/>
      <c r="K972" s="363"/>
      <c r="L972" s="363"/>
      <c r="M972" s="363"/>
      <c r="N972" s="363"/>
      <c r="O972" s="363"/>
      <c r="P972" s="363"/>
      <c r="Q972" s="363"/>
      <c r="R972" s="363"/>
      <c r="S972" s="363"/>
      <c r="T972" s="363"/>
      <c r="U972" s="363"/>
      <c r="V972" s="363"/>
      <c r="W972" s="363"/>
      <c r="X972" s="363"/>
      <c r="Y972" s="363"/>
      <c r="Z972" s="363"/>
      <c r="AA972" s="363"/>
      <c r="AB972" s="363"/>
      <c r="AC972" s="363"/>
      <c r="AD972" s="363"/>
      <c r="AE972" s="363"/>
      <c r="AF972" s="363"/>
      <c r="AG972" s="363"/>
      <c r="AH972" s="363"/>
      <c r="AI972" s="363"/>
      <c r="AJ972" s="363"/>
      <c r="AK972" s="363"/>
      <c r="AL972" s="363"/>
      <c r="AM972" s="363"/>
    </row>
    <row r="973" spans="2:39" ht="12.75" customHeight="1" x14ac:dyDescent="0.2">
      <c r="B973" s="362"/>
      <c r="C973" s="363"/>
      <c r="D973" s="363"/>
      <c r="E973" s="363"/>
      <c r="F973" s="363"/>
      <c r="G973" s="363"/>
      <c r="H973" s="363"/>
      <c r="I973" s="363"/>
      <c r="J973" s="363"/>
      <c r="K973" s="363"/>
      <c r="L973" s="363"/>
      <c r="M973" s="363"/>
      <c r="N973" s="363"/>
      <c r="O973" s="363"/>
      <c r="P973" s="363"/>
      <c r="Q973" s="363"/>
      <c r="R973" s="363"/>
      <c r="S973" s="363"/>
      <c r="T973" s="363"/>
      <c r="U973" s="363"/>
      <c r="V973" s="363"/>
      <c r="W973" s="363"/>
      <c r="X973" s="363"/>
      <c r="Y973" s="363"/>
      <c r="Z973" s="363"/>
      <c r="AA973" s="363"/>
      <c r="AB973" s="363"/>
      <c r="AC973" s="363"/>
      <c r="AD973" s="363"/>
      <c r="AE973" s="363"/>
      <c r="AF973" s="363"/>
      <c r="AG973" s="363"/>
      <c r="AH973" s="363"/>
      <c r="AI973" s="363"/>
      <c r="AJ973" s="363"/>
      <c r="AK973" s="363"/>
      <c r="AL973" s="363"/>
      <c r="AM973" s="363"/>
    </row>
    <row r="974" spans="2:39" ht="12.75" customHeight="1" x14ac:dyDescent="0.2">
      <c r="B974" s="362"/>
      <c r="C974" s="363"/>
      <c r="D974" s="363"/>
      <c r="E974" s="363"/>
      <c r="F974" s="363"/>
      <c r="G974" s="363"/>
      <c r="H974" s="363"/>
      <c r="I974" s="363"/>
      <c r="J974" s="363"/>
      <c r="K974" s="363"/>
      <c r="L974" s="363"/>
      <c r="M974" s="363"/>
      <c r="N974" s="363"/>
      <c r="O974" s="363"/>
      <c r="P974" s="363"/>
      <c r="Q974" s="363"/>
      <c r="R974" s="363"/>
      <c r="S974" s="363"/>
      <c r="T974" s="363"/>
      <c r="U974" s="363"/>
      <c r="V974" s="363"/>
      <c r="W974" s="363"/>
      <c r="X974" s="363"/>
      <c r="Y974" s="363"/>
      <c r="Z974" s="363"/>
      <c r="AA974" s="363"/>
      <c r="AB974" s="363"/>
      <c r="AC974" s="363"/>
      <c r="AD974" s="363"/>
      <c r="AE974" s="363"/>
      <c r="AF974" s="363"/>
      <c r="AG974" s="363"/>
      <c r="AH974" s="363"/>
      <c r="AI974" s="363"/>
      <c r="AJ974" s="363"/>
      <c r="AK974" s="363"/>
      <c r="AL974" s="363"/>
      <c r="AM974" s="363"/>
    </row>
    <row r="975" spans="2:39" ht="12.75" customHeight="1" x14ac:dyDescent="0.2">
      <c r="B975" s="362"/>
      <c r="C975" s="363"/>
      <c r="D975" s="363"/>
      <c r="E975" s="363"/>
      <c r="F975" s="363"/>
      <c r="G975" s="363"/>
      <c r="H975" s="363"/>
      <c r="I975" s="363"/>
      <c r="J975" s="363"/>
      <c r="K975" s="363"/>
      <c r="L975" s="363"/>
      <c r="M975" s="363"/>
      <c r="N975" s="363"/>
      <c r="O975" s="363"/>
      <c r="P975" s="363"/>
      <c r="Q975" s="363"/>
      <c r="R975" s="363"/>
      <c r="S975" s="363"/>
      <c r="T975" s="363"/>
      <c r="U975" s="363"/>
      <c r="V975" s="363"/>
      <c r="W975" s="363"/>
      <c r="X975" s="363"/>
      <c r="Y975" s="363"/>
      <c r="Z975" s="363"/>
      <c r="AA975" s="363"/>
      <c r="AB975" s="363"/>
      <c r="AC975" s="363"/>
      <c r="AD975" s="363"/>
      <c r="AE975" s="363"/>
      <c r="AF975" s="363"/>
      <c r="AG975" s="363"/>
      <c r="AH975" s="363"/>
      <c r="AI975" s="363"/>
      <c r="AJ975" s="363"/>
      <c r="AK975" s="363"/>
      <c r="AL975" s="363"/>
      <c r="AM975" s="363"/>
    </row>
    <row r="976" spans="2:39" ht="12.75" customHeight="1" x14ac:dyDescent="0.2">
      <c r="B976" s="362"/>
      <c r="C976" s="363"/>
      <c r="D976" s="363"/>
      <c r="E976" s="363"/>
      <c r="F976" s="363"/>
      <c r="G976" s="363"/>
      <c r="H976" s="363"/>
      <c r="I976" s="363"/>
      <c r="J976" s="363"/>
      <c r="K976" s="363"/>
      <c r="L976" s="363"/>
      <c r="M976" s="363"/>
      <c r="N976" s="363"/>
      <c r="O976" s="363"/>
      <c r="P976" s="363"/>
      <c r="Q976" s="363"/>
      <c r="R976" s="363"/>
      <c r="S976" s="363"/>
      <c r="T976" s="363"/>
      <c r="U976" s="363"/>
      <c r="V976" s="363"/>
      <c r="W976" s="363"/>
      <c r="X976" s="363"/>
      <c r="Y976" s="363"/>
      <c r="Z976" s="363"/>
      <c r="AA976" s="363"/>
      <c r="AB976" s="363"/>
      <c r="AC976" s="363"/>
      <c r="AD976" s="363"/>
      <c r="AE976" s="363"/>
      <c r="AF976" s="363"/>
      <c r="AG976" s="363"/>
      <c r="AH976" s="363"/>
      <c r="AI976" s="363"/>
      <c r="AJ976" s="363"/>
      <c r="AK976" s="363"/>
      <c r="AL976" s="363"/>
      <c r="AM976" s="363"/>
    </row>
    <row r="977" spans="2:39" ht="12.75" customHeight="1" x14ac:dyDescent="0.2">
      <c r="B977" s="362"/>
      <c r="C977" s="363"/>
      <c r="D977" s="363"/>
      <c r="E977" s="363"/>
      <c r="F977" s="363"/>
      <c r="G977" s="363"/>
      <c r="H977" s="363"/>
      <c r="I977" s="363"/>
      <c r="J977" s="363"/>
      <c r="K977" s="363"/>
      <c r="L977" s="363"/>
      <c r="M977" s="363"/>
      <c r="N977" s="363"/>
      <c r="O977" s="363"/>
      <c r="P977" s="363"/>
      <c r="Q977" s="363"/>
      <c r="R977" s="363"/>
      <c r="S977" s="363"/>
      <c r="T977" s="363"/>
      <c r="U977" s="363"/>
      <c r="V977" s="363"/>
      <c r="W977" s="363"/>
      <c r="X977" s="363"/>
      <c r="Y977" s="363"/>
      <c r="Z977" s="363"/>
      <c r="AA977" s="363"/>
      <c r="AB977" s="363"/>
      <c r="AC977" s="363"/>
      <c r="AD977" s="363"/>
      <c r="AE977" s="363"/>
      <c r="AF977" s="363"/>
      <c r="AG977" s="363"/>
      <c r="AH977" s="363"/>
      <c r="AI977" s="363"/>
      <c r="AJ977" s="363"/>
      <c r="AK977" s="363"/>
      <c r="AL977" s="363"/>
      <c r="AM977" s="363"/>
    </row>
    <row r="978" spans="2:39" ht="12.75" customHeight="1" x14ac:dyDescent="0.2">
      <c r="B978" s="362"/>
      <c r="C978" s="363"/>
      <c r="D978" s="363"/>
      <c r="E978" s="363"/>
      <c r="F978" s="363"/>
      <c r="G978" s="363"/>
      <c r="H978" s="363"/>
      <c r="I978" s="363"/>
      <c r="J978" s="363"/>
      <c r="K978" s="363"/>
      <c r="L978" s="363"/>
      <c r="M978" s="363"/>
      <c r="N978" s="363"/>
      <c r="O978" s="363"/>
      <c r="P978" s="363"/>
      <c r="Q978" s="363"/>
      <c r="R978" s="363"/>
      <c r="S978" s="363"/>
      <c r="T978" s="363"/>
      <c r="U978" s="363"/>
      <c r="V978" s="363"/>
      <c r="W978" s="363"/>
      <c r="X978" s="363"/>
      <c r="Y978" s="363"/>
      <c r="Z978" s="363"/>
      <c r="AA978" s="363"/>
      <c r="AB978" s="363"/>
      <c r="AC978" s="363"/>
      <c r="AD978" s="363"/>
      <c r="AE978" s="363"/>
      <c r="AF978" s="363"/>
      <c r="AG978" s="363"/>
      <c r="AH978" s="363"/>
      <c r="AI978" s="363"/>
      <c r="AJ978" s="363"/>
      <c r="AK978" s="363"/>
      <c r="AL978" s="363"/>
      <c r="AM978" s="363"/>
    </row>
    <row r="979" spans="2:39" ht="12.75" customHeight="1" x14ac:dyDescent="0.2">
      <c r="B979" s="362"/>
      <c r="C979" s="363"/>
      <c r="D979" s="363"/>
      <c r="E979" s="363"/>
      <c r="F979" s="363"/>
      <c r="G979" s="363"/>
      <c r="H979" s="363"/>
      <c r="I979" s="363"/>
      <c r="J979" s="363"/>
      <c r="K979" s="363"/>
      <c r="L979" s="363"/>
      <c r="M979" s="363"/>
      <c r="N979" s="363"/>
      <c r="O979" s="363"/>
      <c r="P979" s="363"/>
      <c r="Q979" s="363"/>
      <c r="R979" s="363"/>
      <c r="S979" s="363"/>
      <c r="T979" s="363"/>
      <c r="U979" s="363"/>
      <c r="V979" s="363"/>
      <c r="W979" s="363"/>
      <c r="X979" s="363"/>
      <c r="Y979" s="363"/>
      <c r="Z979" s="363"/>
      <c r="AA979" s="363"/>
      <c r="AB979" s="363"/>
      <c r="AC979" s="363"/>
      <c r="AD979" s="363"/>
      <c r="AE979" s="363"/>
      <c r="AF979" s="363"/>
      <c r="AG979" s="363"/>
      <c r="AH979" s="363"/>
      <c r="AI979" s="363"/>
      <c r="AJ979" s="363"/>
      <c r="AK979" s="363"/>
      <c r="AL979" s="363"/>
      <c r="AM979" s="363"/>
    </row>
    <row r="980" spans="2:39" ht="12.75" customHeight="1" x14ac:dyDescent="0.2">
      <c r="B980" s="362"/>
      <c r="C980" s="363"/>
      <c r="D980" s="363"/>
      <c r="E980" s="363"/>
      <c r="F980" s="363"/>
      <c r="G980" s="363"/>
      <c r="H980" s="363"/>
      <c r="I980" s="363"/>
      <c r="J980" s="363"/>
      <c r="K980" s="363"/>
      <c r="L980" s="363"/>
      <c r="M980" s="363"/>
      <c r="N980" s="363"/>
      <c r="O980" s="363"/>
      <c r="P980" s="363"/>
      <c r="Q980" s="363"/>
      <c r="R980" s="363"/>
      <c r="S980" s="363"/>
      <c r="T980" s="363"/>
      <c r="U980" s="363"/>
      <c r="V980" s="363"/>
      <c r="W980" s="363"/>
      <c r="X980" s="363"/>
      <c r="Y980" s="363"/>
      <c r="Z980" s="363"/>
      <c r="AA980" s="363"/>
      <c r="AB980" s="363"/>
      <c r="AC980" s="363"/>
      <c r="AD980" s="363"/>
      <c r="AE980" s="363"/>
      <c r="AF980" s="363"/>
      <c r="AG980" s="363"/>
      <c r="AH980" s="363"/>
      <c r="AI980" s="363"/>
      <c r="AJ980" s="363"/>
      <c r="AK980" s="363"/>
      <c r="AL980" s="363"/>
      <c r="AM980" s="363"/>
    </row>
    <row r="981" spans="2:39" ht="12.75" customHeight="1" x14ac:dyDescent="0.2">
      <c r="B981" s="362"/>
      <c r="C981" s="363"/>
      <c r="D981" s="363"/>
      <c r="E981" s="363"/>
      <c r="F981" s="363"/>
      <c r="G981" s="363"/>
      <c r="H981" s="363"/>
      <c r="I981" s="363"/>
      <c r="J981" s="363"/>
      <c r="K981" s="363"/>
      <c r="L981" s="363"/>
      <c r="M981" s="363"/>
      <c r="N981" s="363"/>
      <c r="O981" s="363"/>
      <c r="P981" s="363"/>
      <c r="Q981" s="363"/>
      <c r="R981" s="363"/>
      <c r="S981" s="363"/>
      <c r="T981" s="363"/>
      <c r="U981" s="363"/>
      <c r="V981" s="363"/>
      <c r="W981" s="363"/>
      <c r="X981" s="363"/>
      <c r="Y981" s="363"/>
      <c r="Z981" s="363"/>
      <c r="AA981" s="363"/>
      <c r="AB981" s="363"/>
      <c r="AC981" s="363"/>
      <c r="AD981" s="363"/>
      <c r="AE981" s="363"/>
      <c r="AF981" s="363"/>
      <c r="AG981" s="363"/>
      <c r="AH981" s="363"/>
      <c r="AI981" s="363"/>
      <c r="AJ981" s="363"/>
      <c r="AK981" s="363"/>
      <c r="AL981" s="363"/>
      <c r="AM981" s="363"/>
    </row>
    <row r="982" spans="2:39" ht="12.75" customHeight="1" x14ac:dyDescent="0.2">
      <c r="B982" s="362"/>
      <c r="C982" s="363"/>
      <c r="D982" s="363"/>
      <c r="E982" s="363"/>
      <c r="F982" s="363"/>
      <c r="G982" s="363"/>
      <c r="H982" s="363"/>
      <c r="I982" s="363"/>
      <c r="J982" s="363"/>
      <c r="K982" s="363"/>
      <c r="L982" s="363"/>
      <c r="M982" s="363"/>
      <c r="N982" s="363"/>
      <c r="O982" s="363"/>
      <c r="P982" s="363"/>
      <c r="Q982" s="363"/>
      <c r="R982" s="363"/>
      <c r="S982" s="363"/>
      <c r="T982" s="363"/>
      <c r="U982" s="363"/>
      <c r="V982" s="363"/>
      <c r="W982" s="363"/>
      <c r="X982" s="363"/>
      <c r="Y982" s="363"/>
      <c r="Z982" s="363"/>
      <c r="AA982" s="363"/>
      <c r="AB982" s="363"/>
      <c r="AC982" s="363"/>
      <c r="AD982" s="363"/>
      <c r="AE982" s="363"/>
      <c r="AF982" s="363"/>
      <c r="AG982" s="363"/>
      <c r="AH982" s="363"/>
      <c r="AI982" s="363"/>
      <c r="AJ982" s="363"/>
      <c r="AK982" s="363"/>
      <c r="AL982" s="363"/>
      <c r="AM982" s="363"/>
    </row>
    <row r="983" spans="2:39" ht="12.75" customHeight="1" x14ac:dyDescent="0.2">
      <c r="B983" s="362"/>
      <c r="C983" s="363"/>
      <c r="D983" s="363"/>
      <c r="E983" s="363"/>
      <c r="F983" s="363"/>
      <c r="G983" s="363"/>
      <c r="H983" s="363"/>
      <c r="I983" s="363"/>
      <c r="J983" s="363"/>
      <c r="K983" s="363"/>
      <c r="L983" s="363"/>
      <c r="M983" s="363"/>
      <c r="N983" s="363"/>
      <c r="O983" s="363"/>
      <c r="P983" s="363"/>
      <c r="Q983" s="363"/>
      <c r="R983" s="363"/>
      <c r="S983" s="363"/>
      <c r="T983" s="363"/>
      <c r="U983" s="363"/>
      <c r="V983" s="363"/>
      <c r="W983" s="363"/>
      <c r="X983" s="363"/>
      <c r="Y983" s="363"/>
      <c r="Z983" s="363"/>
      <c r="AA983" s="363"/>
      <c r="AB983" s="363"/>
      <c r="AC983" s="363"/>
      <c r="AD983" s="363"/>
      <c r="AE983" s="363"/>
      <c r="AF983" s="363"/>
      <c r="AG983" s="363"/>
      <c r="AH983" s="363"/>
      <c r="AI983" s="363"/>
      <c r="AJ983" s="363"/>
      <c r="AK983" s="363"/>
      <c r="AL983" s="363"/>
      <c r="AM983" s="363"/>
    </row>
    <row r="984" spans="2:39" ht="12.75" customHeight="1" x14ac:dyDescent="0.2">
      <c r="B984" s="362"/>
      <c r="C984" s="363"/>
      <c r="D984" s="363"/>
      <c r="E984" s="363"/>
      <c r="F984" s="363"/>
      <c r="G984" s="363"/>
      <c r="H984" s="363"/>
      <c r="I984" s="363"/>
      <c r="J984" s="363"/>
      <c r="K984" s="363"/>
      <c r="L984" s="363"/>
      <c r="M984" s="363"/>
      <c r="N984" s="363"/>
      <c r="O984" s="363"/>
      <c r="P984" s="363"/>
      <c r="Q984" s="363"/>
      <c r="R984" s="363"/>
      <c r="S984" s="363"/>
      <c r="T984" s="363"/>
      <c r="U984" s="363"/>
      <c r="V984" s="363"/>
      <c r="W984" s="363"/>
      <c r="X984" s="363"/>
      <c r="Y984" s="363"/>
      <c r="Z984" s="363"/>
      <c r="AA984" s="363"/>
      <c r="AB984" s="363"/>
      <c r="AC984" s="363"/>
      <c r="AD984" s="363"/>
      <c r="AE984" s="363"/>
      <c r="AF984" s="363"/>
      <c r="AG984" s="363"/>
      <c r="AH984" s="363"/>
      <c r="AI984" s="363"/>
      <c r="AJ984" s="363"/>
      <c r="AK984" s="363"/>
      <c r="AL984" s="363"/>
      <c r="AM984" s="363"/>
    </row>
    <row r="985" spans="2:39" ht="12.75" customHeight="1" x14ac:dyDescent="0.2">
      <c r="B985" s="362"/>
      <c r="C985" s="363"/>
      <c r="D985" s="363"/>
      <c r="E985" s="363"/>
      <c r="F985" s="363"/>
      <c r="G985" s="363"/>
      <c r="H985" s="363"/>
      <c r="I985" s="363"/>
      <c r="J985" s="363"/>
      <c r="K985" s="363"/>
      <c r="L985" s="363"/>
      <c r="M985" s="363"/>
      <c r="N985" s="363"/>
      <c r="O985" s="363"/>
      <c r="P985" s="363"/>
      <c r="Q985" s="363"/>
      <c r="R985" s="363"/>
      <c r="S985" s="363"/>
      <c r="T985" s="363"/>
      <c r="U985" s="363"/>
      <c r="V985" s="363"/>
      <c r="W985" s="363"/>
      <c r="X985" s="363"/>
      <c r="Y985" s="363"/>
      <c r="Z985" s="363"/>
      <c r="AA985" s="363"/>
      <c r="AB985" s="363"/>
      <c r="AC985" s="363"/>
      <c r="AD985" s="363"/>
      <c r="AE985" s="363"/>
      <c r="AF985" s="363"/>
      <c r="AG985" s="363"/>
      <c r="AH985" s="363"/>
      <c r="AI985" s="363"/>
      <c r="AJ985" s="363"/>
      <c r="AK985" s="363"/>
      <c r="AL985" s="363"/>
      <c r="AM985" s="363"/>
    </row>
    <row r="986" spans="2:39" ht="12.75" customHeight="1" x14ac:dyDescent="0.2">
      <c r="B986" s="362"/>
      <c r="C986" s="363"/>
      <c r="D986" s="363"/>
      <c r="E986" s="363"/>
      <c r="F986" s="363"/>
      <c r="G986" s="363"/>
      <c r="H986" s="363"/>
      <c r="I986" s="363"/>
      <c r="J986" s="363"/>
      <c r="K986" s="363"/>
      <c r="L986" s="363"/>
      <c r="M986" s="363"/>
      <c r="N986" s="363"/>
      <c r="O986" s="363"/>
      <c r="P986" s="363"/>
      <c r="Q986" s="363"/>
      <c r="R986" s="363"/>
      <c r="S986" s="363"/>
      <c r="T986" s="363"/>
      <c r="U986" s="363"/>
      <c r="V986" s="363"/>
      <c r="W986" s="363"/>
      <c r="X986" s="363"/>
      <c r="Y986" s="363"/>
      <c r="Z986" s="363"/>
      <c r="AA986" s="363"/>
      <c r="AB986" s="363"/>
      <c r="AC986" s="363"/>
      <c r="AD986" s="363"/>
      <c r="AE986" s="363"/>
      <c r="AF986" s="363"/>
      <c r="AG986" s="363"/>
      <c r="AH986" s="363"/>
      <c r="AI986" s="363"/>
      <c r="AJ986" s="363"/>
      <c r="AK986" s="363"/>
      <c r="AL986" s="363"/>
      <c r="AM986" s="363"/>
    </row>
    <row r="987" spans="2:39" ht="12.75" customHeight="1" x14ac:dyDescent="0.2">
      <c r="AG987" s="363"/>
      <c r="AH987" s="363"/>
      <c r="AI987" s="363"/>
      <c r="AJ987" s="363"/>
      <c r="AK987" s="363"/>
      <c r="AL987" s="363"/>
      <c r="AM987" s="363"/>
    </row>
    <row r="988" spans="2:39" ht="12.75" customHeight="1" x14ac:dyDescent="0.2">
      <c r="AG988" s="363"/>
      <c r="AH988" s="363"/>
      <c r="AI988" s="363"/>
      <c r="AJ988" s="363"/>
      <c r="AK988" s="363"/>
      <c r="AL988" s="363"/>
      <c r="AM988" s="363"/>
    </row>
    <row r="989" spans="2:39" ht="12.75" customHeight="1" x14ac:dyDescent="0.2">
      <c r="AG989" s="363"/>
      <c r="AH989" s="363"/>
      <c r="AI989" s="363"/>
      <c r="AJ989" s="363"/>
      <c r="AK989" s="363"/>
      <c r="AL989" s="363"/>
      <c r="AM989" s="363"/>
    </row>
    <row r="990" spans="2:39" ht="12.75" customHeight="1" x14ac:dyDescent="0.2">
      <c r="AG990" s="363"/>
      <c r="AH990" s="363"/>
      <c r="AI990" s="363"/>
      <c r="AJ990" s="363"/>
      <c r="AK990" s="363"/>
      <c r="AL990" s="363"/>
      <c r="AM990" s="363"/>
    </row>
    <row r="991" spans="2:39" ht="12.75" customHeight="1" x14ac:dyDescent="0.2">
      <c r="AG991" s="363"/>
      <c r="AH991" s="363"/>
      <c r="AI991" s="363"/>
      <c r="AJ991" s="363"/>
      <c r="AK991" s="363"/>
      <c r="AL991" s="363"/>
      <c r="AM991" s="363"/>
    </row>
    <row r="992" spans="2:39" ht="12.75" customHeight="1" x14ac:dyDescent="0.2">
      <c r="AG992" s="363"/>
      <c r="AH992" s="363"/>
      <c r="AI992" s="363"/>
      <c r="AJ992" s="363"/>
      <c r="AK992" s="363"/>
      <c r="AL992" s="363"/>
      <c r="AM992" s="363"/>
    </row>
    <row r="993" spans="33:39" ht="12.75" customHeight="1" x14ac:dyDescent="0.2">
      <c r="AG993" s="363"/>
      <c r="AH993" s="363"/>
      <c r="AI993" s="363"/>
      <c r="AJ993" s="363"/>
      <c r="AK993" s="363"/>
      <c r="AL993" s="363"/>
      <c r="AM993" s="363"/>
    </row>
    <row r="994" spans="33:39" ht="12.75" customHeight="1" x14ac:dyDescent="0.2">
      <c r="AG994" s="363"/>
      <c r="AH994" s="363"/>
      <c r="AI994" s="363"/>
      <c r="AJ994" s="363"/>
      <c r="AK994" s="363"/>
      <c r="AL994" s="363"/>
      <c r="AM994" s="363"/>
    </row>
    <row r="995" spans="33:39" ht="12.75" customHeight="1" x14ac:dyDescent="0.2">
      <c r="AG995" s="363"/>
      <c r="AH995" s="363"/>
      <c r="AI995" s="363"/>
      <c r="AJ995" s="363"/>
      <c r="AK995" s="363"/>
      <c r="AL995" s="363"/>
      <c r="AM995" s="363"/>
    </row>
    <row r="996" spans="33:39" ht="12.75" customHeight="1" x14ac:dyDescent="0.2">
      <c r="AG996" s="363"/>
      <c r="AH996" s="363"/>
      <c r="AI996" s="363"/>
      <c r="AJ996" s="363"/>
      <c r="AK996" s="363"/>
      <c r="AL996" s="363"/>
      <c r="AM996" s="363"/>
    </row>
    <row r="997" spans="33:39" ht="12.75" customHeight="1" x14ac:dyDescent="0.2">
      <c r="AG997" s="363"/>
      <c r="AH997" s="363"/>
      <c r="AI997" s="363"/>
      <c r="AJ997" s="363"/>
      <c r="AK997" s="363"/>
      <c r="AL997" s="363"/>
      <c r="AM997" s="363"/>
    </row>
    <row r="998" spans="33:39" ht="12.75" customHeight="1" x14ac:dyDescent="0.2">
      <c r="AG998" s="363"/>
      <c r="AH998" s="363"/>
      <c r="AI998" s="363"/>
      <c r="AJ998" s="363"/>
      <c r="AK998" s="363"/>
      <c r="AL998" s="363"/>
      <c r="AM998" s="363"/>
    </row>
    <row r="999" spans="33:39" ht="12.75" customHeight="1" x14ac:dyDescent="0.2">
      <c r="AG999" s="363"/>
      <c r="AH999" s="363"/>
      <c r="AI999" s="363"/>
      <c r="AJ999" s="363"/>
      <c r="AK999" s="363"/>
      <c r="AL999" s="363"/>
      <c r="AM999" s="363"/>
    </row>
    <row r="1000" spans="33:39" ht="12.75" customHeight="1" x14ac:dyDescent="0.2">
      <c r="AG1000" s="363"/>
      <c r="AH1000" s="363"/>
      <c r="AI1000" s="363"/>
      <c r="AJ1000" s="363"/>
      <c r="AK1000" s="363"/>
      <c r="AL1000" s="363"/>
      <c r="AM1000" s="363"/>
    </row>
    <row r="1001" spans="33:39" ht="12.75" customHeight="1" x14ac:dyDescent="0.2">
      <c r="AG1001" s="363"/>
      <c r="AH1001" s="363"/>
      <c r="AI1001" s="363"/>
      <c r="AJ1001" s="363"/>
      <c r="AK1001" s="363"/>
      <c r="AL1001" s="363"/>
      <c r="AM1001" s="363"/>
    </row>
    <row r="1002" spans="33:39" ht="12.75" customHeight="1" x14ac:dyDescent="0.2">
      <c r="AG1002" s="363"/>
      <c r="AH1002" s="363"/>
      <c r="AI1002" s="363"/>
      <c r="AJ1002" s="363"/>
      <c r="AK1002" s="363"/>
      <c r="AL1002" s="363"/>
      <c r="AM1002" s="363"/>
    </row>
    <row r="1003" spans="33:39" ht="12.75" customHeight="1" x14ac:dyDescent="0.2">
      <c r="AG1003" s="363"/>
      <c r="AH1003" s="363"/>
      <c r="AI1003" s="363"/>
      <c r="AJ1003" s="363"/>
      <c r="AK1003" s="363"/>
      <c r="AL1003" s="363"/>
      <c r="AM1003" s="363"/>
    </row>
    <row r="1004" spans="33:39" ht="12.75" customHeight="1" x14ac:dyDescent="0.2">
      <c r="AG1004" s="363"/>
      <c r="AH1004" s="363"/>
      <c r="AI1004" s="363"/>
      <c r="AJ1004" s="363"/>
      <c r="AK1004" s="363"/>
      <c r="AL1004" s="363"/>
      <c r="AM1004" s="363"/>
    </row>
    <row r="1005" spans="33:39" ht="12.75" customHeight="1" x14ac:dyDescent="0.2">
      <c r="AG1005" s="363"/>
      <c r="AH1005" s="363"/>
      <c r="AI1005" s="363"/>
      <c r="AJ1005" s="363"/>
      <c r="AK1005" s="363"/>
      <c r="AL1005" s="363"/>
      <c r="AM1005" s="363"/>
    </row>
    <row r="1006" spans="33:39" ht="12.75" customHeight="1" x14ac:dyDescent="0.2">
      <c r="AG1006" s="363"/>
      <c r="AH1006" s="363"/>
      <c r="AI1006" s="363"/>
      <c r="AJ1006" s="363"/>
      <c r="AK1006" s="363"/>
      <c r="AL1006" s="363"/>
      <c r="AM1006" s="363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F5" sqref="F5:H5"/>
    </sheetView>
  </sheetViews>
  <sheetFormatPr baseColWidth="10" defaultColWidth="12.5703125" defaultRowHeight="15" customHeight="1" x14ac:dyDescent="0.2"/>
  <cols>
    <col min="1" max="1" width="4.7109375" customWidth="1"/>
    <col min="2" max="2" width="10.570312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5703125" customWidth="1"/>
    <col min="8" max="8" width="10.5703125" customWidth="1"/>
    <col min="9" max="9" width="7.42578125" customWidth="1"/>
    <col min="10" max="10" width="7.85546875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4"/>
      <c r="AB1" s="634"/>
      <c r="AC1" s="634"/>
    </row>
    <row r="2" spans="1:29" ht="12.75" customHeight="1" x14ac:dyDescent="0.2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  <c r="AA2" s="634"/>
      <c r="AB2" s="634"/>
      <c r="AC2" s="634"/>
    </row>
    <row r="3" spans="1:29" ht="12.75" customHeight="1" x14ac:dyDescent="0.2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634"/>
      <c r="AB3" s="634"/>
      <c r="AC3" s="634"/>
    </row>
    <row r="4" spans="1:29" ht="16.5" customHeight="1" x14ac:dyDescent="0.2">
      <c r="A4" s="874" t="s">
        <v>4</v>
      </c>
      <c r="B4" s="646"/>
      <c r="C4" s="880" t="s">
        <v>238</v>
      </c>
      <c r="D4" s="646"/>
      <c r="E4" s="28" t="s">
        <v>193</v>
      </c>
      <c r="F4" s="881" t="s">
        <v>239</v>
      </c>
      <c r="G4" s="666"/>
      <c r="H4" s="646"/>
      <c r="I4" s="29"/>
      <c r="J4" s="30"/>
      <c r="K4" s="31"/>
      <c r="L4" s="32"/>
      <c r="M4" s="15"/>
      <c r="N4" s="14"/>
      <c r="O4" s="5"/>
      <c r="P4" s="635"/>
      <c r="Q4" s="635"/>
      <c r="R4" s="635"/>
      <c r="S4" s="635"/>
      <c r="T4" s="635"/>
      <c r="U4" s="635"/>
      <c r="V4" s="635"/>
      <c r="W4" s="635"/>
      <c r="X4" s="635"/>
      <c r="Y4" s="635"/>
      <c r="Z4" s="635"/>
      <c r="AA4" s="634"/>
      <c r="AB4" s="634"/>
      <c r="AC4" s="634"/>
    </row>
    <row r="5" spans="1:29" ht="16.5" customHeight="1" x14ac:dyDescent="0.2">
      <c r="A5" s="874" t="s">
        <v>7</v>
      </c>
      <c r="B5" s="646"/>
      <c r="C5" s="882">
        <v>13817</v>
      </c>
      <c r="D5" s="646"/>
      <c r="E5" s="28" t="s">
        <v>6</v>
      </c>
      <c r="F5" s="883"/>
      <c r="G5" s="666"/>
      <c r="H5" s="646"/>
      <c r="I5" s="27"/>
      <c r="J5" s="33"/>
      <c r="K5" s="31"/>
      <c r="L5" s="32"/>
      <c r="M5" s="5"/>
      <c r="N5" s="14"/>
      <c r="O5" s="15"/>
      <c r="P5" s="636"/>
      <c r="Q5" s="636"/>
      <c r="R5" s="635"/>
      <c r="S5" s="635"/>
      <c r="T5" s="635"/>
      <c r="U5" s="635"/>
      <c r="V5" s="635"/>
      <c r="W5" s="635"/>
      <c r="X5" s="635"/>
      <c r="Y5" s="635"/>
      <c r="Z5" s="635"/>
      <c r="AA5" s="634"/>
      <c r="AB5" s="634"/>
      <c r="AC5" s="634"/>
    </row>
    <row r="6" spans="1:29" ht="16.5" customHeight="1" x14ac:dyDescent="0.2">
      <c r="A6" s="874" t="s">
        <v>9</v>
      </c>
      <c r="B6" s="646"/>
      <c r="C6" s="16"/>
      <c r="D6" s="34"/>
      <c r="E6" s="35" t="s">
        <v>207</v>
      </c>
      <c r="F6" s="875"/>
      <c r="G6" s="666"/>
      <c r="H6" s="646"/>
      <c r="I6" s="31"/>
      <c r="J6" s="5"/>
      <c r="K6" s="5"/>
      <c r="L6" s="32"/>
      <c r="M6" s="18"/>
      <c r="N6" s="14"/>
      <c r="O6" s="5"/>
      <c r="P6" s="635"/>
      <c r="Q6" s="635"/>
      <c r="R6" s="635"/>
      <c r="S6" s="635"/>
      <c r="T6" s="635"/>
      <c r="U6" s="635"/>
      <c r="V6" s="635"/>
      <c r="W6" s="635"/>
      <c r="X6" s="635"/>
      <c r="Y6" s="635"/>
      <c r="Z6" s="635"/>
      <c r="AA6" s="634"/>
      <c r="AB6" s="634"/>
      <c r="AC6" s="634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76" t="s">
        <v>194</v>
      </c>
      <c r="M7" s="877"/>
      <c r="N7" s="878"/>
      <c r="O7" s="1"/>
      <c r="P7" s="256"/>
      <c r="Q7" s="256"/>
      <c r="R7" s="256"/>
      <c r="S7" s="256"/>
      <c r="T7" s="256"/>
      <c r="U7" s="635"/>
      <c r="V7" s="635"/>
      <c r="W7" s="635"/>
      <c r="X7" s="635"/>
      <c r="Y7" s="635"/>
      <c r="Z7" s="635"/>
      <c r="AA7" s="634"/>
      <c r="AB7" s="634"/>
      <c r="AC7" s="634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35"/>
      <c r="Q8" s="635"/>
      <c r="R8" s="635"/>
      <c r="S8" s="635"/>
      <c r="T8" s="635"/>
      <c r="U8" s="635"/>
      <c r="V8" s="635"/>
      <c r="W8" s="635"/>
      <c r="X8" s="635"/>
      <c r="Y8" s="635"/>
      <c r="Z8" s="635"/>
      <c r="AA8" s="634"/>
      <c r="AB8" s="634"/>
      <c r="AC8" s="634"/>
    </row>
    <row r="9" spans="1:29" ht="12.75" customHeight="1" x14ac:dyDescent="0.2">
      <c r="A9" s="879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79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33"/>
      <c r="Q9" s="633"/>
      <c r="R9" s="633"/>
      <c r="S9" s="633"/>
      <c r="T9" s="633"/>
      <c r="U9" s="633"/>
      <c r="V9" s="633"/>
      <c r="W9" s="633"/>
      <c r="X9" s="633"/>
      <c r="Y9" s="633"/>
      <c r="Z9" s="633"/>
      <c r="AA9" s="634"/>
      <c r="AB9" s="634"/>
      <c r="AC9" s="634"/>
    </row>
    <row r="10" spans="1:29" ht="12.75" customHeight="1" x14ac:dyDescent="0.2">
      <c r="A10" s="672"/>
      <c r="B10" s="41"/>
      <c r="C10" s="41"/>
      <c r="D10" s="41"/>
      <c r="E10" s="41"/>
      <c r="F10" s="42"/>
      <c r="G10" s="42"/>
      <c r="H10" s="672"/>
      <c r="I10" s="41"/>
      <c r="J10" s="41"/>
      <c r="K10" s="41"/>
      <c r="L10" s="41"/>
      <c r="M10" s="41"/>
      <c r="N10" s="41"/>
      <c r="O10" s="40"/>
      <c r="P10" s="633"/>
      <c r="Q10" s="633"/>
      <c r="R10" s="633"/>
      <c r="S10" s="633"/>
      <c r="T10" s="633"/>
      <c r="U10" s="633"/>
      <c r="V10" s="633"/>
      <c r="W10" s="633"/>
      <c r="X10" s="633"/>
      <c r="Y10" s="633"/>
      <c r="Z10" s="633"/>
      <c r="AA10" s="634"/>
      <c r="AB10" s="634"/>
      <c r="AC10" s="634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33"/>
      <c r="Q11" s="633"/>
      <c r="R11" s="633"/>
      <c r="S11" s="633"/>
      <c r="T11" s="633"/>
      <c r="U11" s="633"/>
      <c r="V11" s="633"/>
      <c r="W11" s="633"/>
      <c r="X11" s="633"/>
      <c r="Y11" s="633"/>
      <c r="Z11" s="633"/>
      <c r="AA11" s="634"/>
      <c r="AB11" s="634"/>
      <c r="AC11" s="634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  <c r="AA12" s="634"/>
      <c r="AB12" s="634"/>
      <c r="AC12" s="634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33"/>
      <c r="Q13" s="633"/>
      <c r="R13" s="633"/>
      <c r="S13" s="633"/>
      <c r="T13" s="633"/>
      <c r="U13" s="633"/>
      <c r="V13" s="633"/>
      <c r="W13" s="633"/>
      <c r="X13" s="633"/>
      <c r="Y13" s="633"/>
      <c r="Z13" s="633"/>
      <c r="AA13" s="634"/>
      <c r="AB13" s="634"/>
      <c r="AC13" s="634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33"/>
      <c r="Q14" s="633"/>
      <c r="R14" s="633"/>
      <c r="S14" s="633"/>
      <c r="T14" s="633"/>
      <c r="U14" s="633"/>
      <c r="V14" s="633"/>
      <c r="W14" s="633"/>
      <c r="X14" s="633"/>
      <c r="Y14" s="633"/>
      <c r="Z14" s="633"/>
      <c r="AA14" s="634"/>
      <c r="AB14" s="634"/>
      <c r="AC14" s="634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  <c r="AA15" s="634"/>
      <c r="AB15" s="634"/>
      <c r="AC15" s="634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  <c r="AA16" s="634"/>
      <c r="AB16" s="634"/>
      <c r="AC16" s="634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33"/>
      <c r="Q17" s="633"/>
      <c r="R17" s="633"/>
      <c r="S17" s="633"/>
      <c r="T17" s="633"/>
      <c r="U17" s="633"/>
      <c r="V17" s="633"/>
      <c r="W17" s="633"/>
      <c r="X17" s="633"/>
      <c r="Y17" s="633"/>
      <c r="Z17" s="633"/>
      <c r="AA17" s="634"/>
      <c r="AB17" s="634"/>
      <c r="AC17" s="634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33"/>
      <c r="Q18" s="633"/>
      <c r="R18" s="633"/>
      <c r="S18" s="633"/>
      <c r="T18" s="633"/>
      <c r="U18" s="633"/>
      <c r="V18" s="633"/>
      <c r="W18" s="633"/>
      <c r="X18" s="633"/>
      <c r="Y18" s="633"/>
      <c r="Z18" s="633"/>
      <c r="AA18" s="634"/>
      <c r="AB18" s="634"/>
      <c r="AC18" s="634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634"/>
      <c r="AB19" s="634"/>
      <c r="AC19" s="634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34"/>
      <c r="AB20" s="634"/>
      <c r="AC20" s="634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34"/>
      <c r="AB21" s="634"/>
      <c r="AC21" s="634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33"/>
      <c r="Q22" s="633"/>
      <c r="R22" s="633"/>
      <c r="S22" s="633"/>
      <c r="T22" s="633"/>
      <c r="U22" s="633"/>
      <c r="V22" s="633"/>
      <c r="W22" s="633"/>
      <c r="X22" s="633"/>
      <c r="Y22" s="633"/>
      <c r="Z22" s="633"/>
      <c r="AA22" s="634"/>
      <c r="AB22" s="634"/>
      <c r="AC22" s="634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33"/>
      <c r="Q23" s="633"/>
      <c r="R23" s="633"/>
      <c r="S23" s="633"/>
      <c r="T23" s="633"/>
      <c r="U23" s="633"/>
      <c r="V23" s="633"/>
      <c r="W23" s="633"/>
      <c r="X23" s="633"/>
      <c r="Y23" s="633"/>
      <c r="Z23" s="633"/>
      <c r="AA23" s="634"/>
      <c r="AB23" s="634"/>
      <c r="AC23" s="634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33"/>
      <c r="Q24" s="633"/>
      <c r="R24" s="633"/>
      <c r="S24" s="633"/>
      <c r="T24" s="633"/>
      <c r="U24" s="633"/>
      <c r="V24" s="633"/>
      <c r="W24" s="633"/>
      <c r="X24" s="633"/>
      <c r="Y24" s="633"/>
      <c r="Z24" s="633"/>
      <c r="AA24" s="634"/>
      <c r="AB24" s="634"/>
      <c r="AC24" s="634"/>
    </row>
    <row r="25" spans="1:29" ht="12.75" customHeight="1" x14ac:dyDescent="0.2">
      <c r="A25" s="873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73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34"/>
      <c r="AB25" s="634"/>
      <c r="AC25" s="634"/>
    </row>
    <row r="26" spans="1:29" ht="12.75" customHeight="1" x14ac:dyDescent="0.2">
      <c r="A26" s="672"/>
      <c r="B26" s="41"/>
      <c r="C26" s="41"/>
      <c r="D26" s="41"/>
      <c r="E26" s="41"/>
      <c r="F26" s="42"/>
      <c r="G26" s="42"/>
      <c r="H26" s="672"/>
      <c r="I26" s="41"/>
      <c r="J26" s="41"/>
      <c r="K26" s="41"/>
      <c r="L26" s="41"/>
      <c r="M26" s="41"/>
      <c r="N26" s="41"/>
      <c r="O26" s="40"/>
      <c r="P26" s="633"/>
      <c r="Q26" s="633"/>
      <c r="R26" s="633"/>
      <c r="S26" s="633"/>
      <c r="T26" s="633"/>
      <c r="U26" s="633"/>
      <c r="V26" s="633"/>
      <c r="W26" s="633"/>
      <c r="X26" s="633"/>
      <c r="Y26" s="633"/>
      <c r="Z26" s="633"/>
      <c r="AA26" s="634"/>
      <c r="AB26" s="634"/>
      <c r="AC26" s="634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33"/>
      <c r="Q27" s="633"/>
      <c r="R27" s="633"/>
      <c r="S27" s="633"/>
      <c r="T27" s="633"/>
      <c r="U27" s="633"/>
      <c r="V27" s="633"/>
      <c r="W27" s="633"/>
      <c r="X27" s="633"/>
      <c r="Y27" s="633"/>
      <c r="Z27" s="633"/>
      <c r="AA27" s="634"/>
      <c r="AB27" s="634"/>
      <c r="AC27" s="634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33"/>
      <c r="Q28" s="633"/>
      <c r="R28" s="633"/>
      <c r="S28" s="633"/>
      <c r="T28" s="633"/>
      <c r="U28" s="633"/>
      <c r="V28" s="633"/>
      <c r="W28" s="633"/>
      <c r="X28" s="633"/>
      <c r="Y28" s="633"/>
      <c r="Z28" s="633"/>
      <c r="AA28" s="634"/>
      <c r="AB28" s="634"/>
      <c r="AC28" s="634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33"/>
      <c r="Q29" s="633"/>
      <c r="R29" s="633"/>
      <c r="S29" s="633"/>
      <c r="T29" s="633"/>
      <c r="U29" s="633"/>
      <c r="V29" s="633"/>
      <c r="W29" s="633"/>
      <c r="X29" s="633"/>
      <c r="Y29" s="633"/>
      <c r="Z29" s="633"/>
      <c r="AA29" s="634"/>
      <c r="AB29" s="634"/>
      <c r="AC29" s="634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33"/>
      <c r="Q30" s="633"/>
      <c r="R30" s="633"/>
      <c r="S30" s="633"/>
      <c r="T30" s="633"/>
      <c r="U30" s="633"/>
      <c r="V30" s="633"/>
      <c r="W30" s="633"/>
      <c r="X30" s="633"/>
      <c r="Y30" s="633"/>
      <c r="Z30" s="633"/>
      <c r="AA30" s="634"/>
      <c r="AB30" s="634"/>
      <c r="AC30" s="634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33"/>
      <c r="Q31" s="633"/>
      <c r="R31" s="633"/>
      <c r="S31" s="633"/>
      <c r="T31" s="633"/>
      <c r="U31" s="633"/>
      <c r="V31" s="633"/>
      <c r="W31" s="633"/>
      <c r="X31" s="633"/>
      <c r="Y31" s="633"/>
      <c r="Z31" s="633"/>
      <c r="AA31" s="634"/>
      <c r="AB31" s="634"/>
      <c r="AC31" s="634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33"/>
      <c r="Q32" s="633"/>
      <c r="R32" s="633"/>
      <c r="S32" s="633"/>
      <c r="T32" s="633"/>
      <c r="U32" s="633"/>
      <c r="V32" s="633"/>
      <c r="W32" s="633"/>
      <c r="X32" s="633"/>
      <c r="Y32" s="633"/>
      <c r="Z32" s="633"/>
      <c r="AA32" s="634"/>
      <c r="AB32" s="634"/>
      <c r="AC32" s="634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33"/>
      <c r="Q33" s="633"/>
      <c r="R33" s="633"/>
      <c r="S33" s="633"/>
      <c r="T33" s="633"/>
      <c r="U33" s="633"/>
      <c r="V33" s="633"/>
      <c r="W33" s="633"/>
      <c r="X33" s="633"/>
      <c r="Y33" s="633"/>
      <c r="Z33" s="633"/>
      <c r="AA33" s="634"/>
      <c r="AB33" s="634"/>
      <c r="AC33" s="634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34"/>
      <c r="AB34" s="634"/>
      <c r="AC34" s="634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34"/>
      <c r="AB35" s="634"/>
      <c r="AC35" s="634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33"/>
      <c r="Q36" s="633"/>
      <c r="R36" s="633"/>
      <c r="S36" s="633"/>
      <c r="T36" s="633"/>
      <c r="U36" s="633"/>
      <c r="V36" s="633"/>
      <c r="W36" s="633"/>
      <c r="X36" s="633"/>
      <c r="Y36" s="633"/>
      <c r="Z36" s="633"/>
      <c r="AA36" s="634"/>
      <c r="AB36" s="634"/>
      <c r="AC36" s="634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634"/>
      <c r="AB37" s="634"/>
      <c r="AC37" s="634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33"/>
      <c r="Q38" s="633"/>
      <c r="R38" s="633"/>
      <c r="S38" s="633"/>
      <c r="T38" s="633"/>
      <c r="U38" s="633"/>
      <c r="V38" s="633"/>
      <c r="W38" s="633"/>
      <c r="X38" s="633"/>
      <c r="Y38" s="633"/>
      <c r="Z38" s="633"/>
      <c r="AA38" s="634"/>
      <c r="AB38" s="634"/>
      <c r="AC38" s="634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34"/>
      <c r="AB39" s="634"/>
      <c r="AC39" s="634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33"/>
      <c r="Q40" s="633"/>
      <c r="R40" s="633"/>
      <c r="S40" s="633"/>
      <c r="T40" s="633"/>
      <c r="U40" s="633"/>
      <c r="V40" s="633"/>
      <c r="W40" s="633"/>
      <c r="X40" s="633"/>
      <c r="Y40" s="633"/>
      <c r="Z40" s="633"/>
      <c r="AA40" s="634"/>
      <c r="AB40" s="634"/>
      <c r="AC40" s="634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33"/>
      <c r="Q41" s="633"/>
      <c r="R41" s="633"/>
      <c r="S41" s="633"/>
      <c r="T41" s="633"/>
      <c r="U41" s="633"/>
      <c r="V41" s="633"/>
      <c r="W41" s="633"/>
      <c r="X41" s="633"/>
      <c r="Y41" s="633"/>
      <c r="Z41" s="633"/>
      <c r="AA41" s="634"/>
      <c r="AB41" s="634"/>
      <c r="AC41" s="634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33"/>
      <c r="Q42" s="633"/>
      <c r="R42" s="633"/>
      <c r="S42" s="633"/>
      <c r="T42" s="633"/>
      <c r="U42" s="633"/>
      <c r="V42" s="633"/>
      <c r="W42" s="633"/>
      <c r="X42" s="633"/>
      <c r="Y42" s="633"/>
      <c r="Z42" s="633"/>
      <c r="AA42" s="634"/>
      <c r="AB42" s="634"/>
      <c r="AC42" s="634"/>
    </row>
    <row r="43" spans="1:29" ht="12.75" customHeight="1" x14ac:dyDescent="0.2">
      <c r="A43" s="53"/>
      <c r="B43" s="260" t="s">
        <v>61</v>
      </c>
      <c r="C43" s="633"/>
      <c r="D43" s="260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  <c r="X43" s="633"/>
      <c r="Y43" s="633"/>
      <c r="Z43" s="633"/>
      <c r="AA43" s="634"/>
      <c r="AB43" s="634"/>
      <c r="AC43" s="634"/>
    </row>
    <row r="44" spans="1:29" ht="12.75" customHeight="1" x14ac:dyDescent="0.2">
      <c r="A44" s="53"/>
      <c r="B44" s="256" t="s">
        <v>179</v>
      </c>
      <c r="C44" s="633"/>
      <c r="D44" s="262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34"/>
      <c r="AB44" s="634"/>
      <c r="AC44" s="634"/>
    </row>
    <row r="45" spans="1:29" ht="12.75" customHeight="1" x14ac:dyDescent="0.2">
      <c r="A45" s="53"/>
      <c r="B45" s="256" t="s">
        <v>181</v>
      </c>
      <c r="C45" s="633"/>
      <c r="D45" s="262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34"/>
      <c r="AB45" s="634"/>
      <c r="AC45" s="634"/>
    </row>
    <row r="46" spans="1:29" ht="12.75" customHeight="1" x14ac:dyDescent="0.2">
      <c r="A46" s="53"/>
      <c r="B46" s="256" t="s">
        <v>183</v>
      </c>
      <c r="C46" s="633"/>
      <c r="D46" s="262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  <c r="X46" s="633"/>
      <c r="Y46" s="633"/>
      <c r="Z46" s="633"/>
      <c r="AA46" s="634"/>
      <c r="AB46" s="634"/>
      <c r="AC46" s="634"/>
    </row>
    <row r="47" spans="1:29" ht="12.75" customHeight="1" x14ac:dyDescent="0.2">
      <c r="A47" s="53"/>
      <c r="B47" s="256" t="s">
        <v>184</v>
      </c>
      <c r="C47" s="633"/>
      <c r="D47" s="262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  <c r="X47" s="633"/>
      <c r="Y47" s="633"/>
      <c r="Z47" s="633"/>
      <c r="AA47" s="634"/>
      <c r="AB47" s="634"/>
      <c r="AC47" s="634"/>
    </row>
    <row r="48" spans="1:29" ht="12.75" customHeight="1" x14ac:dyDescent="0.2">
      <c r="A48" s="53"/>
      <c r="B48" s="256" t="s">
        <v>185</v>
      </c>
      <c r="C48" s="633"/>
      <c r="D48" s="262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634"/>
      <c r="AB48" s="634"/>
      <c r="AC48" s="634"/>
    </row>
    <row r="49" spans="1:29" ht="12.75" customHeight="1" x14ac:dyDescent="0.2">
      <c r="A49" s="53"/>
      <c r="B49" s="256" t="s">
        <v>186</v>
      </c>
      <c r="C49" s="633"/>
      <c r="D49" s="262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33"/>
      <c r="V49" s="633"/>
      <c r="W49" s="633"/>
      <c r="X49" s="633"/>
      <c r="Y49" s="633"/>
      <c r="Z49" s="633"/>
      <c r="AA49" s="634"/>
      <c r="AB49" s="634"/>
      <c r="AC49" s="634"/>
    </row>
    <row r="50" spans="1:29" ht="12.75" customHeight="1" x14ac:dyDescent="0.2">
      <c r="A50" s="53"/>
      <c r="B50" s="256" t="s">
        <v>187</v>
      </c>
      <c r="C50" s="633"/>
      <c r="D50" s="262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34"/>
      <c r="AB50" s="634"/>
      <c r="AC50" s="634"/>
    </row>
    <row r="51" spans="1:29" ht="12.75" customHeight="1" x14ac:dyDescent="0.2">
      <c r="A51" s="53"/>
      <c r="B51" s="256" t="s">
        <v>188</v>
      </c>
      <c r="C51" s="633"/>
      <c r="D51" s="262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633"/>
      <c r="C52" s="633"/>
      <c r="D52" s="262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633"/>
      <c r="C53" s="633"/>
      <c r="D53" s="262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633"/>
      <c r="C54" s="633"/>
      <c r="D54" s="262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633"/>
      <c r="C55" s="633"/>
      <c r="D55" s="262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3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633"/>
      <c r="C56" s="633"/>
      <c r="D56" s="262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3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633"/>
      <c r="C57" s="633"/>
      <c r="D57" s="262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633"/>
      <c r="C58" s="633"/>
      <c r="D58" s="262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633"/>
      <c r="C59" s="633"/>
      <c r="D59" s="262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633"/>
      <c r="C60" s="633"/>
      <c r="D60" s="262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633"/>
      <c r="C61" s="633"/>
      <c r="D61" s="262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633"/>
      <c r="C62" s="633"/>
      <c r="D62" s="262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633"/>
      <c r="C63" s="633"/>
      <c r="D63" s="262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3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633"/>
      <c r="C64" s="633"/>
      <c r="D64" s="262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633"/>
      <c r="C65" s="633"/>
      <c r="D65" s="262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633"/>
      <c r="C66" s="633"/>
      <c r="D66" s="262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633"/>
      <c r="C67" s="633"/>
      <c r="D67" s="262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633"/>
      <c r="C68" s="633"/>
      <c r="D68" s="262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633"/>
      <c r="C69" s="633"/>
      <c r="D69" s="262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633"/>
      <c r="C73" s="633"/>
      <c r="D73" s="633"/>
      <c r="E73" s="633"/>
      <c r="F73" s="633"/>
      <c r="G73" s="633"/>
      <c r="H73" s="633"/>
      <c r="I73" s="633"/>
      <c r="J73" s="633"/>
      <c r="K73" s="633"/>
      <c r="L73" s="633"/>
      <c r="M73" s="633"/>
      <c r="N73" s="633"/>
      <c r="O73" s="633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3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633"/>
      <c r="C79" s="633"/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3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3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633"/>
      <c r="C85" s="633"/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3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2025-06-04T19:31:18Z</cp:lastPrinted>
  <dcterms:created xsi:type="dcterms:W3CDTF">2002-03-13T22:45:45Z</dcterms:created>
  <dcterms:modified xsi:type="dcterms:W3CDTF">2026-05-20T15:45:58Z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