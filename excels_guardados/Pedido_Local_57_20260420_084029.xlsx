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3" documentId="13_ncr:1_{EF998A80-13AD-4E65-A857-7DFFB55F8243}" xr6:coauthVersionLast="47" xr6:coauthVersionMax="47" xr10:uidLastSave="{AE078463-83B6-48FC-8E1A-26C1CDDA4867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<sst xmlns="http://schemas.openxmlformats.org/spreadsheetml/2006/main" count="1768" uniqueCount="246">
  <si>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</si>
  <si>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</si>
  <si>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</si>
  <si>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</si>
  <si>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</si>
  <si>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</si>
  <si>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</si>
  <si>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</si>
  <si>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</si>
  <si>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</si>
  <si>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</si>
  <si>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</si>
  <si>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</si>
  <si>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</si>
  <si>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</si>
  <si>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</si>
  <si>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</si>
  <si>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</si>
  <si>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</si>
  <si>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</si>
  <si>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</si>
  <si>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</si>
  <si>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</si>
  <si>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</si>
  <si>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</si>
  <si>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</si>
  <si>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</si>
  <si>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</si>
  <si>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</si>
  <si>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</si>
  <si>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</si>
  <si>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</si>
  <si>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</si>
  <si>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</si>
  <si>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</si>
  <si>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</si>
  <si>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</si>
  <si>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</si>
  <si>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</si>
  <si>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</si>
  <si>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</si>
  <si>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</si>
  <si>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</si>
  <si>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</si>
  <si>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</si>
  <si>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</si>
  <si>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</si>
  <si>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</si>
  <si>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</si>
  <si>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</si>
  <si>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</si>
  <si>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</si>
  <si>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</si>
  <si>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</si>
  <si>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</si>
  <si>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</si>
  <si>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</si>
  <si>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</si>
  <si>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</si>
  <si>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</si>
  <si>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</si>
  <si>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</si>
  <si>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</si>
  <si>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</si>
  <si>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</si>
  <si>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</si>
  <si>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</si>
  <si>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</si>
  <si>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</si>
  <si>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</si>
  <si>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</si>
  <si>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</si>
  <si>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</si>
  <si>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</si>
  <si>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</si>
  <si>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</si>
  <si>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</si>
  <si>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</si>
  <si>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</si>
  <si>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</si>
  <si>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</si>
  <si>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</si>
  <si>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</si>
  <si>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</si>
  <si>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</si>
  <si>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</si>
  <si>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</si>
  <si>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</si>
  <si>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</si>
  <si>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</si>
  <si>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</si>
  <si>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</si>
  <si>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</si>
  <si>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</si>
  <si>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</si>
  <si>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</si>
  <si>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</si>
  <si>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</si>
  <si>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</si>
  <si>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</si>
  <si>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</si>
  <si>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</si>
  <si>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</si>
  <si>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</si>
  <si>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</si>
  <si>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</si>
  <si>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</si>
  <si>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</si>
  <si>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</si>
  <si>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</si>
  <si>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</si>
  <si>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</si>
  <si>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</si>
  <si>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</si>
  <si>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</si>
  <si>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</si>
  <si>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</si>
  <si>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</si>
  <si>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</si>
  <si>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</si>
  <si>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</si>
  <si>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</si>
  <si>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</si>
  <si>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</si>
  <si>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</si>
  <si>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</si>
  <si>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</si>
  <si>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</si>
  <si>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</si>
  <si>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</si>
  <si>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</si>
  <si>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</si>
  <si>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</si>
  <si>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</si>
  <si>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</si>
  <si>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</si>
  <si>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</si>
  <si>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</si>
  <si>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</si>
  <si>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</si>
  <si>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</si>
  <si>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</si>
  <si>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</si>
  <si>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</si>
  <si>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</si>
  <si>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</si>
  <si>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</si>
  <si>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</si>
  <si>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</si>
  <si>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</si>
  <si>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</si>
  <si>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</si>
  <si>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</si>
  <si>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</si>
  <si>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</si>
  <si>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</si>
  <si>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</si>
  <si>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</si>
  <si>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</si>
  <si>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</si>
  <si>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</si>
  <si>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</si>
  <si>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</si>
  <si>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</si>
  <si>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</si>
  <si>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</si>
  <si>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</si>
  <si>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</si>
  <si>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</si>
  <si>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</si>
  <si>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</si>
  <si>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</si>
  <si>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</si>
  <si>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</si>
  <si>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</si>
  <si>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</si>
  <si>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</si>
  <si>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</si>
  <si>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</si>
  <si>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</si>
  <si>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</si>
  <si>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</si>
  <si>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</si>
  <si>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</si>
  <si>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</si>
  <si>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</si>
  <si>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</si>
  <si>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</si>
  <si>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</si>
  <si>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</si>
  <si>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</si>
  <si>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</si>
  <si>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</si>
  <si>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</si>
  <si>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</si>
  <si>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</si>
  <si>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</si>
  <si>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</si>
  <si>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</si>
  <si>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</si>
  <si>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</si>
  <si>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</si>
  <si>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</si>
  <si>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</si>
  <si>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</si>
  <si>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</si>
  <si>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</si>
  <si>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</si>
  <si>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</si>
  <si>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</si>
  <si>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</si>
  <si>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</si>
  <si>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</si>
  <si>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</si>
  <si>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</si>
  <si>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</si>
  <si>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</si>
  <si>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</si>
  <si>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</si>
  <si>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</si>
  <si>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</si>
  <si>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</si>
  <si>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</si>
  <si>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</si>
  <si>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</si>
  <si>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</si>
  <si>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</si>
  <si>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</si>
  <si>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</si>
  <si>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</si>
  <si>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</si>
  <si>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</si>
  <si>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</si>
  <si>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</si>
  <si>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</si>
  <si>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</si>
  <si>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</si>
  <si>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</si>
  <si>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</si>
  <si>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</si>
  <si>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</si>
  <si>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</si>
  <si>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</si>
  <si>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</si>
  <si>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3.1</t>
  </si>
  <si>
    <t xml:space="preserve">segundo piso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</si>
</sst>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F3" zoomScaleNormal="100" workbookViewId="0">
      <selection activeCell="K8" sqref="K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46129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57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6.2884214269167629</v>
      </c>
      <c r="P12" s="296">
        <f t="shared" si="0"/>
        <v>25.153685707667051</v>
      </c>
      <c r="Q12" s="597" t="s">
        <v>23</v>
      </c>
      <c r="R12" s="598"/>
      <c r="S12" s="284">
        <f>ROUNDUP(AI49/6,0)</f>
        <v>10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20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4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28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6.2884214269167629</v>
      </c>
      <c r="P17" s="306">
        <f t="shared" si="1"/>
        <v>25.153685707667051</v>
      </c>
      <c r="Q17" s="597" t="s">
        <v>40</v>
      </c>
      <c r="R17" s="598"/>
      <c r="S17" s="284">
        <f>ROUNDUP(AI49/6,0)</f>
        <v>10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38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19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108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7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180</v>
      </c>
      <c r="C29" s="192" t="s">
        <v>244</v>
      </c>
      <c r="D29" s="592" t="s">
        <v>245</v>
      </c>
      <c r="E29" s="608"/>
      <c r="F29" s="607" t="s">
        <v>103</v>
      </c>
      <c r="G29" s="594"/>
      <c r="H29" s="593"/>
      <c r="I29" s="192">
        <v>1</v>
      </c>
      <c r="J29" s="192">
        <v>20</v>
      </c>
      <c r="K29" s="192">
        <v>20</v>
      </c>
      <c r="L29" s="192"/>
      <c r="M29" s="192"/>
      <c r="N29" s="592"/>
      <c r="O29" s="594"/>
      <c r="P29" s="593"/>
      <c r="Q29" s="192"/>
      <c r="R29" s="192"/>
      <c r="S29" s="192">
        <v>0.25</v>
      </c>
      <c r="T29" s="192">
        <v>15</v>
      </c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133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4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107</v>
      </c>
      <c r="G30" s="594"/>
      <c r="H30" s="593"/>
      <c r="I30" s="192">
        <v>1</v>
      </c>
      <c r="J30" s="192">
        <v>20</v>
      </c>
      <c r="K30" s="192">
        <v>20</v>
      </c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 t="s">
        <v>151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4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0.1009</v>
      </c>
      <c r="AN30" s="290">
        <f t="shared" si="8"/>
        <v>0.40360000000000001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0.1009</v>
      </c>
      <c r="BO30" s="280">
        <f t="shared" ref="BO30:BO48" si="35">IF(F30="Zapato c/ Templador",(2*(J30+K30+S30*100)*AT$62/10+S30*100*((2*J30+K30+S30*100+SQRT(2)*AY$57/10)+(2*AX$57/10+K30)*SQRT(2))+2*(J30+K30)*IF(AA30="TDF",BC$56/10,IF(AA30="Balleta",BC$55/10)))/10000*I30,"N/D")</f>
        <v>4.8000000000000001E-2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98</v>
      </c>
      <c r="G31" s="594"/>
      <c r="H31" s="593"/>
      <c r="I31" s="192">
        <v>1</v>
      </c>
      <c r="J31" s="192">
        <v>20</v>
      </c>
      <c r="K31" s="192">
        <v>20</v>
      </c>
      <c r="L31" s="192"/>
      <c r="M31" s="192"/>
      <c r="N31" s="592"/>
      <c r="O31" s="594"/>
      <c r="P31" s="593"/>
      <c r="Q31" s="192"/>
      <c r="R31" s="192"/>
      <c r="S31" s="192">
        <v>0.3</v>
      </c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0</v>
      </c>
      <c r="AI31" s="286">
        <f t="shared" si="5"/>
        <v>8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0.34986</v>
      </c>
      <c r="AN31" s="290">
        <f t="shared" ref="AN31:AN46" si="37">IF(ISERROR(AM31*(IF(AJ31=1,8,IF(AJ31=0.8,6.4,IF(AJ31=0.6,4.8,IF(AJ31=0.5,4)))))),"",AM31*(IF(AJ31=1,8,IF(AJ31=0.8,6.4,IF(AJ31=0.6,4.8,IF(AJ31=0.5,4))))))</f>
        <v>1.39944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0.34986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 t="s">
        <v>87</v>
      </c>
      <c r="G32" s="594"/>
      <c r="H32" s="593"/>
      <c r="I32" s="192">
        <v>1</v>
      </c>
      <c r="J32" s="192">
        <v>20</v>
      </c>
      <c r="K32" s="192">
        <v>20</v>
      </c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1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0.41488431055057862</v>
      </c>
      <c r="AN32" s="290">
        <f t="shared" si="37"/>
        <v>1.6595372422023145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>
        <f t="shared" si="12"/>
        <v>0.41488431055057862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 t="s">
        <v>98</v>
      </c>
      <c r="G33" s="594"/>
      <c r="H33" s="593"/>
      <c r="I33" s="192">
        <v>1</v>
      </c>
      <c r="J33" s="192">
        <v>20</v>
      </c>
      <c r="K33" s="192">
        <v>20</v>
      </c>
      <c r="L33" s="192"/>
      <c r="M33" s="192"/>
      <c r="N33" s="592"/>
      <c r="O33" s="594"/>
      <c r="P33" s="593"/>
      <c r="Q33" s="192"/>
      <c r="R33" s="192"/>
      <c r="S33" s="192">
        <v>0.1</v>
      </c>
      <c r="T33" s="192"/>
      <c r="U33" s="192"/>
      <c r="V33" s="193"/>
      <c r="W33" s="194"/>
      <c r="X33" s="192"/>
      <c r="Y33" s="192"/>
      <c r="Z33" s="195"/>
      <c r="AA33" s="592" t="s">
        <v>136</v>
      </c>
      <c r="AB33" s="593"/>
      <c r="AC33" s="592" t="s">
        <v>136</v>
      </c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0.18325999999999998</v>
      </c>
      <c r="AN33" s="290">
        <f t="shared" si="37"/>
        <v>0.73303999999999991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0.18325999999999998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108</v>
      </c>
      <c r="G34" s="594"/>
      <c r="H34" s="593"/>
      <c r="I34" s="192">
        <v>1</v>
      </c>
      <c r="J34" s="192">
        <v>20</v>
      </c>
      <c r="K34" s="192">
        <v>20</v>
      </c>
      <c r="L34" s="192"/>
      <c r="M34" s="192"/>
      <c r="N34" s="592"/>
      <c r="O34" s="594"/>
      <c r="P34" s="593"/>
      <c r="Q34" s="192"/>
      <c r="R34" s="192"/>
      <c r="S34" s="192">
        <v>0.2</v>
      </c>
      <c r="T34" s="192"/>
      <c r="U34" s="192"/>
      <c r="V34" s="193"/>
      <c r="W34" s="194"/>
      <c r="X34" s="192"/>
      <c r="Y34" s="192"/>
      <c r="Z34" s="195"/>
      <c r="AA34" s="592" t="s">
        <v>151</v>
      </c>
      <c r="AB34" s="593"/>
      <c r="AC34" s="592" t="s">
        <v>136</v>
      </c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4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 t="s">
        <v>98</v>
      </c>
      <c r="G35" s="594"/>
      <c r="H35" s="593"/>
      <c r="I35" s="192">
        <v>1</v>
      </c>
      <c r="J35" s="192">
        <v>20</v>
      </c>
      <c r="K35" s="192">
        <v>20</v>
      </c>
      <c r="L35" s="192"/>
      <c r="M35" s="192"/>
      <c r="N35" s="592"/>
      <c r="O35" s="594"/>
      <c r="P35" s="593"/>
      <c r="Q35" s="192"/>
      <c r="R35" s="192"/>
      <c r="S35" s="192">
        <v>0.52</v>
      </c>
      <c r="T35" s="192"/>
      <c r="U35" s="192"/>
      <c r="V35" s="193"/>
      <c r="W35" s="194"/>
      <c r="X35" s="192"/>
      <c r="Y35" s="192"/>
      <c r="Z35" s="195"/>
      <c r="AA35" s="592" t="s">
        <v>136</v>
      </c>
      <c r="AB35" s="593"/>
      <c r="AC35" s="592" t="s">
        <v>136</v>
      </c>
      <c r="AD35" s="593"/>
      <c r="AE35" s="197"/>
      <c r="AF35" s="284">
        <f t="shared" si="2"/>
        <v>1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0.53311999999999993</v>
      </c>
      <c r="AN35" s="290">
        <f t="shared" si="37"/>
        <v>2.1324799999999997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0.53311999999999993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 t="s">
        <v>87</v>
      </c>
      <c r="G36" s="594"/>
      <c r="H36" s="593"/>
      <c r="I36" s="192">
        <v>1</v>
      </c>
      <c r="J36" s="192">
        <v>20</v>
      </c>
      <c r="K36" s="192">
        <v>20</v>
      </c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 t="s">
        <v>136</v>
      </c>
      <c r="AB36" s="593"/>
      <c r="AC36" s="592" t="s">
        <v>136</v>
      </c>
      <c r="AD36" s="593"/>
      <c r="AE36" s="197"/>
      <c r="AF36" s="284">
        <f t="shared" si="2"/>
        <v>1</v>
      </c>
      <c r="AG36" s="285">
        <f t="shared" si="3"/>
        <v>0</v>
      </c>
      <c r="AH36" s="285">
        <f t="shared" si="4"/>
        <v>8</v>
      </c>
      <c r="AI36" s="286">
        <f t="shared" si="5"/>
        <v>0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0.41488431055057862</v>
      </c>
      <c r="AN36" s="290">
        <f t="shared" si="37"/>
        <v>1.6595372422023145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>
        <f t="shared" si="12"/>
        <v>0.41488431055057862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 t="s">
        <v>98</v>
      </c>
      <c r="G37" s="594"/>
      <c r="H37" s="593"/>
      <c r="I37" s="192">
        <v>2</v>
      </c>
      <c r="J37" s="192">
        <v>20</v>
      </c>
      <c r="K37" s="192">
        <v>20</v>
      </c>
      <c r="L37" s="192"/>
      <c r="M37" s="192"/>
      <c r="N37" s="592"/>
      <c r="O37" s="594"/>
      <c r="P37" s="593"/>
      <c r="Q37" s="192"/>
      <c r="R37" s="192"/>
      <c r="S37" s="192">
        <v>0.9</v>
      </c>
      <c r="T37" s="192"/>
      <c r="U37" s="192"/>
      <c r="V37" s="193"/>
      <c r="W37" s="194"/>
      <c r="X37" s="192"/>
      <c r="Y37" s="192"/>
      <c r="Z37" s="195"/>
      <c r="AA37" s="592" t="s">
        <v>136</v>
      </c>
      <c r="AB37" s="593"/>
      <c r="AC37" s="592" t="s">
        <v>136</v>
      </c>
      <c r="AD37" s="593"/>
      <c r="AE37" s="197"/>
      <c r="AF37" s="284">
        <f t="shared" si="2"/>
        <v>2</v>
      </c>
      <c r="AG37" s="285">
        <f t="shared" si="3"/>
        <v>0</v>
      </c>
      <c r="AH37" s="285">
        <f t="shared" si="4"/>
        <v>0</v>
      </c>
      <c r="AI37" s="286">
        <f t="shared" si="5"/>
        <v>8</v>
      </c>
      <c r="AJ37" s="287">
        <f t="shared" si="36"/>
        <v>0.5</v>
      </c>
      <c r="AK37" s="288"/>
      <c r="AL37" s="289">
        <f t="shared" si="6"/>
        <v>0.5</v>
      </c>
      <c r="AM37" s="290">
        <f t="shared" si="7"/>
        <v>1.6993200000000002</v>
      </c>
      <c r="AN37" s="290">
        <f t="shared" si="37"/>
        <v>6.7972800000000007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>
        <f t="shared" si="23"/>
        <v>1.6993200000000002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 t="s">
        <v>108</v>
      </c>
      <c r="G38" s="594"/>
      <c r="H38" s="593"/>
      <c r="I38" s="192">
        <v>1</v>
      </c>
      <c r="J38" s="192">
        <v>20</v>
      </c>
      <c r="K38" s="192">
        <v>20</v>
      </c>
      <c r="L38" s="192"/>
      <c r="M38" s="192"/>
      <c r="N38" s="592"/>
      <c r="O38" s="594"/>
      <c r="P38" s="593"/>
      <c r="Q38" s="192"/>
      <c r="R38" s="192"/>
      <c r="S38" s="192">
        <v>0.2</v>
      </c>
      <c r="T38" s="192"/>
      <c r="U38" s="192"/>
      <c r="V38" s="193"/>
      <c r="W38" s="194"/>
      <c r="X38" s="192"/>
      <c r="Y38" s="192"/>
      <c r="Z38" s="195"/>
      <c r="AA38" s="592" t="s">
        <v>151</v>
      </c>
      <c r="AB38" s="593"/>
      <c r="AC38" s="592" t="s">
        <v>136</v>
      </c>
      <c r="AD38" s="593"/>
      <c r="AE38" s="197"/>
      <c r="AF38" s="284">
        <f t="shared" si="2"/>
        <v>1</v>
      </c>
      <c r="AG38" s="285">
        <f t="shared" si="3"/>
        <v>0</v>
      </c>
      <c r="AH38" s="285">
        <f t="shared" si="4"/>
        <v>4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 t="s">
        <v>98</v>
      </c>
      <c r="G39" s="594"/>
      <c r="H39" s="593"/>
      <c r="I39" s="192">
        <v>1</v>
      </c>
      <c r="J39" s="192">
        <v>20</v>
      </c>
      <c r="K39" s="192">
        <v>20</v>
      </c>
      <c r="L39" s="192"/>
      <c r="M39" s="192"/>
      <c r="N39" s="592"/>
      <c r="O39" s="594"/>
      <c r="P39" s="593"/>
      <c r="Q39" s="192"/>
      <c r="R39" s="192"/>
      <c r="S39" s="192">
        <v>0.3</v>
      </c>
      <c r="T39" s="192"/>
      <c r="U39" s="192"/>
      <c r="V39" s="193"/>
      <c r="W39" s="194"/>
      <c r="X39" s="192"/>
      <c r="Y39" s="192"/>
      <c r="Z39" s="195"/>
      <c r="AA39" s="592" t="s">
        <v>136</v>
      </c>
      <c r="AB39" s="593"/>
      <c r="AC39" s="592" t="s">
        <v>136</v>
      </c>
      <c r="AD39" s="593"/>
      <c r="AE39" s="197"/>
      <c r="AF39" s="284">
        <f t="shared" si="2"/>
        <v>1</v>
      </c>
      <c r="AG39" s="285">
        <f t="shared" si="3"/>
        <v>0</v>
      </c>
      <c r="AH39" s="285">
        <f t="shared" si="4"/>
        <v>0</v>
      </c>
      <c r="AI39" s="286">
        <f t="shared" si="5"/>
        <v>8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0.34986</v>
      </c>
      <c r="AN39" s="290">
        <f t="shared" si="37"/>
        <v>1.39944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>
        <f t="shared" si="23"/>
        <v>0.34986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 t="s">
        <v>87</v>
      </c>
      <c r="G40" s="594"/>
      <c r="H40" s="593"/>
      <c r="I40" s="192">
        <v>1</v>
      </c>
      <c r="J40" s="192">
        <v>20</v>
      </c>
      <c r="K40" s="192">
        <v>20</v>
      </c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 t="s">
        <v>136</v>
      </c>
      <c r="AB40" s="593"/>
      <c r="AC40" s="592" t="s">
        <v>136</v>
      </c>
      <c r="AD40" s="593"/>
      <c r="AE40" s="197"/>
      <c r="AF40" s="284">
        <f t="shared" si="2"/>
        <v>1</v>
      </c>
      <c r="AG40" s="285">
        <f t="shared" si="3"/>
        <v>0</v>
      </c>
      <c r="AH40" s="285">
        <f t="shared" si="4"/>
        <v>8</v>
      </c>
      <c r="AI40" s="286">
        <f t="shared" si="5"/>
        <v>0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0.41488431055057862</v>
      </c>
      <c r="AN40" s="290">
        <f t="shared" si="37"/>
        <v>1.6595372422023145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>
        <f t="shared" si="12"/>
        <v>0.41488431055057862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 t="s">
        <v>98</v>
      </c>
      <c r="G41" s="594"/>
      <c r="H41" s="593"/>
      <c r="I41" s="192">
        <v>1</v>
      </c>
      <c r="J41" s="192">
        <v>20</v>
      </c>
      <c r="K41" s="192">
        <v>20</v>
      </c>
      <c r="L41" s="192"/>
      <c r="M41" s="192"/>
      <c r="N41" s="592"/>
      <c r="O41" s="594"/>
      <c r="P41" s="593"/>
      <c r="Q41" s="192"/>
      <c r="R41" s="192"/>
      <c r="S41" s="192">
        <v>0.9</v>
      </c>
      <c r="T41" s="192"/>
      <c r="U41" s="192"/>
      <c r="V41" s="193"/>
      <c r="W41" s="194"/>
      <c r="X41" s="192"/>
      <c r="Y41" s="192"/>
      <c r="Z41" s="195"/>
      <c r="AA41" s="592" t="s">
        <v>136</v>
      </c>
      <c r="AB41" s="593"/>
      <c r="AC41" s="592" t="s">
        <v>136</v>
      </c>
      <c r="AD41" s="593"/>
      <c r="AE41" s="197"/>
      <c r="AF41" s="284">
        <f t="shared" si="2"/>
        <v>1</v>
      </c>
      <c r="AG41" s="285">
        <f t="shared" si="3"/>
        <v>0</v>
      </c>
      <c r="AH41" s="285">
        <f t="shared" si="4"/>
        <v>0</v>
      </c>
      <c r="AI41" s="286">
        <f t="shared" si="5"/>
        <v>8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0.84966000000000008</v>
      </c>
      <c r="AN41" s="290">
        <f t="shared" si="37"/>
        <v>3.3986400000000003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>
        <f t="shared" si="23"/>
        <v>0.84966000000000008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 t="s">
        <v>98</v>
      </c>
      <c r="G42" s="594"/>
      <c r="H42" s="593"/>
      <c r="I42" s="192">
        <v>1</v>
      </c>
      <c r="J42" s="192">
        <v>20</v>
      </c>
      <c r="K42" s="192">
        <v>20</v>
      </c>
      <c r="L42" s="192"/>
      <c r="M42" s="192"/>
      <c r="N42" s="592"/>
      <c r="O42" s="594"/>
      <c r="P42" s="593"/>
      <c r="Q42" s="192"/>
      <c r="R42" s="192"/>
      <c r="S42" s="192">
        <v>0.25</v>
      </c>
      <c r="T42" s="192"/>
      <c r="U42" s="192"/>
      <c r="V42" s="193"/>
      <c r="W42" s="194"/>
      <c r="X42" s="192"/>
      <c r="Y42" s="192"/>
      <c r="Z42" s="195"/>
      <c r="AA42" s="592" t="s">
        <v>136</v>
      </c>
      <c r="AB42" s="593"/>
      <c r="AC42" s="592" t="s">
        <v>136</v>
      </c>
      <c r="AD42" s="593"/>
      <c r="AE42" s="197"/>
      <c r="AF42" s="284">
        <f t="shared" si="2"/>
        <v>1</v>
      </c>
      <c r="AG42" s="285">
        <f t="shared" si="3"/>
        <v>0</v>
      </c>
      <c r="AH42" s="285">
        <f t="shared" si="4"/>
        <v>0</v>
      </c>
      <c r="AI42" s="286">
        <f t="shared" si="5"/>
        <v>8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0.30820999999999998</v>
      </c>
      <c r="AN42" s="290">
        <f t="shared" si="37"/>
        <v>1.2328399999999999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>
        <f t="shared" si="23"/>
        <v>0.30820999999999998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 t="s">
        <v>87</v>
      </c>
      <c r="G43" s="594"/>
      <c r="H43" s="593"/>
      <c r="I43" s="192">
        <v>1</v>
      </c>
      <c r="J43" s="192">
        <v>20</v>
      </c>
      <c r="K43" s="192">
        <v>20</v>
      </c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 t="s">
        <v>136</v>
      </c>
      <c r="AB43" s="593"/>
      <c r="AC43" s="592" t="s">
        <v>136</v>
      </c>
      <c r="AD43" s="593"/>
      <c r="AE43" s="197"/>
      <c r="AF43" s="284">
        <f t="shared" si="2"/>
        <v>1</v>
      </c>
      <c r="AG43" s="285">
        <f t="shared" si="3"/>
        <v>0</v>
      </c>
      <c r="AH43" s="285">
        <f t="shared" si="4"/>
        <v>8</v>
      </c>
      <c r="AI43" s="286">
        <f t="shared" si="5"/>
        <v>0</v>
      </c>
      <c r="AJ43" s="287">
        <f t="shared" si="36"/>
        <v>0.5</v>
      </c>
      <c r="AK43" s="288"/>
      <c r="AL43" s="289">
        <f t="shared" si="6"/>
        <v>0.5</v>
      </c>
      <c r="AM43" s="290">
        <f t="shared" si="7"/>
        <v>0.41488431055057862</v>
      </c>
      <c r="AN43" s="290">
        <f t="shared" si="37"/>
        <v>1.6595372422023145</v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>
        <f t="shared" si="12"/>
        <v>0.41488431055057862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 t="s">
        <v>103</v>
      </c>
      <c r="G44" s="594"/>
      <c r="H44" s="593"/>
      <c r="I44" s="192">
        <v>1</v>
      </c>
      <c r="J44" s="192">
        <v>20</v>
      </c>
      <c r="K44" s="192">
        <v>20</v>
      </c>
      <c r="L44" s="192"/>
      <c r="M44" s="192"/>
      <c r="N44" s="592"/>
      <c r="O44" s="594"/>
      <c r="P44" s="593"/>
      <c r="Q44" s="192"/>
      <c r="R44" s="192"/>
      <c r="S44" s="192">
        <v>0.3</v>
      </c>
      <c r="T44" s="192">
        <v>15</v>
      </c>
      <c r="U44" s="192"/>
      <c r="V44" s="193"/>
      <c r="W44" s="194"/>
      <c r="X44" s="192"/>
      <c r="Y44" s="192"/>
      <c r="Z44" s="195"/>
      <c r="AA44" s="592" t="s">
        <v>136</v>
      </c>
      <c r="AB44" s="593"/>
      <c r="AC44" s="592" t="s">
        <v>133</v>
      </c>
      <c r="AD44" s="593"/>
      <c r="AE44" s="197"/>
      <c r="AF44" s="284">
        <f t="shared" si="2"/>
        <v>1</v>
      </c>
      <c r="AG44" s="285">
        <f t="shared" si="3"/>
        <v>0</v>
      </c>
      <c r="AH44" s="285">
        <f t="shared" si="4"/>
        <v>4</v>
      </c>
      <c r="AI44" s="286">
        <f t="shared" si="5"/>
        <v>0</v>
      </c>
      <c r="AJ44" s="287">
        <f t="shared" si="36"/>
        <v>0.5</v>
      </c>
      <c r="AK44" s="288"/>
      <c r="AL44" s="289">
        <f t="shared" si="6"/>
        <v>0.5</v>
      </c>
      <c r="AM44" s="290">
        <f t="shared" si="7"/>
        <v>0.25469418471444827</v>
      </c>
      <c r="AN44" s="290">
        <f t="shared" si="37"/>
        <v>1.0187767388577931</v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>
        <f t="shared" si="31"/>
        <v>0.25469418471444827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17</v>
      </c>
      <c r="AG49" s="203"/>
      <c r="AH49" s="204">
        <f>SUM(AH29:AH48)</f>
        <v>52</v>
      </c>
      <c r="AI49" s="204">
        <f>SUM(AI29:AI48)</f>
        <v>56</v>
      </c>
      <c r="AJ49" s="205"/>
      <c r="AK49" s="205"/>
      <c r="AL49" s="206"/>
      <c r="AM49" s="207">
        <f>SUM(AM29:AM48)</f>
        <v>6.2884214269167629</v>
      </c>
      <c r="AN49" s="208">
        <f>SUM(AN29:AN48)</f>
        <v>25.153685707667051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46129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46129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57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46136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25.153685707667051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25.153685707667051</v>
      </c>
      <c r="AH8" s="538"/>
      <c r="AI8" s="533">
        <f>+'Diseño 1"'!AM49</f>
        <v>6.2884214269167629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>Fan Coil</v>
      </c>
      <c r="E12" s="650"/>
      <c r="F12" s="247" t="str">
        <f>IF('Diseño 1"'!C29=0,"",'Diseño 1"'!C29)</f>
        <v>3.1</v>
      </c>
      <c r="G12" s="670" t="str">
        <f>IF('Diseño 1"'!D29="","",'Diseño 1"'!D29)</f>
        <v xml:space="preserve">segundo piso </v>
      </c>
      <c r="H12" s="650"/>
      <c r="I12" s="670" t="str">
        <f>IF('Diseño 1"'!F29="","",'Diseño 1"'!F29)</f>
        <v>Transf. Red - Cuad</v>
      </c>
      <c r="J12" s="650"/>
      <c r="K12" s="248">
        <f>IF(I12="","",'Diseño 1"'!I29)</f>
        <v>1</v>
      </c>
      <c r="L12" s="242">
        <f>IF('Diseño 1"'!J29="","",'Diseño 1"'!J29)</f>
        <v>20</v>
      </c>
      <c r="M12" s="242">
        <f>IF('Diseño 1"'!K29="","",'Diseño 1"'!K29)</f>
        <v>20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0.25</v>
      </c>
      <c r="U12" s="242">
        <f>IF('Diseño 1"'!T29="","",'Diseño 1"'!T29)</f>
        <v>15</v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Copla Rodón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Zapato c/ Templador</v>
      </c>
      <c r="J13" s="642"/>
      <c r="K13" s="20">
        <f>IF(I13="","",'Diseño 1"'!I30)</f>
        <v>1</v>
      </c>
      <c r="L13" s="17">
        <f>IF('Diseño 1"'!J30="","",'Diseño 1"'!J30)</f>
        <v>20</v>
      </c>
      <c r="M13" s="17">
        <f>IF('Diseño 1"'!K30="","",'Diseño 1"'!K30)</f>
        <v>20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 t="str">
        <f>IF('Diseño 1"'!S30="","",'Diseño 1"'!S30)</f>
        <v/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Triple 50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0.40360000000000001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Ducto Recto</v>
      </c>
      <c r="J14" s="642"/>
      <c r="K14" s="20">
        <f>IF(I14="","",'Diseño 1"'!I31)</f>
        <v>1</v>
      </c>
      <c r="L14" s="17">
        <f>IF('Diseño 1"'!J31="","",'Diseño 1"'!J31)</f>
        <v>20</v>
      </c>
      <c r="M14" s="17">
        <f>IF('Diseño 1"'!K31="","",'Diseño 1"'!K31)</f>
        <v>20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0.3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1.39944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Codo</v>
      </c>
      <c r="J15" s="642"/>
      <c r="K15" s="20">
        <f>IF(I15="","",'Diseño 1"'!I32)</f>
        <v>1</v>
      </c>
      <c r="L15" s="17">
        <f>IF('Diseño 1"'!J32="","",'Diseño 1"'!J32)</f>
        <v>20</v>
      </c>
      <c r="M15" s="17">
        <f>IF('Diseño 1"'!K32="","",'Diseño 1"'!K32)</f>
        <v>20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1.6595372422023145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>Ducto Recto</v>
      </c>
      <c r="J16" s="642"/>
      <c r="K16" s="20">
        <f>IF(I16="","",'Diseño 1"'!I33)</f>
        <v>1</v>
      </c>
      <c r="L16" s="17">
        <f>IF('Diseño 1"'!J33="","",'Diseño 1"'!J33)</f>
        <v>20</v>
      </c>
      <c r="M16" s="17">
        <f>IF('Diseño 1"'!K33="","",'Diseño 1"'!K33)</f>
        <v>20</v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0.1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>TDF</v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0.73303999999999991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Zapato s/ Templador</v>
      </c>
      <c r="J17" s="642"/>
      <c r="K17" s="20">
        <f>IF(I17="","",'Diseño 1"'!I34)</f>
        <v>1</v>
      </c>
      <c r="L17" s="17">
        <f>IF('Diseño 1"'!J34="","",'Diseño 1"'!J34)</f>
        <v>20</v>
      </c>
      <c r="M17" s="17">
        <f>IF('Diseño 1"'!K34="","",'Diseño 1"'!K34)</f>
        <v>20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0.2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Triple 50</v>
      </c>
      <c r="Z17" s="634"/>
      <c r="AA17" s="633" t="str">
        <f>IF('Diseño 1"'!AC34="","",'Diseño 1"'!AC34)</f>
        <v>TDF</v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>Ducto Recto</v>
      </c>
      <c r="J18" s="642"/>
      <c r="K18" s="20">
        <f>IF(I18="","",'Diseño 1"'!I35)</f>
        <v>1</v>
      </c>
      <c r="L18" s="17">
        <f>IF('Diseño 1"'!J35="","",'Diseño 1"'!J35)</f>
        <v>20</v>
      </c>
      <c r="M18" s="17">
        <f>IF('Diseño 1"'!K35="","",'Diseño 1"'!K35)</f>
        <v>20</v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0.52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>TDF</v>
      </c>
      <c r="Z18" s="634"/>
      <c r="AA18" s="633" t="str">
        <f>IF('Diseño 1"'!AC35="","",'Diseño 1"'!AC35)</f>
        <v>TDF</v>
      </c>
      <c r="AB18" s="634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2.1324799999999997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>Codo</v>
      </c>
      <c r="J19" s="642"/>
      <c r="K19" s="20">
        <f>IF(I19="","",'Diseño 1"'!I36)</f>
        <v>1</v>
      </c>
      <c r="L19" s="17">
        <f>IF('Diseño 1"'!J36="","",'Diseño 1"'!J36)</f>
        <v>20</v>
      </c>
      <c r="M19" s="17">
        <f>IF('Diseño 1"'!K36="","",'Diseño 1"'!K36)</f>
        <v>20</v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>TDF</v>
      </c>
      <c r="Z19" s="634"/>
      <c r="AA19" s="633" t="str">
        <f>IF('Diseño 1"'!AC36="","",'Diseño 1"'!AC36)</f>
        <v>TDF</v>
      </c>
      <c r="AB19" s="634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1.6595372422023145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>Ducto Recto</v>
      </c>
      <c r="J20" s="642"/>
      <c r="K20" s="20">
        <f>IF(I20="","",'Diseño 1"'!I37)</f>
        <v>2</v>
      </c>
      <c r="L20" s="17">
        <f>IF('Diseño 1"'!J37="","",'Diseño 1"'!J37)</f>
        <v>20</v>
      </c>
      <c r="M20" s="17">
        <f>IF('Diseño 1"'!K37="","",'Diseño 1"'!K37)</f>
        <v>20</v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0.9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>TDF</v>
      </c>
      <c r="Z20" s="634"/>
      <c r="AA20" s="633" t="str">
        <f>IF('Diseño 1"'!AC37="","",'Diseño 1"'!AC37)</f>
        <v>TDF</v>
      </c>
      <c r="AB20" s="634"/>
      <c r="AC20" s="23" t="str">
        <f>IF('Diseño 1"'!AE37=TRUE,0.5,"")</f>
        <v/>
      </c>
      <c r="AD20" s="92">
        <f>IF('Diseño 1"'!AF37="","",'Diseño 1"'!AF37)</f>
        <v>2</v>
      </c>
      <c r="AE20" s="24">
        <f>'Diseño 1"'!AJ37</f>
        <v>0.5</v>
      </c>
      <c r="AF20" s="93">
        <f>'Diseño 1"'!AK37</f>
        <v>0</v>
      </c>
      <c r="AG20" s="243">
        <f>IF('Diseño 1"'!AN37="","",'Diseño 1"'!AN37)</f>
        <v>6.7972800000000007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>Zapato s/ Templador</v>
      </c>
      <c r="J21" s="642"/>
      <c r="K21" s="20">
        <f>IF(I21="","",'Diseño 1"'!I38)</f>
        <v>1</v>
      </c>
      <c r="L21" s="17">
        <f>IF('Diseño 1"'!J38="","",'Diseño 1"'!J38)</f>
        <v>20</v>
      </c>
      <c r="M21" s="17">
        <f>IF('Diseño 1"'!K38="","",'Diseño 1"'!K38)</f>
        <v>20</v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>
        <f>IF('Diseño 1"'!S38="","",'Diseño 1"'!S38)</f>
        <v>0.2</v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>Triple 50</v>
      </c>
      <c r="Z21" s="634"/>
      <c r="AA21" s="633" t="str">
        <f>IF('Diseño 1"'!AC38="","",'Diseño 1"'!AC38)</f>
        <v>TDF</v>
      </c>
      <c r="AB21" s="634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>Ducto Recto</v>
      </c>
      <c r="J22" s="642"/>
      <c r="K22" s="20">
        <f>IF(I22="","",'Diseño 1"'!I39)</f>
        <v>1</v>
      </c>
      <c r="L22" s="17">
        <f>IF('Diseño 1"'!J39="","",'Diseño 1"'!J39)</f>
        <v>20</v>
      </c>
      <c r="M22" s="17">
        <f>IF('Diseño 1"'!K39="","",'Diseño 1"'!K39)</f>
        <v>20</v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0.3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>TDF</v>
      </c>
      <c r="Z22" s="634"/>
      <c r="AA22" s="633" t="str">
        <f>IF('Diseño 1"'!AC39="","",'Diseño 1"'!AC39)</f>
        <v>TDF</v>
      </c>
      <c r="AB22" s="634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1.39944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>Codo</v>
      </c>
      <c r="J23" s="642"/>
      <c r="K23" s="20">
        <f>IF(I23="","",'Diseño 1"'!I40)</f>
        <v>1</v>
      </c>
      <c r="L23" s="17">
        <f>IF('Diseño 1"'!J40="","",'Diseño 1"'!J40)</f>
        <v>20</v>
      </c>
      <c r="M23" s="17">
        <f>IF('Diseño 1"'!K40="","",'Diseño 1"'!K40)</f>
        <v>20</v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>TDF</v>
      </c>
      <c r="Z23" s="634"/>
      <c r="AA23" s="633" t="str">
        <f>IF('Diseño 1"'!AC40="","",'Diseño 1"'!AC40)</f>
        <v>TDF</v>
      </c>
      <c r="AB23" s="634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1.6595372422023145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>Ducto Recto</v>
      </c>
      <c r="J24" s="642"/>
      <c r="K24" s="20">
        <f>IF(I24="","",'Diseño 1"'!I41)</f>
        <v>1</v>
      </c>
      <c r="L24" s="17">
        <f>IF('Diseño 1"'!J41="","",'Diseño 1"'!J41)</f>
        <v>20</v>
      </c>
      <c r="M24" s="17">
        <f>IF('Diseño 1"'!K41="","",'Diseño 1"'!K41)</f>
        <v>20</v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>
        <f>IF('Diseño 1"'!S41="","",'Diseño 1"'!S41)</f>
        <v>0.9</v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>TDF</v>
      </c>
      <c r="Z24" s="634"/>
      <c r="AA24" s="633" t="str">
        <f>IF('Diseño 1"'!AC41="","",'Diseño 1"'!AC41)</f>
        <v>TDF</v>
      </c>
      <c r="AB24" s="634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3.3986400000000003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>Ducto Recto</v>
      </c>
      <c r="J25" s="642"/>
      <c r="K25" s="20">
        <f>IF(I25="","",'Diseño 1"'!I42)</f>
        <v>1</v>
      </c>
      <c r="L25" s="17">
        <f>IF('Diseño 1"'!J42="","",'Diseño 1"'!J42)</f>
        <v>20</v>
      </c>
      <c r="M25" s="17">
        <f>IF('Diseño 1"'!K42="","",'Diseño 1"'!K42)</f>
        <v>20</v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0.25</v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>TDF</v>
      </c>
      <c r="Z25" s="634"/>
      <c r="AA25" s="633" t="str">
        <f>IF('Diseño 1"'!AC42="","",'Diseño 1"'!AC42)</f>
        <v>TDF</v>
      </c>
      <c r="AB25" s="634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1.2328399999999999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>Codo</v>
      </c>
      <c r="J26" s="642"/>
      <c r="K26" s="20">
        <f>IF(I26="","",'Diseño 1"'!I43)</f>
        <v>1</v>
      </c>
      <c r="L26" s="17">
        <f>IF('Diseño 1"'!J43="","",'Diseño 1"'!J43)</f>
        <v>20</v>
      </c>
      <c r="M26" s="17">
        <f>IF('Diseño 1"'!K43="","",'Diseño 1"'!K43)</f>
        <v>20</v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>TDF</v>
      </c>
      <c r="Z26" s="634"/>
      <c r="AA26" s="633" t="str">
        <f>IF('Diseño 1"'!AC43="","",'Diseño 1"'!AC43)</f>
        <v>TDF</v>
      </c>
      <c r="AB26" s="634"/>
      <c r="AC26" s="23" t="str">
        <f>IF('Diseño 1"'!AE43=TRUE,0.5,"")</f>
        <v/>
      </c>
      <c r="AD26" s="92">
        <f>IF('Diseño 1"'!AF43="","",'Diseño 1"'!AF43)</f>
        <v>1</v>
      </c>
      <c r="AE26" s="24">
        <f>'Diseño 1"'!AJ43</f>
        <v>0.5</v>
      </c>
      <c r="AF26" s="93">
        <f>'Diseño 1"'!AK43</f>
        <v>0</v>
      </c>
      <c r="AG26" s="243">
        <f>IF('Diseño 1"'!AN43="","",'Diseño 1"'!AN43)</f>
        <v>1.6595372422023145</v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>Transf. Red - Cuad</v>
      </c>
      <c r="J27" s="642"/>
      <c r="K27" s="20">
        <f>IF(I27="","",'Diseño 1"'!I44)</f>
        <v>1</v>
      </c>
      <c r="L27" s="17">
        <f>IF('Diseño 1"'!J44="","",'Diseño 1"'!J44)</f>
        <v>20</v>
      </c>
      <c r="M27" s="17">
        <f>IF('Diseño 1"'!K44="","",'Diseño 1"'!K44)</f>
        <v>20</v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>
        <f>IF('Diseño 1"'!S44="","",'Diseño 1"'!S44)</f>
        <v>0.3</v>
      </c>
      <c r="U27" s="17">
        <f>IF('Diseño 1"'!T44="","",'Diseño 1"'!T44)</f>
        <v>15</v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>TDF</v>
      </c>
      <c r="Z27" s="634"/>
      <c r="AA27" s="633" t="str">
        <f>IF('Diseño 1"'!AC44="","",'Diseño 1"'!AC44)</f>
        <v>Copla Rodón</v>
      </c>
      <c r="AB27" s="634"/>
      <c r="AC27" s="115"/>
      <c r="AD27" s="116"/>
      <c r="AE27" s="24">
        <f>'Diseño 1"'!AJ44</f>
        <v>0.5</v>
      </c>
      <c r="AF27" s="93">
        <f>'Diseño 1"'!AK44</f>
        <v>0</v>
      </c>
      <c r="AG27" s="243">
        <f>IF('Diseño 1"'!AN44="","",'Diseño 1"'!AN44)</f>
        <v>1.0187767388577931</v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25.153685707667051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25.153685707667051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2026-04-20T12:39:54Z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