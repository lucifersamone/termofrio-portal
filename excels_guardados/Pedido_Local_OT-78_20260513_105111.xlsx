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2" documentId="13_ncr:1_{23CE4E72-AA80-4811-A8D4-7B9FCF7B1B1C}" xr6:coauthVersionLast="47" xr6:coauthVersionMax="47" xr10:uidLastSave="{0246C766-F719-47C6-8865-B8D6AF9F55CA}"/>
  <bookViews>
    <workbookView xWindow="5790" yWindow="2670" windowWidth="21600" windowHeight="11295" activeTab="1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<sst xmlns="http://schemas.openxmlformats.org/spreadsheetml/2006/main" count="1721" uniqueCount="244">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</sst>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opLeftCell="A16" zoomScaleNormal="100" workbookViewId="0">
      <selection activeCell="L23" sqref="L23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46155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79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4.6428145809488779</v>
      </c>
      <c r="P12" s="296">
        <f t="shared" si="0"/>
        <v>18.571258323795512</v>
      </c>
      <c r="Q12" s="597" t="s">
        <v>23</v>
      </c>
      <c r="R12" s="598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4.6428145809488779</v>
      </c>
      <c r="P17" s="306">
        <f t="shared" si="1"/>
        <v>18.571258323795512</v>
      </c>
      <c r="Q17" s="597" t="s">
        <v>40</v>
      </c>
      <c r="R17" s="598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608"/>
      <c r="F29" s="607" t="s">
        <v>86</v>
      </c>
      <c r="G29" s="594"/>
      <c r="H29" s="593"/>
      <c r="I29" s="192">
        <v>10</v>
      </c>
      <c r="J29" s="192">
        <v>45.5</v>
      </c>
      <c r="K29" s="192">
        <v>45.5</v>
      </c>
      <c r="L29" s="192"/>
      <c r="M29" s="192"/>
      <c r="N29" s="592"/>
      <c r="O29" s="594"/>
      <c r="P29" s="593"/>
      <c r="Q29" s="192"/>
      <c r="R29" s="192">
        <v>30</v>
      </c>
      <c r="S29" s="192"/>
      <c r="T29" s="192">
        <v>25</v>
      </c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10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2.9070519900083025</v>
      </c>
      <c r="AN29" s="290">
        <f t="shared" ref="AN29:AN48" si="8">IF(ISERROR(AM29*(IF(AJ29=1,8,IF(AJ29=0.8,6.4,IF(AJ29=0.6,4.8,IF(AJ29=0.5,4)))))),"",AM29*(IF(AJ29=1,8,IF(AJ29=0.8,6.4,IF(AJ29=0.6,4.8,IF(AJ29=0.5,4))))))</f>
        <v>11.62820796003321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>
        <f t="shared" ref="AR29:AR48" si="11">IF(F29="Caja Difusora Esp.",((2*S29*100+J29)*(K29+2*AX$57/10)-PI()*((T29/2)^2-(T29+(AX$55+AY$55)/10)*12)+2*(S29*100+AY$57/10)*(K29+2*AY$57/10))/10000*I29,"N/D")</f>
        <v>2.9070519900083025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86</v>
      </c>
      <c r="G30" s="594"/>
      <c r="H30" s="593"/>
      <c r="I30" s="192">
        <v>4</v>
      </c>
      <c r="J30" s="192">
        <v>25</v>
      </c>
      <c r="K30" s="192">
        <v>25</v>
      </c>
      <c r="L30" s="192"/>
      <c r="M30" s="192"/>
      <c r="N30" s="592"/>
      <c r="O30" s="594"/>
      <c r="P30" s="593"/>
      <c r="Q30" s="192"/>
      <c r="R30" s="192">
        <v>30</v>
      </c>
      <c r="S30" s="192"/>
      <c r="T30" s="192">
        <v>15</v>
      </c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>
        <f t="shared" si="2"/>
        <v>4</v>
      </c>
      <c r="AG30" s="285">
        <f t="shared" si="3"/>
        <v>0</v>
      </c>
      <c r="AH30" s="285">
        <f t="shared" si="4"/>
        <v>0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0.50546805477460288</v>
      </c>
      <c r="AN30" s="290">
        <f t="shared" si="8"/>
        <v>2.0218722190984115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>
        <f t="shared" si="11"/>
        <v>0.50546805477460288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86</v>
      </c>
      <c r="G31" s="594"/>
      <c r="H31" s="593"/>
      <c r="I31" s="192">
        <v>2</v>
      </c>
      <c r="J31" s="192">
        <v>20</v>
      </c>
      <c r="K31" s="192">
        <v>20</v>
      </c>
      <c r="L31" s="192"/>
      <c r="M31" s="192"/>
      <c r="N31" s="592"/>
      <c r="O31" s="594"/>
      <c r="P31" s="593"/>
      <c r="Q31" s="192"/>
      <c r="R31" s="192">
        <v>30</v>
      </c>
      <c r="S31" s="192"/>
      <c r="T31" s="192">
        <v>15</v>
      </c>
      <c r="U31" s="192"/>
      <c r="V31" s="193"/>
      <c r="W31" s="194"/>
      <c r="X31" s="192"/>
      <c r="Y31" s="192"/>
      <c r="Z31" s="228"/>
      <c r="AA31" s="592"/>
      <c r="AB31" s="593"/>
      <c r="AC31" s="592"/>
      <c r="AD31" s="593"/>
      <c r="AE31" s="197"/>
      <c r="AF31" s="284">
        <f t="shared" si="2"/>
        <v>2</v>
      </c>
      <c r="AG31" s="285">
        <f t="shared" si="3"/>
        <v>0</v>
      </c>
      <c r="AH31" s="285">
        <f t="shared" si="4"/>
        <v>0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0.20113402738730146</v>
      </c>
      <c r="AN31" s="290">
        <f t="shared" ref="AN31:AN46" si="37">IF(ISERROR(AM31*(IF(AJ31=1,8,IF(AJ31=0.8,6.4,IF(AJ31=0.6,4.8,IF(AJ31=0.5,4)))))),"",AM31*(IF(AJ31=1,8,IF(AJ31=0.8,6.4,IF(AJ31=0.6,4.8,IF(AJ31=0.5,4))))))</f>
        <v>0.80453610954920585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>
        <f t="shared" si="11"/>
        <v>0.20113402738730146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 t="s">
        <v>86</v>
      </c>
      <c r="G32" s="594"/>
      <c r="H32" s="593"/>
      <c r="I32" s="192">
        <v>5</v>
      </c>
      <c r="J32" s="192">
        <v>36</v>
      </c>
      <c r="K32" s="192">
        <v>36</v>
      </c>
      <c r="L32" s="192"/>
      <c r="M32" s="192"/>
      <c r="N32" s="592"/>
      <c r="O32" s="594"/>
      <c r="P32" s="593"/>
      <c r="Q32" s="192"/>
      <c r="R32" s="192">
        <v>30</v>
      </c>
      <c r="S32" s="192"/>
      <c r="T32" s="192">
        <v>20</v>
      </c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>
        <f t="shared" si="2"/>
        <v>5</v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1.0291605087786708</v>
      </c>
      <c r="AN32" s="290">
        <f t="shared" si="37"/>
        <v>4.1166420351146833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>
        <f t="shared" si="11"/>
        <v>1.0291605087786708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/>
      <c r="G34" s="594"/>
      <c r="H34" s="593"/>
      <c r="I34" s="192"/>
      <c r="J34" s="192"/>
      <c r="K34" s="192"/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/>
      <c r="AB34" s="593"/>
      <c r="AC34" s="592"/>
      <c r="AD34" s="593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/>
      <c r="G35" s="594"/>
      <c r="H35" s="593"/>
      <c r="I35" s="192"/>
      <c r="J35" s="192"/>
      <c r="K35" s="192"/>
      <c r="L35" s="192"/>
      <c r="M35" s="192"/>
      <c r="N35" s="592"/>
      <c r="O35" s="594"/>
      <c r="P35" s="593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2"/>
      <c r="AB35" s="593"/>
      <c r="AC35" s="592"/>
      <c r="AD35" s="593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21</v>
      </c>
      <c r="AG49" s="203"/>
      <c r="AH49" s="204">
        <f>SUM(AH29:AH48)</f>
        <v>0</v>
      </c>
      <c r="AI49" s="204">
        <f>SUM(AI29:AI48)</f>
        <v>0</v>
      </c>
      <c r="AJ49" s="205"/>
      <c r="AK49" s="205"/>
      <c r="AL49" s="206"/>
      <c r="AM49" s="207">
        <f>SUM(AM29:AM48)</f>
        <v>4.6428145809488779</v>
      </c>
      <c r="AN49" s="208">
        <f>SUM(AN29:AN48)</f>
        <v>18.571258323795512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tabSelected="1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46155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46155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79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46162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18.571258323795512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18.571258323795512</v>
      </c>
      <c r="AH8" s="538"/>
      <c r="AI8" s="533">
        <f>+'Diseño 1"'!AM49</f>
        <v>4.6428145809488779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/>
      </c>
      <c r="H12" s="650"/>
      <c r="I12" s="670" t="str">
        <f>IF('Diseño 1"'!F29="","",'Diseño 1"'!F29)</f>
        <v>Caja Difusora Esp.</v>
      </c>
      <c r="J12" s="650"/>
      <c r="K12" s="248">
        <f>IF(I12="","",'Diseño 1"'!I29)</f>
        <v>10</v>
      </c>
      <c r="L12" s="242">
        <f>IF('Diseño 1"'!J29="","",'Diseño 1"'!J29)</f>
        <v>45.5</v>
      </c>
      <c r="M12" s="242">
        <f>IF('Diseño 1"'!K29="","",'Diseño 1"'!K29)</f>
        <v>45.5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>
        <f>IF('Diseño 1"'!R29="","",'Diseño 1"'!R29)</f>
        <v>30</v>
      </c>
      <c r="T12" s="242" t="str">
        <f>IF('Diseño 1"'!S29="","",'Diseño 1"'!S29)</f>
        <v/>
      </c>
      <c r="U12" s="242">
        <f>IF('Diseño 1"'!T29="","",'Diseño 1"'!T29)</f>
        <v>25</v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/>
      </c>
      <c r="Z12" s="667"/>
      <c r="AA12" s="649" t="str">
        <f>IF('Diseño 1"'!AC29="","",'Diseño 1"'!AC29)</f>
        <v/>
      </c>
      <c r="AB12" s="667"/>
      <c r="AC12" s="251" t="str">
        <f>IF('Diseño 1"'!AE29=TRUE,0.5,"")</f>
        <v/>
      </c>
      <c r="AD12" s="252">
        <f>IF('Diseño 1"'!AF29="","",'Diseño 1"'!AF29)</f>
        <v>10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11.62820796003321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Caja Difusora Esp.</v>
      </c>
      <c r="J13" s="642"/>
      <c r="K13" s="20">
        <f>IF(I13="","",'Diseño 1"'!I30)</f>
        <v>4</v>
      </c>
      <c r="L13" s="17">
        <f>IF('Diseño 1"'!J30="","",'Diseño 1"'!J30)</f>
        <v>25</v>
      </c>
      <c r="M13" s="17">
        <f>IF('Diseño 1"'!K30="","",'Diseño 1"'!K30)</f>
        <v>25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>
        <f>IF('Diseño 1"'!R30="","",'Diseño 1"'!R30)</f>
        <v>30</v>
      </c>
      <c r="T13" s="242" t="str">
        <f>IF('Diseño 1"'!S30="","",'Diseño 1"'!S30)</f>
        <v/>
      </c>
      <c r="U13" s="17">
        <f>IF('Diseño 1"'!T30="","",'Diseño 1"'!T30)</f>
        <v>15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/>
      </c>
      <c r="Z13" s="634"/>
      <c r="AA13" s="633" t="str">
        <f>IF('Diseño 1"'!AC30="","",'Diseño 1"'!AC30)</f>
        <v/>
      </c>
      <c r="AB13" s="634"/>
      <c r="AC13" s="23" t="str">
        <f>IF('Diseño 1"'!AE30=TRUE,0.5,"")</f>
        <v/>
      </c>
      <c r="AD13" s="92">
        <f>IF('Diseño 1"'!AF30="","",'Diseño 1"'!AF30)</f>
        <v>4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2.0218722190984115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Caja Difusora Esp.</v>
      </c>
      <c r="J14" s="642"/>
      <c r="K14" s="20">
        <f>IF(I14="","",'Diseño 1"'!I31)</f>
        <v>2</v>
      </c>
      <c r="L14" s="17">
        <f>IF('Diseño 1"'!J31="","",'Diseño 1"'!J31)</f>
        <v>20</v>
      </c>
      <c r="M14" s="17">
        <f>IF('Diseño 1"'!K31="","",'Diseño 1"'!K31)</f>
        <v>20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>
        <f>IF('Diseño 1"'!R31="","",'Diseño 1"'!R31)</f>
        <v>30</v>
      </c>
      <c r="T14" s="242" t="str">
        <f>IF('Diseño 1"'!S31="","",'Diseño 1"'!S31)</f>
        <v/>
      </c>
      <c r="U14" s="17">
        <f>IF('Diseño 1"'!T31="","",'Diseño 1"'!T31)</f>
        <v>15</v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/>
      </c>
      <c r="Z14" s="634"/>
      <c r="AA14" s="633" t="str">
        <f>IF('Diseño 1"'!AC31="","",'Diseño 1"'!AC31)</f>
        <v/>
      </c>
      <c r="AB14" s="634"/>
      <c r="AC14" s="23" t="str">
        <f>IF('Diseño 1"'!AE32=TRUE,0.5,"")</f>
        <v/>
      </c>
      <c r="AD14" s="92">
        <f>IF('Diseño 1"'!AF32="","",'Diseño 1"'!AF32)</f>
        <v>5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0.80453610954920585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Caja Difusora Esp.</v>
      </c>
      <c r="J15" s="642"/>
      <c r="K15" s="20">
        <f>IF(I15="","",'Diseño 1"'!I32)</f>
        <v>5</v>
      </c>
      <c r="L15" s="17">
        <f>IF('Diseño 1"'!J32="","",'Diseño 1"'!J32)</f>
        <v>36</v>
      </c>
      <c r="M15" s="17">
        <f>IF('Diseño 1"'!K32="","",'Diseño 1"'!K32)</f>
        <v>36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>
        <f>IF('Diseño 1"'!R32="","",'Diseño 1"'!R32)</f>
        <v>30</v>
      </c>
      <c r="T15" s="242" t="str">
        <f>IF('Diseño 1"'!S32="","",'Diseño 1"'!S32)</f>
        <v/>
      </c>
      <c r="U15" s="17">
        <f>IF('Diseño 1"'!T32="","",'Diseño 1"'!T32)</f>
        <v>20</v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/>
      </c>
      <c r="Z15" s="634"/>
      <c r="AA15" s="633" t="str">
        <f>IF('Diseño 1"'!AC32="","",'Diseño 1"'!AC32)</f>
        <v/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4.1166420351146833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/>
      </c>
      <c r="J16" s="642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/>
      </c>
      <c r="Z16" s="634"/>
      <c r="AA16" s="633" t="str">
        <f>IF('Diseño 1"'!AC33="","",'Diseño 1"'!AC33)</f>
        <v/>
      </c>
      <c r="AB16" s="634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/>
      </c>
      <c r="J17" s="642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/>
      </c>
      <c r="Z17" s="634"/>
      <c r="AA17" s="633" t="str">
        <f>IF('Diseño 1"'!AC34="","",'Diseño 1"'!AC34)</f>
        <v/>
      </c>
      <c r="AB17" s="634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/>
      </c>
      <c r="J18" s="642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/>
      </c>
      <c r="Z18" s="634"/>
      <c r="AA18" s="633" t="str">
        <f>IF('Diseño 1"'!AC35="","",'Diseño 1"'!AC35)</f>
        <v/>
      </c>
      <c r="AB18" s="634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18.571258323795512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18.571258323795512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2026-05-13T14:34:26Z</cp:lastPrinted>
  <dcterms:created xsi:type="dcterms:W3CDTF">2002-03-13T22:45:45Z</dcterms:created>
  <dcterms:modified xsi:type="dcterms:W3CDTF">2026-05-13T14:50:49Z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