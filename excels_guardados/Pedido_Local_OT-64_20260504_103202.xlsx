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4" documentId="13_ncr:1_{B210458C-A613-4E0D-A266-27377A5700F5}" xr6:coauthVersionLast="47" xr6:coauthVersionMax="47" xr10:uidLastSave="{E830C750-C31F-4628-A65C-0E0B1E67B690}"/>
  <bookViews>
    <workbookView xWindow="-120" yWindow="-120" windowWidth="29040" windowHeight="15720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<sst xmlns="http://schemas.openxmlformats.org/spreadsheetml/2006/main" count="1739" uniqueCount="245">
  <si>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</si>
  <si>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</si>
  <si>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</si>
  <si>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</si>
  <si>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</si>
  <si>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</si>
  <si>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</si>
  <si>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</si>
  <si>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</si>
  <si>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</si>
  <si>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</si>
  <si>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</si>
  <si>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</si>
  <si>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</si>
  <si>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</si>
  <si>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</si>
  <si>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</si>
  <si>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</si>
  <si>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</si>
  <si>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</si>
  <si>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</si>
  <si>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</si>
  <si>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</si>
  <si>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</si>
  <si>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</si>
  <si>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</si>
  <si>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</si>
  <si>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</si>
  <si>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</si>
  <si>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</si>
  <si>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</si>
  <si>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</si>
  <si>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</si>
  <si>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</si>
  <si>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</si>
  <si>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</si>
  <si>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</si>
  <si>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</si>
  <si>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</si>
  <si>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</si>
  <si>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</si>
  <si>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</si>
  <si>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</si>
  <si>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</si>
  <si>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</si>
  <si>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</si>
  <si>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</si>
  <si>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</si>
  <si>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</si>
  <si>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</si>
  <si>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</si>
  <si>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</si>
  <si>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</si>
  <si>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</si>
  <si>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</si>
  <si>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</si>
  <si>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</si>
  <si>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</si>
  <si>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</si>
  <si>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</si>
  <si>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</si>
  <si>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</si>
  <si>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</si>
  <si>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</si>
  <si>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</si>
  <si>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</si>
  <si>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</si>
  <si>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</si>
  <si>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</si>
  <si>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</si>
  <si>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</si>
  <si>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</si>
  <si>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</si>
  <si>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</si>
  <si>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</si>
  <si>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</si>
  <si>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</si>
  <si>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</si>
  <si>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</si>
  <si>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</si>
  <si>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</si>
  <si>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</si>
  <si>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</si>
  <si>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</si>
  <si>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</si>
  <si>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</si>
  <si>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</si>
  <si>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</si>
  <si>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</si>
  <si>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</si>
  <si>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</si>
  <si>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</si>
  <si>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</si>
  <si>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</si>
  <si>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</si>
  <si>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</si>
  <si>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</si>
  <si>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</si>
  <si>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</si>
  <si>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</si>
  <si>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</si>
  <si>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</si>
  <si>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</si>
  <si>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</si>
  <si>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</si>
  <si>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</si>
  <si>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</si>
  <si>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</si>
  <si>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</si>
  <si>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</si>
  <si>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</si>
  <si>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</si>
  <si>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</si>
  <si>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</si>
  <si>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</si>
  <si>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</si>
  <si>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</si>
  <si>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</si>
  <si>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</si>
  <si>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</si>
  <si>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</si>
  <si>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</si>
  <si>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</si>
  <si>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</si>
  <si>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</si>
  <si>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</si>
  <si>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</si>
  <si>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</si>
  <si>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</si>
  <si>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</si>
  <si>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</si>
  <si>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</si>
  <si>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</si>
  <si>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</si>
  <si>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</si>
  <si>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</si>
  <si>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</si>
  <si>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</si>
  <si>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</si>
  <si>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</si>
  <si>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</si>
  <si>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</si>
  <si>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</si>
  <si>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</si>
  <si>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</si>
  <si>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</si>
  <si>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</si>
  <si>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</si>
  <si>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</si>
  <si>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</si>
  <si>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</si>
  <si>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</si>
  <si>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</si>
  <si>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</si>
  <si>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</si>
  <si>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</si>
  <si>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</si>
  <si>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</si>
  <si>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</si>
  <si>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</si>
  <si>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</si>
  <si>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</si>
  <si>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</si>
  <si>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</si>
  <si>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</si>
  <si>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</si>
  <si>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</si>
  <si>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</si>
  <si>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</si>
  <si>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</si>
  <si>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</si>
  <si>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</si>
  <si>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</si>
  <si>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</si>
  <si>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</si>
  <si>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</si>
  <si>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</si>
  <si>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</si>
  <si>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</si>
  <si>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</si>
  <si>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</si>
  <si>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</si>
  <si>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</si>
  <si>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</si>
  <si>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</si>
  <si>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</si>
  <si>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</si>
  <si>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</si>
  <si>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</si>
  <si>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</si>
  <si>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</si>
  <si>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</si>
  <si>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</si>
  <si>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</si>
  <si>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</si>
  <si>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</si>
  <si>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</si>
  <si>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</si>
  <si>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</si>
  <si>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</si>
  <si>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</si>
  <si>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</si>
  <si>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</si>
  <si>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</si>
  <si>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</si>
  <si>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</si>
  <si>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</si>
  <si>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</si>
  <si>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</si>
  <si>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</si>
  <si>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</si>
  <si>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</si>
  <si>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</si>
  <si>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</si>
  <si>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</si>
  <si>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</si>
  <si>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</si>
  <si>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</si>
  <si>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</si>
  <si>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</si>
  <si>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</si>
  <si>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</si>
  <si>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</si>
  <si>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</si>
  <si>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</si>
  <si>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</si>
  <si>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</si>
  <si>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</si>
  <si>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</si>
  <si>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</si>
  <si>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</si>
  <si>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</si>
  <si>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</si>
  <si>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</si>
  <si>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</si>
  <si>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</si>
  <si>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</si>
  <si>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</si>
  <si>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</si>
  <si>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</si>
  <si>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</si>
  <si>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</si>
  <si>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</si>
  <si>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</si>
  <si>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piso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</si>
</sst>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A13" zoomScaleNormal="100" workbookViewId="0">
      <selection activeCell="S36" sqref="S36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46142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59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1.4976885487547091</v>
      </c>
      <c r="P12" s="296">
        <f t="shared" si="0"/>
        <v>5.9907541950188365</v>
      </c>
      <c r="Q12" s="617" t="s">
        <v>23</v>
      </c>
      <c r="R12" s="609"/>
      <c r="S12" s="284">
        <f>ROUNDUP(AI49/6,0)</f>
        <v>2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3.3209</v>
      </c>
      <c r="P13" s="296">
        <f t="shared" si="0"/>
        <v>15.94032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4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4.8185885487547093</v>
      </c>
      <c r="P17" s="306">
        <f t="shared" si="1"/>
        <v>21.931074195018837</v>
      </c>
      <c r="Q17" s="617" t="s">
        <v>40</v>
      </c>
      <c r="R17" s="609"/>
      <c r="S17" s="284">
        <f>ROUNDUP(AI49/6,0)</f>
        <v>2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3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32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5" t="s">
        <v>244</v>
      </c>
      <c r="E29" s="596"/>
      <c r="F29" s="592" t="s">
        <v>104</v>
      </c>
      <c r="G29" s="593"/>
      <c r="H29" s="594"/>
      <c r="I29" s="192">
        <v>1</v>
      </c>
      <c r="J29" s="192">
        <v>54</v>
      </c>
      <c r="K29" s="192">
        <v>60</v>
      </c>
      <c r="L29" s="192"/>
      <c r="M29" s="192"/>
      <c r="N29" s="595" t="s">
        <v>138</v>
      </c>
      <c r="O29" s="593"/>
      <c r="P29" s="594"/>
      <c r="Q29" s="192">
        <v>65</v>
      </c>
      <c r="R29" s="192">
        <v>35</v>
      </c>
      <c r="S29" s="192">
        <v>0.23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100</v>
      </c>
      <c r="G30" s="593"/>
      <c r="H30" s="594"/>
      <c r="I30" s="192">
        <v>1</v>
      </c>
      <c r="J30" s="192">
        <v>200</v>
      </c>
      <c r="K30" s="192">
        <v>25</v>
      </c>
      <c r="L30" s="192"/>
      <c r="M30" s="192"/>
      <c r="N30" s="595"/>
      <c r="O30" s="593"/>
      <c r="P30" s="594"/>
      <c r="Q30" s="192"/>
      <c r="R30" s="192"/>
      <c r="S30" s="192">
        <v>0.28999999999999998</v>
      </c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 t="str">
        <f t="shared" ref="AJ30:AJ48" si="29">IF(AE30=TRUE,0.5,AL30)</f>
        <v>1 C / 1R</v>
      </c>
      <c r="AK30" s="288"/>
      <c r="AL30" s="289" t="str">
        <f t="shared" si="6"/>
        <v>1 C / 1R</v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e">
        <f t="shared" si="25"/>
        <v>#N/A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104</v>
      </c>
      <c r="G31" s="593"/>
      <c r="H31" s="594"/>
      <c r="I31" s="192">
        <v>1</v>
      </c>
      <c r="J31" s="192">
        <v>54</v>
      </c>
      <c r="K31" s="192">
        <v>60</v>
      </c>
      <c r="L31" s="192"/>
      <c r="M31" s="192"/>
      <c r="N31" s="595" t="s">
        <v>159</v>
      </c>
      <c r="O31" s="593"/>
      <c r="P31" s="594"/>
      <c r="Q31" s="192">
        <v>80</v>
      </c>
      <c r="R31" s="192">
        <v>20</v>
      </c>
      <c r="S31" s="192">
        <v>0.25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0.6</v>
      </c>
      <c r="AK31" s="288"/>
      <c r="AL31" s="289">
        <f t="shared" si="6"/>
        <v>0.6</v>
      </c>
      <c r="AM31" s="290">
        <f t="shared" si="7"/>
        <v>0.84064000000000016</v>
      </c>
      <c r="AN31" s="290">
        <f t="shared" ref="AN31:AN46" si="37">IF(ISERROR(AM31*(IF(AJ31=1,8,IF(AJ31=0.8,6.4,IF(AJ31=0.6,4.8,IF(AJ31=0.5,4)))))),"",AM31*(IF(AJ31=1,8,IF(AJ31=0.8,6.4,IF(AJ31=0.6,4.8,IF(AJ31=0.5,4))))))</f>
        <v>4.0350720000000004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>
        <f t="shared" si="32"/>
        <v>0.84064000000000016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98</v>
      </c>
      <c r="G32" s="593"/>
      <c r="H32" s="594"/>
      <c r="I32" s="192">
        <v>1</v>
      </c>
      <c r="J32" s="192">
        <v>80</v>
      </c>
      <c r="K32" s="192">
        <v>20</v>
      </c>
      <c r="L32" s="192"/>
      <c r="M32" s="192"/>
      <c r="N32" s="595"/>
      <c r="O32" s="593"/>
      <c r="P32" s="594"/>
      <c r="Q32" s="192"/>
      <c r="R32" s="192"/>
      <c r="S32" s="192">
        <v>0.2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0.6</v>
      </c>
      <c r="AK32" s="288"/>
      <c r="AL32" s="289">
        <f t="shared" si="6"/>
        <v>0.6</v>
      </c>
      <c r="AM32" s="290">
        <f t="shared" si="7"/>
        <v>0.65055999999999992</v>
      </c>
      <c r="AN32" s="290">
        <f t="shared" si="37"/>
        <v>3.1226879999999997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0.65055999999999992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33</v>
      </c>
      <c r="G33" s="593"/>
      <c r="H33" s="594"/>
      <c r="I33" s="192">
        <v>1</v>
      </c>
      <c r="J33" s="192">
        <v>20</v>
      </c>
      <c r="K33" s="192">
        <v>80</v>
      </c>
      <c r="L33" s="192"/>
      <c r="M33" s="192">
        <v>18</v>
      </c>
      <c r="N33" s="595"/>
      <c r="O33" s="593"/>
      <c r="P33" s="594"/>
      <c r="Q33" s="192"/>
      <c r="R33" s="192"/>
      <c r="S33" s="192">
        <v>0.78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0.6</v>
      </c>
      <c r="AK33" s="288"/>
      <c r="AL33" s="289">
        <f t="shared" si="6"/>
        <v>0.6</v>
      </c>
      <c r="AM33" s="290">
        <f t="shared" si="7"/>
        <v>1.8297000000000001</v>
      </c>
      <c r="AN33" s="290">
        <f t="shared" si="37"/>
        <v>8.7825600000000001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>
        <f t="shared" si="26"/>
        <v>1.8297000000000001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99</v>
      </c>
      <c r="G34" s="593"/>
      <c r="H34" s="594"/>
      <c r="I34" s="192">
        <v>2</v>
      </c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>
        <v>25</v>
      </c>
      <c r="U34" s="192"/>
      <c r="V34" s="193"/>
      <c r="W34" s="194"/>
      <c r="X34" s="192"/>
      <c r="Y34" s="192"/>
      <c r="Z34" s="195"/>
      <c r="AA34" s="595" t="s">
        <v>133</v>
      </c>
      <c r="AB34" s="594"/>
      <c r="AC34" s="595" t="s">
        <v>133</v>
      </c>
      <c r="AD34" s="594"/>
      <c r="AE34" s="197"/>
      <c r="AF34" s="284">
        <f t="shared" si="2"/>
        <v>2</v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4.4371854639302231E-2</v>
      </c>
      <c r="AN34" s="290">
        <f t="shared" si="37"/>
        <v>0.17748741855720893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>
        <f t="shared" si="24"/>
        <v>4.4371854639302231E-2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97</v>
      </c>
      <c r="G35" s="593"/>
      <c r="H35" s="594"/>
      <c r="I35" s="192">
        <v>2</v>
      </c>
      <c r="J35" s="192"/>
      <c r="K35" s="192"/>
      <c r="L35" s="192"/>
      <c r="M35" s="192"/>
      <c r="N35" s="595"/>
      <c r="O35" s="593"/>
      <c r="P35" s="594"/>
      <c r="Q35" s="192"/>
      <c r="R35" s="192"/>
      <c r="S35" s="192">
        <v>0.9</v>
      </c>
      <c r="T35" s="192">
        <v>25</v>
      </c>
      <c r="U35" s="192"/>
      <c r="V35" s="193"/>
      <c r="W35" s="194"/>
      <c r="X35" s="192"/>
      <c r="Y35" s="192"/>
      <c r="Z35" s="195"/>
      <c r="AA35" s="595" t="s">
        <v>133</v>
      </c>
      <c r="AB35" s="594"/>
      <c r="AC35" s="595" t="s">
        <v>133</v>
      </c>
      <c r="AD35" s="594"/>
      <c r="AE35" s="197"/>
      <c r="AF35" s="284">
        <f t="shared" si="2"/>
        <v>2</v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1.453316694115407</v>
      </c>
      <c r="AN35" s="290">
        <f t="shared" si="37"/>
        <v>5.8132667764616279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>
        <f t="shared" si="22"/>
        <v>1.453316694115407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9</v>
      </c>
      <c r="AG49" s="203"/>
      <c r="AH49" s="204">
        <f>SUM(AH29:AH48)</f>
        <v>24</v>
      </c>
      <c r="AI49" s="204">
        <f>SUM(AI29:AI48)</f>
        <v>8</v>
      </c>
      <c r="AJ49" s="205"/>
      <c r="AK49" s="205"/>
      <c r="AL49" s="206"/>
      <c r="AM49" s="207">
        <f>SUM(AM29:AM48)</f>
        <v>4.8185885487547093</v>
      </c>
      <c r="AN49" s="208">
        <f>SUM(AN29:AN48)</f>
        <v>21.931074195018837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46142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46142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59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46149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5.9907541950188365</v>
      </c>
      <c r="Y8" s="531">
        <f>SUMIFS('Diseño 1"'!AN29:AN48,'Diseño 1"'!AJ29:AJ48,0.6)</f>
        <v>15.94032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21.931074195018837</v>
      </c>
      <c r="AH8" s="538"/>
      <c r="AI8" s="533">
        <f>+'Diseño 1"'!AM49</f>
        <v>4.8185885487547093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>piso 2</v>
      </c>
      <c r="H12" s="694"/>
      <c r="I12" s="693" t="str">
        <f>IF('Diseño 1"'!F29="","",'Diseño 1"'!F29)</f>
        <v>Transformación</v>
      </c>
      <c r="J12" s="694"/>
      <c r="K12" s="248">
        <f>IF(I12="","",'Diseño 1"'!I29)</f>
        <v>1</v>
      </c>
      <c r="L12" s="242">
        <f>IF('Diseño 1"'!J29="","",'Diseño 1"'!J29)</f>
        <v>54</v>
      </c>
      <c r="M12" s="242">
        <f>IF('Diseño 1"'!K29="","",'Diseño 1"'!K29)</f>
        <v>60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>Pareja Der. - Inf. Pareja</v>
      </c>
      <c r="Q12" s="694"/>
      <c r="R12" s="242">
        <f>IF('Diseño 1"'!Q29="","",'Diseño 1"'!Q29)</f>
        <v>65</v>
      </c>
      <c r="S12" s="242">
        <f>IF('Diseño 1"'!R29="","",'Diseño 1"'!R29)</f>
        <v>35</v>
      </c>
      <c r="T12" s="242">
        <f>IF('Diseño 1"'!S29="","",'Diseño 1"'!S29)</f>
        <v>0.23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Pleno</v>
      </c>
      <c r="J13" s="651"/>
      <c r="K13" s="20">
        <f>IF(I13="","",'Diseño 1"'!I30)</f>
        <v>1</v>
      </c>
      <c r="L13" s="17">
        <f>IF('Diseño 1"'!J30="","",'Diseño 1"'!J30)</f>
        <v>200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0.28999999999999998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/>
      </c>
      <c r="Z13" s="650"/>
      <c r="AA13" s="649" t="str">
        <f>IF('Diseño 1"'!AC30="","",'Diseño 1"'!AC30)</f>
        <v/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 t="str">
        <f>'Diseño 1"'!AJ30</f>
        <v>1 C / 1R</v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Transformación</v>
      </c>
      <c r="J14" s="651"/>
      <c r="K14" s="20">
        <f>IF(I14="","",'Diseño 1"'!I31)</f>
        <v>1</v>
      </c>
      <c r="L14" s="17">
        <f>IF('Diseño 1"'!J31="","",'Diseño 1"'!J31)</f>
        <v>54</v>
      </c>
      <c r="M14" s="17">
        <f>IF('Diseño 1"'!K31="","",'Diseño 1"'!K31)</f>
        <v>60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>Simétrica - Sup. Pareja</v>
      </c>
      <c r="Q14" s="651"/>
      <c r="R14" s="17">
        <f>IF('Diseño 1"'!Q31="","",'Diseño 1"'!Q31)</f>
        <v>80</v>
      </c>
      <c r="S14" s="17">
        <f>IF('Diseño 1"'!R31="","",'Diseño 1"'!R31)</f>
        <v>20</v>
      </c>
      <c r="T14" s="242">
        <f>IF('Diseño 1"'!S31="","",'Diseño 1"'!S31)</f>
        <v>0.25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0.6</v>
      </c>
      <c r="AF14" s="93">
        <f>'Diseño 1"'!AK31</f>
        <v>0</v>
      </c>
      <c r="AG14" s="243">
        <f>IF('Diseño 1"'!AN31="","",'Diseño 1"'!AN31)</f>
        <v>4.0350720000000004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Ducto Recto</v>
      </c>
      <c r="J15" s="651"/>
      <c r="K15" s="20">
        <f>IF(I15="","",'Diseño 1"'!I32)</f>
        <v>1</v>
      </c>
      <c r="L15" s="17">
        <f>IF('Diseño 1"'!J32="","",'Diseño 1"'!J32)</f>
        <v>80</v>
      </c>
      <c r="M15" s="17">
        <f>IF('Diseño 1"'!K32="","",'Diseño 1"'!K32)</f>
        <v>20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0.2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0.6</v>
      </c>
      <c r="AF15" s="93">
        <f>'Diseño 1"'!AK32</f>
        <v>0</v>
      </c>
      <c r="AG15" s="243">
        <f>IF('Diseño 1"'!AN32="","",'Diseño 1"'!AN32)</f>
        <v>3.1226879999999997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S</v>
      </c>
      <c r="J16" s="651"/>
      <c r="K16" s="20">
        <f>IF(I16="","",'Diseño 1"'!I33)</f>
        <v>1</v>
      </c>
      <c r="L16" s="17">
        <f>IF('Diseño 1"'!J33="","",'Diseño 1"'!J33)</f>
        <v>20</v>
      </c>
      <c r="M16" s="17">
        <f>IF('Diseño 1"'!K33="","",'Diseño 1"'!K33)</f>
        <v>80</v>
      </c>
      <c r="N16" s="17">
        <f>'Diseño 1"'!L33</f>
        <v>0</v>
      </c>
      <c r="O16" s="17">
        <f>IF('Diseño 1"'!M33="","",'Diseño 1"'!M33)</f>
        <v>18</v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0.78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0.6</v>
      </c>
      <c r="AF16" s="93">
        <f>'Diseño 1"'!AK33</f>
        <v>0</v>
      </c>
      <c r="AG16" s="243">
        <f>IF('Diseño 1"'!AN33="","",'Diseño 1"'!AN33)</f>
        <v>8.7825600000000001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Medio Codo</v>
      </c>
      <c r="J17" s="651"/>
      <c r="K17" s="20">
        <f>IF(I17="","",'Diseño 1"'!I34)</f>
        <v>2</v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>
        <f>IF('Diseño 1"'!T34="","",'Diseño 1"'!T34)</f>
        <v>25</v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Copla Rodón</v>
      </c>
      <c r="Z17" s="650"/>
      <c r="AA17" s="649" t="str">
        <f>IF('Diseño 1"'!AC34="","",'Diseño 1"'!AC34)</f>
        <v>Copla Rodón</v>
      </c>
      <c r="AB17" s="650"/>
      <c r="AC17" s="23" t="str">
        <f>IF('Diseño 1"'!AE34=TRUE,0.5,"")</f>
        <v/>
      </c>
      <c r="AD17" s="92">
        <f>IF('Diseño 1"'!AF34="","",'Diseño 1"'!AF34)</f>
        <v>2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0.17748741855720893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Ducto Cilindrico</v>
      </c>
      <c r="J18" s="651"/>
      <c r="K18" s="20">
        <f>IF(I18="","",'Diseño 1"'!I35)</f>
        <v>2</v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>
        <f>IF('Diseño 1"'!T35="","",'Diseño 1"'!T35)</f>
        <v>25</v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Copla Rodón</v>
      </c>
      <c r="Z18" s="650"/>
      <c r="AA18" s="649" t="str">
        <f>IF('Diseño 1"'!AC35="","",'Diseño 1"'!AC35)</f>
        <v>Copla Rodón</v>
      </c>
      <c r="AB18" s="650"/>
      <c r="AC18" s="23" t="str">
        <f>IF('Diseño 1"'!AE35=TRUE,0.5,"")</f>
        <v/>
      </c>
      <c r="AD18" s="92">
        <f>IF('Diseño 1"'!AF35="","",'Diseño 1"'!AF35)</f>
        <v>2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5.8132667764616279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5.9907541950188365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5.9907541950188365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2026-05-04T14:30:57Z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