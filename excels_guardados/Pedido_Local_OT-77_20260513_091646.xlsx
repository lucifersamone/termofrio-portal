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28389E77-7640-9E18-AD5C-E98E2F4A8B83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2" documentId="13_ncr:1_{96A63BB0-5FB8-492D-A3B4-4BF4673DEB0A}" xr6:coauthVersionLast="47" xr6:coauthVersionMax="47" xr10:uidLastSave="{A6B59F94-D801-43F9-A180-6EF2059570E2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<sst xmlns="http://schemas.openxmlformats.org/spreadsheetml/2006/main" count="1762" uniqueCount="246">
  <si>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</si>
  <si>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</si>
  <si>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</si>
  <si>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</si>
  <si>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</si>
  <si>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</si>
  <si>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</si>
  <si>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</si>
  <si>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</si>
  <si>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</si>
  <si>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</si>
  <si>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</si>
  <si>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</si>
  <si>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</si>
  <si>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</si>
  <si>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</si>
  <si>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</si>
  <si>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</si>
  <si>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</si>
  <si>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</si>
  <si>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</si>
  <si>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</si>
  <si>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</si>
  <si>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</si>
  <si>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</si>
  <si>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</si>
  <si>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</si>
  <si>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</si>
  <si>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</si>
  <si>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</si>
  <si>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</si>
  <si>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</si>
  <si>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</si>
  <si>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</si>
  <si>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</si>
  <si>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</si>
  <si>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</si>
  <si>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</si>
  <si>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</si>
  <si>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</si>
  <si>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</si>
  <si>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</si>
  <si>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</si>
  <si>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</si>
  <si>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</si>
  <si>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</si>
  <si>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</si>
  <si>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</si>
  <si>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</si>
  <si>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</si>
  <si>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</si>
  <si>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</si>
  <si>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</si>
  <si>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</si>
  <si>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</si>
  <si>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</si>
  <si>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</si>
  <si>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</si>
  <si>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</si>
  <si>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</si>
  <si>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</si>
  <si>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</si>
  <si>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</si>
  <si>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</si>
  <si>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</si>
  <si>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</si>
  <si>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</si>
  <si>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</si>
  <si>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</si>
  <si>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</si>
  <si>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</si>
  <si>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</si>
  <si>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</si>
  <si>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</si>
  <si>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</si>
  <si>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</si>
  <si>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</si>
  <si>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</si>
  <si>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</si>
  <si>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</si>
  <si>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</si>
  <si>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</si>
  <si>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</si>
  <si>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</si>
  <si>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</si>
  <si>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</si>
  <si>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</si>
  <si>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</si>
  <si>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</si>
  <si>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</si>
  <si>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</si>
  <si>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</si>
  <si>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</si>
  <si>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</si>
  <si>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</si>
  <si>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</si>
  <si>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</si>
  <si>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</si>
  <si>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</si>
  <si>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</si>
  <si>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</si>
  <si>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</si>
  <si>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</si>
  <si>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</si>
  <si>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</si>
  <si>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</si>
  <si>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</si>
  <si>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</si>
  <si>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</si>
  <si>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</si>
  <si>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</si>
  <si>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</si>
  <si>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</si>
  <si>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</si>
  <si>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</si>
  <si>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</si>
  <si>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</si>
  <si>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</si>
  <si>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</si>
  <si>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</si>
  <si>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</si>
  <si>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</si>
  <si>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</si>
  <si>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</si>
  <si>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</si>
  <si>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</si>
  <si>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</si>
  <si>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</si>
  <si>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</si>
  <si>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</si>
  <si>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</si>
  <si>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</si>
  <si>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</si>
  <si>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</si>
  <si>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</si>
  <si>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</si>
  <si>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</si>
  <si>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</si>
  <si>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</si>
  <si>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</si>
  <si>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</si>
  <si>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</si>
  <si>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</si>
  <si>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</si>
  <si>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</si>
  <si>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</si>
  <si>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</si>
  <si>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</si>
  <si>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</si>
  <si>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</si>
  <si>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</si>
  <si>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</si>
  <si>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</si>
  <si>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</si>
  <si>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</si>
  <si>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</si>
  <si>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</si>
  <si>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</si>
  <si>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</si>
  <si>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</si>
  <si>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</si>
  <si>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</si>
  <si>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</si>
  <si>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</si>
  <si>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</si>
  <si>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</si>
  <si>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</si>
  <si>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</si>
  <si>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</si>
  <si>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</si>
  <si>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</si>
  <si>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</si>
  <si>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</si>
  <si>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</si>
  <si>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</si>
  <si>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</si>
  <si>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</si>
  <si>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</si>
  <si>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</si>
  <si>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</si>
  <si>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</si>
  <si>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</si>
  <si>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</si>
  <si>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</si>
  <si>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</si>
  <si>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</si>
  <si>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</si>
  <si>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</si>
  <si>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</si>
  <si>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</si>
  <si>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</si>
  <si>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</si>
  <si>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</si>
  <si>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</si>
  <si>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</si>
  <si>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</si>
  <si>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</si>
  <si>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</si>
  <si>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</si>
  <si>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</si>
  <si>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</si>
  <si>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</si>
  <si>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</si>
  <si>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</si>
  <si>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</si>
  <si>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</si>
  <si>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</si>
  <si>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</si>
  <si>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</si>
  <si>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</si>
  <si>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</si>
  <si>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</si>
  <si>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</si>
  <si>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</si>
  <si>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</si>
  <si>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</si>
  <si>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</si>
  <si>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</si>
  <si>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</si>
  <si>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</si>
  <si>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</si>
  <si>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</si>
  <si>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</si>
  <si>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</si>
  <si>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</si>
  <si>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</si>
  <si>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</si>
  <si>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</si>
  <si>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</si>
  <si>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</si>
  <si>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</si>
  <si>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</si>
  <si>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</si>
  <si>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</si>
  <si>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</si>
  <si>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</si>
  <si>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</si>
  <si>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</si>
  <si>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</si>
  <si>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</si>
  <si>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</si>
  <si>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</si>
  <si>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</si>
  <si>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</si>
  <si>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2.3</t>
  </si>
  <si>
    <t>SEGUNDO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</si>
</sst>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S43" sqref="S43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46154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67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9.9490904858394131</v>
      </c>
      <c r="P12" s="296">
        <f t="shared" si="0"/>
        <v>39.796361943357653</v>
      </c>
      <c r="Q12" s="617" t="s">
        <v>23</v>
      </c>
      <c r="R12" s="609"/>
      <c r="S12" s="284">
        <f>ROUNDUP(AI49/6,0)</f>
        <v>8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16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3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24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9.9490904858394131</v>
      </c>
      <c r="P17" s="306">
        <f t="shared" si="1"/>
        <v>39.796361943357653</v>
      </c>
      <c r="Q17" s="617" t="s">
        <v>40</v>
      </c>
      <c r="R17" s="609"/>
      <c r="S17" s="284">
        <f>ROUNDUP(AI49/6,0)</f>
        <v>8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32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16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100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7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244</v>
      </c>
      <c r="D29" s="595" t="s">
        <v>245</v>
      </c>
      <c r="E29" s="596"/>
      <c r="F29" s="592" t="s">
        <v>104</v>
      </c>
      <c r="G29" s="593"/>
      <c r="H29" s="594"/>
      <c r="I29" s="192">
        <v>1</v>
      </c>
      <c r="J29" s="192">
        <v>32</v>
      </c>
      <c r="K29" s="192">
        <v>22</v>
      </c>
      <c r="L29" s="192"/>
      <c r="M29" s="192"/>
      <c r="N29" s="595"/>
      <c r="O29" s="593"/>
      <c r="P29" s="594"/>
      <c r="Q29" s="192">
        <v>30</v>
      </c>
      <c r="R29" s="192">
        <v>30</v>
      </c>
      <c r="S29" s="192">
        <v>0.3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105</v>
      </c>
      <c r="G30" s="593"/>
      <c r="H30" s="594"/>
      <c r="I30" s="192">
        <v>1</v>
      </c>
      <c r="J30" s="192">
        <v>32</v>
      </c>
      <c r="K30" s="192">
        <v>22</v>
      </c>
      <c r="L30" s="192"/>
      <c r="M30" s="192"/>
      <c r="N30" s="595"/>
      <c r="O30" s="593"/>
      <c r="P30" s="594"/>
      <c r="Q30" s="192"/>
      <c r="R30" s="192"/>
      <c r="S30" s="192">
        <v>0.2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137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4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 t="str">
        <f t="shared" si="7"/>
        <v/>
      </c>
      <c r="AN30" s="290" t="str">
        <f t="shared" si="8"/>
        <v/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87</v>
      </c>
      <c r="G31" s="593"/>
      <c r="H31" s="594"/>
      <c r="I31" s="192">
        <v>1</v>
      </c>
      <c r="J31" s="192">
        <v>30</v>
      </c>
      <c r="K31" s="192">
        <v>30</v>
      </c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0.82309932421118426</v>
      </c>
      <c r="AN31" s="290">
        <f t="shared" ref="AN31:AN46" si="37">IF(ISERROR(AM31*(IF(AJ31=1,8,IF(AJ31=0.8,6.4,IF(AJ31=0.6,4.8,IF(AJ31=0.5,4)))))),"",AM31*(IF(AJ31=1,8,IF(AJ31=0.8,6.4,IF(AJ31=0.6,4.8,IF(AJ31=0.5,4))))))</f>
        <v>3.292397296844737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0.82309932421118426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98</v>
      </c>
      <c r="G32" s="593"/>
      <c r="H32" s="594"/>
      <c r="I32" s="192">
        <v>1</v>
      </c>
      <c r="J32" s="192">
        <v>30</v>
      </c>
      <c r="K32" s="192">
        <v>30</v>
      </c>
      <c r="L32" s="192"/>
      <c r="M32" s="192"/>
      <c r="N32" s="595"/>
      <c r="O32" s="593"/>
      <c r="P32" s="594"/>
      <c r="Q32" s="192"/>
      <c r="R32" s="192"/>
      <c r="S32" s="192">
        <v>0.9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1.25766</v>
      </c>
      <c r="AN32" s="290">
        <f t="shared" si="37"/>
        <v>5.03064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1.25766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98</v>
      </c>
      <c r="G33" s="593"/>
      <c r="H33" s="594"/>
      <c r="I33" s="192">
        <v>1</v>
      </c>
      <c r="J33" s="192">
        <v>30</v>
      </c>
      <c r="K33" s="192">
        <v>30</v>
      </c>
      <c r="L33" s="192"/>
      <c r="M33" s="192"/>
      <c r="N33" s="595"/>
      <c r="O33" s="593"/>
      <c r="P33" s="594"/>
      <c r="Q33" s="192"/>
      <c r="R33" s="192"/>
      <c r="S33" s="192">
        <v>0.22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0.41921999999999998</v>
      </c>
      <c r="AN33" s="290">
        <f t="shared" si="37"/>
        <v>1.6768799999999999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0.41921999999999998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103</v>
      </c>
      <c r="G34" s="593"/>
      <c r="H34" s="594"/>
      <c r="I34" s="192">
        <v>1</v>
      </c>
      <c r="J34" s="192">
        <v>30</v>
      </c>
      <c r="K34" s="192">
        <v>30</v>
      </c>
      <c r="L34" s="192"/>
      <c r="M34" s="192"/>
      <c r="N34" s="595"/>
      <c r="O34" s="593"/>
      <c r="P34" s="594"/>
      <c r="Q34" s="192"/>
      <c r="R34" s="192"/>
      <c r="S34" s="192">
        <v>0.3</v>
      </c>
      <c r="T34" s="192">
        <v>20</v>
      </c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133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4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0.35907976628593113</v>
      </c>
      <c r="AN34" s="290">
        <f t="shared" si="37"/>
        <v>1.4363190651437245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>
        <f t="shared" si="31"/>
        <v>0.35907976628593113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98</v>
      </c>
      <c r="G35" s="593"/>
      <c r="H35" s="594"/>
      <c r="I35" s="192">
        <v>1</v>
      </c>
      <c r="J35" s="192">
        <v>25</v>
      </c>
      <c r="K35" s="192">
        <v>25</v>
      </c>
      <c r="L35" s="192"/>
      <c r="M35" s="192"/>
      <c r="N35" s="595"/>
      <c r="O35" s="593"/>
      <c r="P35" s="594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136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1.05366</v>
      </c>
      <c r="AN35" s="290">
        <f t="shared" si="37"/>
        <v>4.2146400000000002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1.05366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98</v>
      </c>
      <c r="G36" s="593"/>
      <c r="H36" s="594"/>
      <c r="I36" s="192">
        <v>1</v>
      </c>
      <c r="J36" s="192">
        <v>25</v>
      </c>
      <c r="K36" s="192">
        <v>25</v>
      </c>
      <c r="L36" s="192"/>
      <c r="M36" s="192"/>
      <c r="N36" s="595"/>
      <c r="O36" s="593"/>
      <c r="P36" s="594"/>
      <c r="Q36" s="192"/>
      <c r="R36" s="192"/>
      <c r="S36" s="192">
        <v>0.52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0.66111999999999993</v>
      </c>
      <c r="AN36" s="290">
        <f t="shared" si="37"/>
        <v>2.6444799999999997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0.66111999999999993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 t="s">
        <v>87</v>
      </c>
      <c r="G37" s="593"/>
      <c r="H37" s="594"/>
      <c r="I37" s="192">
        <v>1</v>
      </c>
      <c r="J37" s="192">
        <v>25</v>
      </c>
      <c r="K37" s="192">
        <v>25</v>
      </c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 t="s">
        <v>136</v>
      </c>
      <c r="AB37" s="594"/>
      <c r="AC37" s="595" t="s">
        <v>136</v>
      </c>
      <c r="AD37" s="594"/>
      <c r="AE37" s="197"/>
      <c r="AF37" s="284">
        <f t="shared" si="2"/>
        <v>1</v>
      </c>
      <c r="AG37" s="285">
        <f t="shared" si="3"/>
        <v>0</v>
      </c>
      <c r="AH37" s="285">
        <f t="shared" si="4"/>
        <v>8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0.54836881452818287</v>
      </c>
      <c r="AN37" s="290">
        <f t="shared" si="37"/>
        <v>2.1934752581127315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>
        <f t="shared" si="12"/>
        <v>0.54836881452818287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 t="s">
        <v>103</v>
      </c>
      <c r="G38" s="593"/>
      <c r="H38" s="594"/>
      <c r="I38" s="192">
        <v>1</v>
      </c>
      <c r="J38" s="192">
        <v>25</v>
      </c>
      <c r="K38" s="192">
        <v>25</v>
      </c>
      <c r="L38" s="192"/>
      <c r="M38" s="192"/>
      <c r="N38" s="595"/>
      <c r="O38" s="593"/>
      <c r="P38" s="594"/>
      <c r="Q38" s="192"/>
      <c r="R38" s="192"/>
      <c r="S38" s="192">
        <v>0.3</v>
      </c>
      <c r="T38" s="192">
        <v>20</v>
      </c>
      <c r="U38" s="192"/>
      <c r="V38" s="193"/>
      <c r="W38" s="194"/>
      <c r="X38" s="192"/>
      <c r="Y38" s="192"/>
      <c r="Z38" s="195"/>
      <c r="AA38" s="595" t="s">
        <v>136</v>
      </c>
      <c r="AB38" s="594"/>
      <c r="AC38" s="595" t="s">
        <v>133</v>
      </c>
      <c r="AD38" s="594"/>
      <c r="AE38" s="197"/>
      <c r="AF38" s="284">
        <f t="shared" si="2"/>
        <v>1</v>
      </c>
      <c r="AG38" s="285">
        <f t="shared" si="3"/>
        <v>0</v>
      </c>
      <c r="AH38" s="285">
        <f t="shared" si="4"/>
        <v>4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0.32160376628593101</v>
      </c>
      <c r="AN38" s="290">
        <f t="shared" si="37"/>
        <v>1.2864150651437241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>
        <f t="shared" si="31"/>
        <v>0.32160376628593101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 t="s">
        <v>98</v>
      </c>
      <c r="G39" s="593"/>
      <c r="H39" s="594"/>
      <c r="I39" s="192">
        <v>3</v>
      </c>
      <c r="J39" s="192">
        <v>25</v>
      </c>
      <c r="K39" s="192">
        <v>25</v>
      </c>
      <c r="L39" s="192"/>
      <c r="M39" s="192"/>
      <c r="N39" s="595"/>
      <c r="O39" s="593"/>
      <c r="P39" s="594"/>
      <c r="Q39" s="192"/>
      <c r="R39" s="192"/>
      <c r="S39" s="192">
        <v>0.9</v>
      </c>
      <c r="T39" s="192"/>
      <c r="U39" s="192"/>
      <c r="V39" s="193"/>
      <c r="W39" s="194"/>
      <c r="X39" s="192"/>
      <c r="Y39" s="192"/>
      <c r="Z39" s="195"/>
      <c r="AA39" s="595" t="s">
        <v>136</v>
      </c>
      <c r="AB39" s="594"/>
      <c r="AC39" s="595" t="s">
        <v>136</v>
      </c>
      <c r="AD39" s="594"/>
      <c r="AE39" s="197"/>
      <c r="AF39" s="284">
        <f t="shared" si="2"/>
        <v>2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3.1609800000000003</v>
      </c>
      <c r="AN39" s="290">
        <f t="shared" si="37"/>
        <v>12.643920000000001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3.1609800000000003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 t="s">
        <v>98</v>
      </c>
      <c r="G40" s="593"/>
      <c r="H40" s="594"/>
      <c r="I40" s="192">
        <v>1</v>
      </c>
      <c r="J40" s="192">
        <v>25</v>
      </c>
      <c r="K40" s="192">
        <v>25</v>
      </c>
      <c r="L40" s="192"/>
      <c r="M40" s="192"/>
      <c r="N40" s="595"/>
      <c r="O40" s="593"/>
      <c r="P40" s="594"/>
      <c r="Q40" s="192"/>
      <c r="R40" s="192"/>
      <c r="S40" s="192">
        <v>0.27</v>
      </c>
      <c r="T40" s="192"/>
      <c r="U40" s="192"/>
      <c r="V40" s="193"/>
      <c r="W40" s="194"/>
      <c r="X40" s="192"/>
      <c r="Y40" s="192"/>
      <c r="Z40" s="195"/>
      <c r="AA40" s="595" t="s">
        <v>136</v>
      </c>
      <c r="AB40" s="594"/>
      <c r="AC40" s="595" t="s">
        <v>136</v>
      </c>
      <c r="AD40" s="594"/>
      <c r="AE40" s="197"/>
      <c r="AF40" s="284">
        <f t="shared" si="2"/>
        <v>1</v>
      </c>
      <c r="AG40" s="285">
        <f t="shared" si="3"/>
        <v>0</v>
      </c>
      <c r="AH40" s="285">
        <f t="shared" si="4"/>
        <v>0</v>
      </c>
      <c r="AI40" s="286">
        <f t="shared" si="5"/>
        <v>8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0.40287000000000001</v>
      </c>
      <c r="AN40" s="290">
        <f t="shared" si="37"/>
        <v>1.61148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>
        <f t="shared" si="23"/>
        <v>0.40287000000000001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 t="s">
        <v>87</v>
      </c>
      <c r="G41" s="593"/>
      <c r="H41" s="594"/>
      <c r="I41" s="192">
        <v>1</v>
      </c>
      <c r="J41" s="192">
        <v>25</v>
      </c>
      <c r="K41" s="192">
        <v>25</v>
      </c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 t="s">
        <v>136</v>
      </c>
      <c r="AB41" s="594"/>
      <c r="AC41" s="595" t="s">
        <v>136</v>
      </c>
      <c r="AD41" s="594"/>
      <c r="AE41" s="197"/>
      <c r="AF41" s="284">
        <f t="shared" si="2"/>
        <v>1</v>
      </c>
      <c r="AG41" s="285">
        <f t="shared" si="3"/>
        <v>0</v>
      </c>
      <c r="AH41" s="285">
        <f t="shared" si="4"/>
        <v>8</v>
      </c>
      <c r="AI41" s="286">
        <f t="shared" si="5"/>
        <v>0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0.54836881452818287</v>
      </c>
      <c r="AN41" s="290">
        <f t="shared" si="37"/>
        <v>2.1934752581127315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>
        <f t="shared" si="12"/>
        <v>0.54836881452818287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 t="s">
        <v>96</v>
      </c>
      <c r="G42" s="593"/>
      <c r="H42" s="594"/>
      <c r="I42" s="192">
        <v>1</v>
      </c>
      <c r="J42" s="192">
        <v>25</v>
      </c>
      <c r="K42" s="192">
        <v>25</v>
      </c>
      <c r="L42" s="192"/>
      <c r="M42" s="192"/>
      <c r="N42" s="595"/>
      <c r="O42" s="593"/>
      <c r="P42" s="594"/>
      <c r="Q42" s="192"/>
      <c r="R42" s="192"/>
      <c r="S42" s="192">
        <v>0.2</v>
      </c>
      <c r="T42" s="192"/>
      <c r="U42" s="192"/>
      <c r="V42" s="193"/>
      <c r="W42" s="194"/>
      <c r="X42" s="192"/>
      <c r="Y42" s="192"/>
      <c r="Z42" s="195"/>
      <c r="AA42" s="595" t="s">
        <v>136</v>
      </c>
      <c r="AB42" s="594"/>
      <c r="AC42" s="595" t="s">
        <v>136</v>
      </c>
      <c r="AD42" s="594"/>
      <c r="AE42" s="197"/>
      <c r="AF42" s="284">
        <f t="shared" si="2"/>
        <v>1</v>
      </c>
      <c r="AG42" s="285">
        <f t="shared" si="3"/>
        <v>0</v>
      </c>
      <c r="AH42" s="285">
        <f t="shared" si="4"/>
        <v>8</v>
      </c>
      <c r="AI42" s="286">
        <f t="shared" si="5"/>
        <v>0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0.39305999999999996</v>
      </c>
      <c r="AN42" s="290">
        <f t="shared" si="37"/>
        <v>1.5722399999999999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>
        <f t="shared" si="21"/>
        <v>0.39305999999999996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15</v>
      </c>
      <c r="AG49" s="203"/>
      <c r="AH49" s="204">
        <f>SUM(AH29:AH48)</f>
        <v>52</v>
      </c>
      <c r="AI49" s="204">
        <f>SUM(AI29:AI48)</f>
        <v>48</v>
      </c>
      <c r="AJ49" s="205"/>
      <c r="AK49" s="205"/>
      <c r="AL49" s="206"/>
      <c r="AM49" s="207">
        <f>SUM(AM29:AM48)</f>
        <v>9.9490904858394131</v>
      </c>
      <c r="AN49" s="208">
        <f>SUM(AN29:AN48)</f>
        <v>39.796361943357653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46154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46154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67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46161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39.796361943357653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39.796361943357653</v>
      </c>
      <c r="AH8" s="538"/>
      <c r="AI8" s="533">
        <f>+'Diseño 1"'!AM49</f>
        <v>9.9490904858394131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>Fan Coil</v>
      </c>
      <c r="E12" s="694"/>
      <c r="F12" s="247" t="str">
        <f>IF('Diseño 1"'!C29=0,"",'Diseño 1"'!C29)</f>
        <v>2.3</v>
      </c>
      <c r="G12" s="693" t="str">
        <f>IF('Diseño 1"'!D29="","",'Diseño 1"'!D29)</f>
        <v>SEGUNDO PISO</v>
      </c>
      <c r="H12" s="694"/>
      <c r="I12" s="693" t="str">
        <f>IF('Diseño 1"'!F29="","",'Diseño 1"'!F29)</f>
        <v>Transformación</v>
      </c>
      <c r="J12" s="694"/>
      <c r="K12" s="248">
        <f>IF(I12="","",'Diseño 1"'!I29)</f>
        <v>1</v>
      </c>
      <c r="L12" s="242">
        <f>IF('Diseño 1"'!J29="","",'Diseño 1"'!J29)</f>
        <v>32</v>
      </c>
      <c r="M12" s="242">
        <f>IF('Diseño 1"'!K29="","",'Diseño 1"'!K29)</f>
        <v>22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>
        <f>IF('Diseño 1"'!Q29="","",'Diseño 1"'!Q29)</f>
        <v>30</v>
      </c>
      <c r="S12" s="242">
        <f>IF('Diseño 1"'!R29="","",'Diseño 1"'!R29)</f>
        <v>30</v>
      </c>
      <c r="T12" s="242">
        <f>IF('Diseño 1"'!S29="","",'Diseño 1"'!S29)</f>
        <v>0.3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Unión c/ Lona</v>
      </c>
      <c r="J13" s="651"/>
      <c r="K13" s="20">
        <f>IF(I13="","",'Diseño 1"'!I30)</f>
        <v>1</v>
      </c>
      <c r="L13" s="17">
        <f>IF('Diseño 1"'!J30="","",'Diseño 1"'!J30)</f>
        <v>32</v>
      </c>
      <c r="M13" s="17">
        <f>IF('Diseño 1"'!K30="","",'Diseño 1"'!K30)</f>
        <v>22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Liso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 t="str">
        <f>IF('Diseño 1"'!AN30="","",'Diseño 1"'!AN30)</f>
        <v/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Codo</v>
      </c>
      <c r="J14" s="651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3.292397296844737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Ducto Recto</v>
      </c>
      <c r="J15" s="651"/>
      <c r="K15" s="20">
        <f>IF(I15="","",'Diseño 1"'!I32)</f>
        <v>1</v>
      </c>
      <c r="L15" s="17">
        <f>IF('Diseño 1"'!J32="","",'Diseño 1"'!J32)</f>
        <v>30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0.9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5.03064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Ducto Recto</v>
      </c>
      <c r="J16" s="651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0.22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1.6768799999999999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Transf. Red - Cuad</v>
      </c>
      <c r="J17" s="651"/>
      <c r="K17" s="20">
        <f>IF(I17="","",'Diseño 1"'!I34)</f>
        <v>1</v>
      </c>
      <c r="L17" s="17">
        <f>IF('Diseño 1"'!J34="","",'Diseño 1"'!J34)</f>
        <v>30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0.3</v>
      </c>
      <c r="U17" s="17">
        <f>IF('Diseño 1"'!T34="","",'Diseño 1"'!T34)</f>
        <v>20</v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Copla Rodón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1.4363190651437245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Ducto Recto</v>
      </c>
      <c r="J18" s="651"/>
      <c r="K18" s="20">
        <f>IF(I18="","",'Diseño 1"'!I35)</f>
        <v>1</v>
      </c>
      <c r="L18" s="17">
        <f>IF('Diseño 1"'!J35="","",'Diseño 1"'!J35)</f>
        <v>25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TDF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4.2146400000000002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Ducto Recto</v>
      </c>
      <c r="J19" s="651"/>
      <c r="K19" s="20">
        <f>IF(I19="","",'Diseño 1"'!I36)</f>
        <v>1</v>
      </c>
      <c r="L19" s="17">
        <f>IF('Diseño 1"'!J36="","",'Diseño 1"'!J36)</f>
        <v>25</v>
      </c>
      <c r="M19" s="17">
        <f>IF('Diseño 1"'!K36="","",'Diseño 1"'!K36)</f>
        <v>25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0.52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2.6444799999999997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>Codo</v>
      </c>
      <c r="J20" s="651"/>
      <c r="K20" s="20">
        <f>IF(I20="","",'Diseño 1"'!I37)</f>
        <v>1</v>
      </c>
      <c r="L20" s="17">
        <f>IF('Diseño 1"'!J37="","",'Diseño 1"'!J37)</f>
        <v>25</v>
      </c>
      <c r="M20" s="17">
        <f>IF('Diseño 1"'!K37="","",'Diseño 1"'!K37)</f>
        <v>25</v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>TDF</v>
      </c>
      <c r="Z20" s="650"/>
      <c r="AA20" s="649" t="str">
        <f>IF('Diseño 1"'!AC37="","",'Diseño 1"'!AC37)</f>
        <v>TDF</v>
      </c>
      <c r="AB20" s="650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2.1934752581127315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>Transf. Red - Cuad</v>
      </c>
      <c r="J21" s="651"/>
      <c r="K21" s="20">
        <f>IF(I21="","",'Diseño 1"'!I38)</f>
        <v>1</v>
      </c>
      <c r="L21" s="17">
        <f>IF('Diseño 1"'!J38="","",'Diseño 1"'!J38)</f>
        <v>25</v>
      </c>
      <c r="M21" s="17">
        <f>IF('Diseño 1"'!K38="","",'Diseño 1"'!K38)</f>
        <v>25</v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0.3</v>
      </c>
      <c r="U21" s="17">
        <f>IF('Diseño 1"'!T38="","",'Diseño 1"'!T38)</f>
        <v>20</v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>TDF</v>
      </c>
      <c r="Z21" s="650"/>
      <c r="AA21" s="649" t="str">
        <f>IF('Diseño 1"'!AC38="","",'Diseño 1"'!AC38)</f>
        <v>Copla Rodón</v>
      </c>
      <c r="AB21" s="650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1.2864150651437241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>Ducto Recto</v>
      </c>
      <c r="J22" s="651"/>
      <c r="K22" s="20">
        <f>IF(I22="","",'Diseño 1"'!I39)</f>
        <v>3</v>
      </c>
      <c r="L22" s="17">
        <f>IF('Diseño 1"'!J39="","",'Diseño 1"'!J39)</f>
        <v>25</v>
      </c>
      <c r="M22" s="17">
        <f>IF('Diseño 1"'!K39="","",'Diseño 1"'!K39)</f>
        <v>25</v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0.9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>TDF</v>
      </c>
      <c r="Z22" s="650"/>
      <c r="AA22" s="649" t="str">
        <f>IF('Diseño 1"'!AC39="","",'Diseño 1"'!AC39)</f>
        <v>TDF</v>
      </c>
      <c r="AB22" s="650"/>
      <c r="AC22" s="23" t="str">
        <f>IF('Diseño 1"'!AE39=TRUE,0.5,"")</f>
        <v/>
      </c>
      <c r="AD22" s="92">
        <f>IF('Diseño 1"'!AF39="","",'Diseño 1"'!AF39)</f>
        <v>2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12.643920000000001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>Ducto Recto</v>
      </c>
      <c r="J23" s="651"/>
      <c r="K23" s="20">
        <f>IF(I23="","",'Diseño 1"'!I40)</f>
        <v>1</v>
      </c>
      <c r="L23" s="17">
        <f>IF('Diseño 1"'!J40="","",'Diseño 1"'!J40)</f>
        <v>25</v>
      </c>
      <c r="M23" s="17">
        <f>IF('Diseño 1"'!K40="","",'Diseño 1"'!K40)</f>
        <v>25</v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>
        <f>IF('Diseño 1"'!S40="","",'Diseño 1"'!S40)</f>
        <v>0.27</v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>TDF</v>
      </c>
      <c r="Z23" s="650"/>
      <c r="AA23" s="649" t="str">
        <f>IF('Diseño 1"'!AC40="","",'Diseño 1"'!AC40)</f>
        <v>TDF</v>
      </c>
      <c r="AB23" s="650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1.61148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>Codo</v>
      </c>
      <c r="J24" s="651"/>
      <c r="K24" s="20">
        <f>IF(I24="","",'Diseño 1"'!I41)</f>
        <v>1</v>
      </c>
      <c r="L24" s="17">
        <f>IF('Diseño 1"'!J41="","",'Diseño 1"'!J41)</f>
        <v>25</v>
      </c>
      <c r="M24" s="17">
        <f>IF('Diseño 1"'!K41="","",'Diseño 1"'!K41)</f>
        <v>25</v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>TDF</v>
      </c>
      <c r="Z24" s="650"/>
      <c r="AA24" s="649" t="str">
        <f>IF('Diseño 1"'!AC41="","",'Diseño 1"'!AC41)</f>
        <v>TDF</v>
      </c>
      <c r="AB24" s="650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2.1934752581127315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>Ducto c/ Templador</v>
      </c>
      <c r="J25" s="651"/>
      <c r="K25" s="20">
        <f>IF(I25="","",'Diseño 1"'!I42)</f>
        <v>1</v>
      </c>
      <c r="L25" s="17">
        <f>IF('Diseño 1"'!J42="","",'Diseño 1"'!J42)</f>
        <v>25</v>
      </c>
      <c r="M25" s="17">
        <f>IF('Diseño 1"'!K42="","",'Diseño 1"'!K42)</f>
        <v>25</v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0.2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>TDF</v>
      </c>
      <c r="Z25" s="650"/>
      <c r="AA25" s="649" t="str">
        <f>IF('Diseño 1"'!AC42="","",'Diseño 1"'!AC42)</f>
        <v>TDF</v>
      </c>
      <c r="AB25" s="650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1.5722399999999999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39.796361943357653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39.796361943357653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2026-05-13T13:16:31Z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