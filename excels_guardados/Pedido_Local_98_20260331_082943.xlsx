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0" documentId="11_64F2243317916D81A2D0508B15AC0C05850D780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 s="1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5" i="8" l="1"/>
  <c r="AF18" i="9" s="1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F35" i="3"/>
  <c r="AH35" i="3" s="1"/>
  <c r="AG35" i="3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F39" i="3"/>
  <c r="AH39" i="3" s="1"/>
  <c r="AG39" i="3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F42" i="3"/>
  <c r="AH42" i="3" s="1"/>
  <c r="AG42" i="3"/>
  <c r="AI42" i="3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M39" i="3" l="1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9" i="6"/>
  <c r="J30" i="6"/>
  <c r="H31" i="6"/>
  <c r="J31" i="6" s="1"/>
  <c r="H26" i="6"/>
  <c r="J26" i="6" s="1"/>
  <c r="H27" i="6"/>
  <c r="J27" i="6" s="1"/>
  <c r="H28" i="6"/>
  <c r="J28" i="6" s="1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G46" i="5"/>
  <c r="AF46" i="5"/>
  <c r="AH46" i="5" s="1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N47" i="5" l="1"/>
  <c r="AF30" i="6" s="1"/>
  <c r="AM30" i="3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5" i="5"/>
  <c r="S19" i="5"/>
  <c r="AH49" i="5"/>
  <c r="S20" i="5" s="1"/>
  <c r="S21" i="5" s="1"/>
  <c r="AH49" i="3"/>
  <c r="AG8" i="4" l="1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<sst xmlns="http://schemas.openxmlformats.org/spreadsheetml/2006/main" count="1755" uniqueCount="244">
  <si>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</si>
  <si>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</si>
  <si>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</si>
  <si>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</si>
  <si>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</si>
  <si>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</si>
  <si>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</si>
  <si>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</si>
  <si>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</si>
  <si>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</si>
  <si>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</si>
  <si>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</si>
  <si>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</si>
  <si>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</si>
  <si>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</si>
  <si>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</si>
  <si>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</si>
  <si>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</si>
  <si>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</si>
  <si>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</si>
  <si>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</si>
  <si>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</si>
  <si>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</si>
  <si>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</si>
  <si>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</si>
  <si>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</si>
  <si>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</si>
  <si>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</si>
  <si>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</si>
  <si>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</si>
  <si>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</si>
  <si>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</si>
  <si>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</si>
  <si>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</si>
  <si>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</si>
  <si>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</si>
  <si>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</si>
  <si>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</si>
  <si>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</si>
  <si>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</si>
  <si>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</si>
  <si>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</si>
  <si>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</si>
  <si>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</si>
  <si>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</si>
  <si>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</si>
  <si>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</si>
  <si>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</si>
  <si>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</si>
  <si>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</si>
  <si>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</si>
  <si>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</si>
  <si>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</si>
  <si>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</si>
  <si>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</si>
  <si>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</si>
  <si>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</si>
  <si>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</si>
  <si>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</si>
  <si>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</si>
  <si>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</si>
  <si>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</si>
  <si>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</si>
  <si>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</si>
  <si>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</si>
  <si>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</si>
  <si>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</si>
  <si>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</si>
  <si>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</si>
  <si>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</si>
  <si>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</si>
  <si>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</si>
  <si>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</si>
  <si>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</si>
  <si>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</si>
  <si>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</si>
  <si>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</si>
  <si>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</si>
  <si>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</si>
  <si>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</si>
  <si>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</si>
  <si>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</si>
  <si>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</si>
  <si>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</si>
  <si>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</si>
  <si>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</si>
  <si>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</si>
  <si>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</si>
  <si>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</si>
  <si>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</si>
  <si>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</si>
  <si>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</si>
  <si>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</si>
  <si>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</si>
  <si>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</si>
  <si>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</si>
  <si>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</si>
  <si>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</si>
  <si>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</si>
  <si>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</si>
  <si>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</si>
  <si>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</si>
  <si>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</si>
  <si>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</si>
  <si>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</si>
  <si>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</si>
  <si>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</si>
  <si>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</si>
  <si>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</si>
  <si>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</si>
  <si>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</si>
  <si>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</si>
  <si>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</si>
  <si>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</si>
  <si>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</si>
  <si>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</si>
  <si>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</si>
  <si>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</si>
  <si>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</si>
  <si>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</si>
  <si>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</si>
  <si>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</si>
  <si>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</si>
  <si>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</si>
  <si>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</si>
  <si>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</si>
  <si>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</si>
  <si>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</si>
  <si>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</si>
  <si>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</si>
  <si>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</si>
  <si>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</si>
  <si>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</si>
  <si>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</si>
  <si>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</si>
  <si>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</si>
  <si>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</si>
  <si>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</si>
  <si>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</si>
  <si>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</si>
  <si>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</si>
  <si>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</si>
  <si>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</si>
  <si>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</si>
  <si>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</si>
  <si>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</si>
  <si>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</si>
  <si>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</si>
  <si>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</si>
  <si>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</si>
  <si>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</si>
  <si>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</si>
  <si>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</si>
  <si>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</si>
  <si>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</si>
  <si>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</si>
  <si>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</si>
  <si>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</si>
  <si>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</si>
  <si>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</si>
  <si>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</si>
  <si>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</si>
  <si>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</si>
  <si>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</si>
  <si>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</si>
  <si>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</si>
  <si>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</si>
  <si>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</si>
  <si>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</si>
  <si>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</si>
  <si>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</si>
  <si>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</si>
  <si>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</si>
  <si>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</si>
  <si>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</si>
  <si>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</si>
  <si>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</si>
  <si>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</si>
  <si>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</si>
  <si>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</si>
  <si>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</si>
  <si>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</si>
  <si>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</si>
  <si>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</si>
  <si>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</si>
  <si>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</si>
  <si>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</si>
  <si>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</si>
  <si>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</si>
  <si>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</si>
  <si>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</si>
  <si>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</si>
  <si>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</si>
  <si>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</si>
  <si>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</si>
  <si>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</si>
  <si>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</si>
  <si>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</si>
  <si>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</si>
  <si>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</si>
  <si>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</si>
  <si>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</si>
  <si>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</si>
  <si>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</si>
  <si>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</si>
  <si>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</si>
  <si>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</si>
  <si>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</si>
  <si>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</si>
  <si>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</si>
  <si>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</si>
  <si>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</si>
  <si>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</si>
  <si>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</si>
  <si>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</si>
  <si>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</si>
  <si>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</si>
  <si>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</si>
  <si>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</si>
  <si>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</si>
  <si>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</si>
  <si>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</si>
  <si>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</si>
  <si>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</si>
  <si>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</si>
  <si>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</si>
  <si>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</si>
  <si>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</si>
  <si>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</si>
  <si>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</si>
  <si>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</si>
  <si>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</si>
  <si>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</si>
  <si>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</si>
  <si>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</si>
  <si>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</si>
  <si>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</si>
  <si>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</si>
  <si>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</si>
  <si>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</si>
  <si>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</si>
  <si>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</si>
  <si>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TAE 1.3</t>
  </si>
  <si>
    <t>RETORNO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</si>
</sst>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="92" zoomScaleNormal="70" workbookViewId="0">
      <selection activeCell="A34" sqref="A34:XFD34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46111</v>
      </c>
      <c r="L5" s="229"/>
      <c r="M5" s="229"/>
      <c r="N5" s="230"/>
      <c r="O5" s="126"/>
      <c r="P5" s="136" t="s">
        <v>6</v>
      </c>
      <c r="Q5" s="140"/>
      <c r="R5" s="607" t="s">
        <v>181</v>
      </c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20" t="s">
        <v>8</v>
      </c>
      <c r="I6" s="594"/>
      <c r="J6" s="621"/>
      <c r="K6" s="231">
        <v>46082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98</v>
      </c>
      <c r="E7" s="139"/>
      <c r="F7" s="139"/>
      <c r="G7" s="126"/>
      <c r="H7" s="620" t="s">
        <v>239</v>
      </c>
      <c r="I7" s="594"/>
      <c r="J7" s="621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11.839935495186074</v>
      </c>
      <c r="P12" s="296">
        <f t="shared" si="0"/>
        <v>47.359741980744296</v>
      </c>
      <c r="Q12" s="597" t="s">
        <v>23</v>
      </c>
      <c r="R12" s="598"/>
      <c r="S12" s="284">
        <f>ROUNDUP(AI49/6,0)</f>
        <v>6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12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16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11.839935495186074</v>
      </c>
      <c r="P17" s="306">
        <f t="shared" si="1"/>
        <v>47.359741980744296</v>
      </c>
      <c r="Q17" s="597" t="s">
        <v>40</v>
      </c>
      <c r="R17" s="598"/>
      <c r="S17" s="284">
        <f>ROUNDUP(AI49/6,0)</f>
        <v>6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22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11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88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6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2" t="s">
        <v>242</v>
      </c>
      <c r="E29" s="608"/>
      <c r="F29" s="607" t="s">
        <v>108</v>
      </c>
      <c r="G29" s="594"/>
      <c r="H29" s="593"/>
      <c r="I29" s="192">
        <v>1</v>
      </c>
      <c r="J29" s="192">
        <v>55</v>
      </c>
      <c r="K29" s="192">
        <v>30</v>
      </c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 t="s">
        <v>151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4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55</v>
      </c>
      <c r="K30" s="192">
        <v>30</v>
      </c>
      <c r="L30" s="192"/>
      <c r="M30" s="192"/>
      <c r="N30" s="592"/>
      <c r="O30" s="594"/>
      <c r="P30" s="593"/>
      <c r="Q30" s="192"/>
      <c r="R30" s="192"/>
      <c r="S30" s="192">
        <v>0.4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0.90115999999999985</v>
      </c>
      <c r="AN30" s="290">
        <f t="shared" si="8"/>
        <v>3.6046399999999994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0.90115999999999985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2"/>
      <c r="E31" s="608"/>
      <c r="F31" s="607" t="s">
        <v>87</v>
      </c>
      <c r="G31" s="594"/>
      <c r="H31" s="593"/>
      <c r="I31" s="192">
        <v>1</v>
      </c>
      <c r="J31" s="192">
        <v>30</v>
      </c>
      <c r="K31" s="192">
        <v>55</v>
      </c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1.1320705420081754</v>
      </c>
      <c r="AN31" s="290">
        <f t="shared" ref="AN31:AN46" si="37">IF(ISERROR(AM31*(IF(AJ31=1,8,IF(AJ31=0.8,6.4,IF(AJ31=0.6,4.8,IF(AJ31=0.5,4)))))),"",AM31*(IF(AJ31=1,8,IF(AJ31=0.8,6.4,IF(AJ31=0.6,4.8,IF(AJ31=0.5,4))))))</f>
        <v>4.5282821680327014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1.1320705420081754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608"/>
      <c r="F32" s="607" t="s">
        <v>98</v>
      </c>
      <c r="G32" s="594"/>
      <c r="H32" s="593"/>
      <c r="I32" s="192">
        <v>3</v>
      </c>
      <c r="J32" s="192">
        <v>55</v>
      </c>
      <c r="K32" s="192">
        <v>30</v>
      </c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3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0.62387999999999999</v>
      </c>
      <c r="AN32" s="290">
        <f t="shared" si="37"/>
        <v>2.49552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0.62387999999999999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 t="s">
        <v>243</v>
      </c>
      <c r="E33" s="608"/>
      <c r="F33" s="607" t="s">
        <v>87</v>
      </c>
      <c r="G33" s="594"/>
      <c r="H33" s="593"/>
      <c r="I33" s="192">
        <v>1</v>
      </c>
      <c r="J33" s="192">
        <v>35</v>
      </c>
      <c r="K33" s="192">
        <v>20</v>
      </c>
      <c r="L33" s="192">
        <v>5</v>
      </c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0.80968560751706897</v>
      </c>
      <c r="AN33" s="290">
        <f t="shared" si="37"/>
        <v>3.2387424300682759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>
        <f t="shared" si="12"/>
        <v>0.80968560751706897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105</v>
      </c>
      <c r="G34" s="594"/>
      <c r="H34" s="593"/>
      <c r="I34" s="192">
        <v>1</v>
      </c>
      <c r="J34" s="192">
        <v>35</v>
      </c>
      <c r="K34" s="192">
        <v>20</v>
      </c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8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104</v>
      </c>
      <c r="G35" s="594"/>
      <c r="H35" s="593"/>
      <c r="I35" s="192">
        <v>1</v>
      </c>
      <c r="J35" s="192">
        <v>35</v>
      </c>
      <c r="K35" s="192">
        <v>20</v>
      </c>
      <c r="L35" s="192"/>
      <c r="M35" s="192"/>
      <c r="N35" s="592" t="s">
        <v>155</v>
      </c>
      <c r="O35" s="594"/>
      <c r="P35" s="593"/>
      <c r="Q35" s="192">
        <v>35</v>
      </c>
      <c r="R35" s="192">
        <v>30</v>
      </c>
      <c r="S35" s="192">
        <v>0.3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8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0.55944000000000005</v>
      </c>
      <c r="AN35" s="290">
        <f t="shared" si="37"/>
        <v>2.2377600000000002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>
        <f t="shared" si="32"/>
        <v>0.55944000000000005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87</v>
      </c>
      <c r="G36" s="594"/>
      <c r="H36" s="593"/>
      <c r="I36" s="192">
        <v>2</v>
      </c>
      <c r="J36" s="192">
        <v>30</v>
      </c>
      <c r="K36" s="192">
        <v>35</v>
      </c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2</v>
      </c>
      <c r="AG36" s="285">
        <f t="shared" si="3"/>
        <v>0</v>
      </c>
      <c r="AH36" s="285">
        <f t="shared" si="4"/>
        <v>8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1.7697871355411652</v>
      </c>
      <c r="AN36" s="290">
        <f t="shared" si="37"/>
        <v>7.0791485421646607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>
        <f t="shared" si="12"/>
        <v>1.7697871355411652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98</v>
      </c>
      <c r="G37" s="594"/>
      <c r="H37" s="593"/>
      <c r="I37" s="192">
        <v>3</v>
      </c>
      <c r="J37" s="192">
        <v>35</v>
      </c>
      <c r="K37" s="192">
        <v>30</v>
      </c>
      <c r="L37" s="192"/>
      <c r="M37" s="192"/>
      <c r="N37" s="592"/>
      <c r="O37" s="594"/>
      <c r="P37" s="593"/>
      <c r="Q37" s="192"/>
      <c r="R37" s="192"/>
      <c r="S37" s="192">
        <v>0.9</v>
      </c>
      <c r="T37" s="192"/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136</v>
      </c>
      <c r="AD37" s="593"/>
      <c r="AE37" s="197"/>
      <c r="AF37" s="284">
        <f t="shared" si="2"/>
        <v>2</v>
      </c>
      <c r="AG37" s="285">
        <f t="shared" si="3"/>
        <v>0</v>
      </c>
      <c r="AH37" s="285">
        <f t="shared" si="4"/>
        <v>0</v>
      </c>
      <c r="AI37" s="286">
        <f t="shared" si="5"/>
        <v>8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4.0789799999999996</v>
      </c>
      <c r="AN37" s="290">
        <f t="shared" si="37"/>
        <v>16.315919999999998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>
        <f t="shared" si="23"/>
        <v>4.0789799999999996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98</v>
      </c>
      <c r="G38" s="594"/>
      <c r="H38" s="593"/>
      <c r="I38" s="192">
        <v>1</v>
      </c>
      <c r="J38" s="192">
        <v>35</v>
      </c>
      <c r="K38" s="192">
        <v>30</v>
      </c>
      <c r="L38" s="192"/>
      <c r="M38" s="192"/>
      <c r="N38" s="592"/>
      <c r="O38" s="594"/>
      <c r="P38" s="593"/>
      <c r="Q38" s="192"/>
      <c r="R38" s="192"/>
      <c r="S38" s="192">
        <v>0.5</v>
      </c>
      <c r="T38" s="192"/>
      <c r="U38" s="192"/>
      <c r="V38" s="193"/>
      <c r="W38" s="194"/>
      <c r="X38" s="192"/>
      <c r="Y38" s="192"/>
      <c r="Z38" s="195"/>
      <c r="AA38" s="592" t="s">
        <v>136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0</v>
      </c>
      <c r="AI38" s="286">
        <f t="shared" si="5"/>
        <v>8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0.82645999999999986</v>
      </c>
      <c r="AN38" s="290">
        <f t="shared" si="37"/>
        <v>3.3058399999999994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>
        <f t="shared" si="23"/>
        <v>0.82645999999999986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103</v>
      </c>
      <c r="G39" s="594"/>
      <c r="H39" s="593"/>
      <c r="I39" s="192">
        <v>1</v>
      </c>
      <c r="J39" s="192">
        <v>35</v>
      </c>
      <c r="K39" s="192">
        <v>30</v>
      </c>
      <c r="L39" s="192"/>
      <c r="M39" s="192"/>
      <c r="N39" s="592"/>
      <c r="O39" s="594"/>
      <c r="P39" s="593"/>
      <c r="Q39" s="192"/>
      <c r="R39" s="192"/>
      <c r="S39" s="192">
        <v>0.35</v>
      </c>
      <c r="T39" s="192">
        <v>15</v>
      </c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133</v>
      </c>
      <c r="AD39" s="593"/>
      <c r="AE39" s="197"/>
      <c r="AF39" s="284">
        <f t="shared" si="2"/>
        <v>1</v>
      </c>
      <c r="AG39" s="285">
        <f t="shared" si="3"/>
        <v>0</v>
      </c>
      <c r="AH39" s="285">
        <f t="shared" si="4"/>
        <v>4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0.39677087703589942</v>
      </c>
      <c r="AN39" s="290">
        <f t="shared" si="37"/>
        <v>1.5870835081435977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>
        <f t="shared" si="31"/>
        <v>0.39677087703589942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103</v>
      </c>
      <c r="G40" s="594"/>
      <c r="H40" s="593"/>
      <c r="I40" s="192">
        <v>1</v>
      </c>
      <c r="J40" s="192">
        <v>30</v>
      </c>
      <c r="K40" s="192">
        <v>25</v>
      </c>
      <c r="L40" s="192"/>
      <c r="M40" s="192"/>
      <c r="N40" s="592"/>
      <c r="O40" s="594"/>
      <c r="P40" s="593"/>
      <c r="Q40" s="192"/>
      <c r="R40" s="192"/>
      <c r="S40" s="192">
        <v>0.35</v>
      </c>
      <c r="T40" s="192">
        <v>15</v>
      </c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133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4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0.35408987703589939</v>
      </c>
      <c r="AN40" s="290">
        <f t="shared" si="37"/>
        <v>1.4163595081435976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>
        <f t="shared" si="31"/>
        <v>0.35408987703589939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103</v>
      </c>
      <c r="G41" s="594"/>
      <c r="H41" s="593"/>
      <c r="I41" s="192">
        <v>1</v>
      </c>
      <c r="J41" s="192">
        <v>30</v>
      </c>
      <c r="K41" s="192">
        <v>25</v>
      </c>
      <c r="L41" s="192"/>
      <c r="M41" s="192"/>
      <c r="N41" s="592"/>
      <c r="O41" s="594"/>
      <c r="P41" s="593"/>
      <c r="Q41" s="192"/>
      <c r="R41" s="192"/>
      <c r="S41" s="192">
        <v>0.35</v>
      </c>
      <c r="T41" s="192">
        <v>20</v>
      </c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133</v>
      </c>
      <c r="AD41" s="593"/>
      <c r="AE41" s="197"/>
      <c r="AF41" s="284">
        <f t="shared" si="2"/>
        <v>1</v>
      </c>
      <c r="AG41" s="285">
        <f t="shared" si="3"/>
        <v>0</v>
      </c>
      <c r="AH41" s="285">
        <f t="shared" si="4"/>
        <v>4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0.38761145604786595</v>
      </c>
      <c r="AN41" s="290">
        <f t="shared" si="37"/>
        <v>1.5504458241914638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>
        <f t="shared" si="31"/>
        <v>0.38761145604786595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17</v>
      </c>
      <c r="AG49" s="203"/>
      <c r="AH49" s="204">
        <f>SUM(AH29:AH48)</f>
        <v>56</v>
      </c>
      <c r="AI49" s="204">
        <f>SUM(AI29:AI48)</f>
        <v>32</v>
      </c>
      <c r="AJ49" s="205"/>
      <c r="AK49" s="205"/>
      <c r="AL49" s="206"/>
      <c r="AM49" s="207">
        <f>SUM(AM29:AM48)</f>
        <v>11.839935495186074</v>
      </c>
      <c r="AN49" s="208">
        <f>SUM(AN29:AN48)</f>
        <v>47.359741980744296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46111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46111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98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46118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46082</v>
      </c>
      <c r="U8" s="657"/>
      <c r="V8" s="657"/>
      <c r="W8" s="658"/>
      <c r="X8" s="534">
        <f>SUMIFS('Diseño 1"'!AN29:AN48,'Diseño 1"'!AJ29:AJ48,0.5)</f>
        <v>47.359741980744296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47.359741980744296</v>
      </c>
      <c r="AH8" s="538"/>
      <c r="AI8" s="533">
        <f>+'Diseño 1"'!AM49</f>
        <v>11.839935495186074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>TAE 1.3</v>
      </c>
      <c r="H12" s="650"/>
      <c r="I12" s="670" t="str">
        <f>IF('Diseño 1"'!F29="","",'Diseño 1"'!F29)</f>
        <v>Zapato s/ Templador</v>
      </c>
      <c r="J12" s="650"/>
      <c r="K12" s="248">
        <f>IF(I12="","",'Diseño 1"'!I29)</f>
        <v>1</v>
      </c>
      <c r="L12" s="242">
        <f>IF('Diseño 1"'!J29="","",'Diseño 1"'!J29)</f>
        <v>55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/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Triple 50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55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0.4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3.6046399999999994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Codo</v>
      </c>
      <c r="J14" s="642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55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3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4.5282821680327014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Ducto Recto</v>
      </c>
      <c r="J15" s="642"/>
      <c r="K15" s="20">
        <f>IF(I15="","",'Diseño 1"'!I32)</f>
        <v>3</v>
      </c>
      <c r="L15" s="17">
        <f>IF('Diseño 1"'!J32="","",'Diseño 1"'!J32)</f>
        <v>55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2.49552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>RETORNO 1.3</v>
      </c>
      <c r="H16" s="642"/>
      <c r="I16" s="641" t="str">
        <f>IF('Diseño 1"'!F33="","",'Diseño 1"'!F33)</f>
        <v>Codo</v>
      </c>
      <c r="J16" s="642"/>
      <c r="K16" s="20">
        <f>IF(I16="","",'Diseño 1"'!I33)</f>
        <v>1</v>
      </c>
      <c r="L16" s="17">
        <f>IF('Diseño 1"'!J33="","",'Diseño 1"'!J33)</f>
        <v>35</v>
      </c>
      <c r="M16" s="17">
        <f>IF('Diseño 1"'!K33="","",'Diseño 1"'!K33)</f>
        <v>20</v>
      </c>
      <c r="N16" s="17">
        <f>'Diseño 1"'!L33</f>
        <v>5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3.2387424300682759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Unión c/ Lona</v>
      </c>
      <c r="J17" s="642"/>
      <c r="K17" s="20">
        <f>IF(I17="","",'Diseño 1"'!I34)</f>
        <v>1</v>
      </c>
      <c r="L17" s="17">
        <f>IF('Diseño 1"'!J34="","",'Diseño 1"'!J34)</f>
        <v>35</v>
      </c>
      <c r="M17" s="17">
        <f>IF('Diseño 1"'!K34="","",'Diseño 1"'!K34)</f>
        <v>20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Transformación</v>
      </c>
      <c r="J18" s="642"/>
      <c r="K18" s="20">
        <f>IF(I18="","",'Diseño 1"'!I35)</f>
        <v>1</v>
      </c>
      <c r="L18" s="17">
        <f>IF('Diseño 1"'!J35="","",'Diseño 1"'!J35)</f>
        <v>35</v>
      </c>
      <c r="M18" s="17">
        <f>IF('Diseño 1"'!K35="","",'Diseño 1"'!K35)</f>
        <v>20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>Simétrica - Inf. Pareja</v>
      </c>
      <c r="Q18" s="642"/>
      <c r="R18" s="17">
        <f>IF('Diseño 1"'!Q35="","",'Diseño 1"'!Q35)</f>
        <v>35</v>
      </c>
      <c r="S18" s="17">
        <f>IF('Diseño 1"'!R35="","",'Diseño 1"'!R35)</f>
        <v>30</v>
      </c>
      <c r="T18" s="242">
        <f>IF('Diseño 1"'!S35="","",'Diseño 1"'!S35)</f>
        <v>0.3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2.2377600000000002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Codo</v>
      </c>
      <c r="J19" s="642"/>
      <c r="K19" s="20">
        <f>IF(I19="","",'Diseño 1"'!I36)</f>
        <v>2</v>
      </c>
      <c r="L19" s="17">
        <f>IF('Diseño 1"'!J36="","",'Diseño 1"'!J36)</f>
        <v>30</v>
      </c>
      <c r="M19" s="17">
        <f>IF('Diseño 1"'!K36="","",'Diseño 1"'!K36)</f>
        <v>35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2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7.0791485421646607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Ducto Recto</v>
      </c>
      <c r="J20" s="642"/>
      <c r="K20" s="20">
        <f>IF(I20="","",'Diseño 1"'!I37)</f>
        <v>3</v>
      </c>
      <c r="L20" s="17">
        <f>IF('Diseño 1"'!J37="","",'Diseño 1"'!J37)</f>
        <v>35</v>
      </c>
      <c r="M20" s="17">
        <f>IF('Diseño 1"'!K37="","",'Diseño 1"'!K37)</f>
        <v>30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0.9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TDF</v>
      </c>
      <c r="AB20" s="634"/>
      <c r="AC20" s="23" t="str">
        <f>IF('Diseño 1"'!AE37=TRUE,0.5,"")</f>
        <v/>
      </c>
      <c r="AD20" s="92">
        <f>IF('Diseño 1"'!AF37="","",'Diseño 1"'!AF37)</f>
        <v>2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16.315919999999998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Ducto Recto</v>
      </c>
      <c r="J21" s="642"/>
      <c r="K21" s="20">
        <f>IF(I21="","",'Diseño 1"'!I38)</f>
        <v>1</v>
      </c>
      <c r="L21" s="17">
        <f>IF('Diseño 1"'!J38="","",'Diseño 1"'!J38)</f>
        <v>35</v>
      </c>
      <c r="M21" s="17">
        <f>IF('Diseño 1"'!K38="","",'Diseño 1"'!K38)</f>
        <v>30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>
        <f>IF('Diseño 1"'!S38="","",'Diseño 1"'!S38)</f>
        <v>0.5</v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TDF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3.3058399999999994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Transf. Red - Cuad</v>
      </c>
      <c r="J22" s="642"/>
      <c r="K22" s="20">
        <f>IF(I22="","",'Diseño 1"'!I39)</f>
        <v>1</v>
      </c>
      <c r="L22" s="17">
        <f>IF('Diseño 1"'!J39="","",'Diseño 1"'!J39)</f>
        <v>35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0.35</v>
      </c>
      <c r="U22" s="17">
        <f>IF('Diseño 1"'!T39="","",'Diseño 1"'!T39)</f>
        <v>15</v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Copla Rodón</v>
      </c>
      <c r="AB22" s="634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1.5870835081435977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Transf. Red - Cuad</v>
      </c>
      <c r="J23" s="642"/>
      <c r="K23" s="20">
        <f>IF(I23="","",'Diseño 1"'!I40)</f>
        <v>1</v>
      </c>
      <c r="L23" s="17">
        <f>IF('Diseño 1"'!J40="","",'Diseño 1"'!J40)</f>
        <v>30</v>
      </c>
      <c r="M23" s="17">
        <f>IF('Diseño 1"'!K40="","",'Diseño 1"'!K40)</f>
        <v>25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>
        <f>IF('Diseño 1"'!S40="","",'Diseño 1"'!S40)</f>
        <v>0.35</v>
      </c>
      <c r="U23" s="17">
        <f>IF('Diseño 1"'!T40="","",'Diseño 1"'!T40)</f>
        <v>15</v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Copla Rodón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1.4163595081435976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Transf. Red - Cuad</v>
      </c>
      <c r="J24" s="642"/>
      <c r="K24" s="20">
        <f>IF(I24="","",'Diseño 1"'!I41)</f>
        <v>1</v>
      </c>
      <c r="L24" s="17">
        <f>IF('Diseño 1"'!J41="","",'Diseño 1"'!J41)</f>
        <v>30</v>
      </c>
      <c r="M24" s="17">
        <f>IF('Diseño 1"'!K41="","",'Diseño 1"'!K41)</f>
        <v>25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0.35</v>
      </c>
      <c r="U24" s="17">
        <f>IF('Diseño 1"'!T41="","",'Diseño 1"'!T41)</f>
        <v>20</v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Copla Rodón</v>
      </c>
      <c r="AB24" s="634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1.5504458241914638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E3" zoomScale="117" zoomScaleNormal="70" workbookViewId="0">
      <selection activeCell="K7" sqref="K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20" t="s">
        <v>5</v>
      </c>
      <c r="I5" s="594"/>
      <c r="J5" s="621"/>
      <c r="K5" s="231"/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20" t="s">
        <v>239</v>
      </c>
      <c r="I7" s="594"/>
      <c r="J7" s="593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47.359741980744296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47.359741980744296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2026-03-31T11:27:14Z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