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3" documentId="13_ncr:1_{186FC85F-AAF2-4FB3-A47D-1CBC999D29A5}" xr6:coauthVersionLast="47" xr6:coauthVersionMax="47" xr10:uidLastSave="{A9DF38AE-996C-4A00-ACCF-D98FC468BFB2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<sst xmlns="http://schemas.openxmlformats.org/spreadsheetml/2006/main" count="1727" uniqueCount="245">
  <si>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</si>
  <si>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</si>
  <si>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</si>
  <si>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</si>
  <si>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</si>
  <si>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</si>
  <si>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</si>
  <si>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</si>
  <si>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</si>
  <si>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</si>
  <si>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</si>
  <si>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</si>
  <si>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</si>
  <si>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</si>
  <si>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</si>
  <si>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</si>
  <si>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</si>
  <si>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</si>
  <si>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</si>
  <si>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</si>
  <si>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</si>
  <si>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</si>
  <si>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</si>
  <si>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</si>
  <si>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</si>
  <si>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</si>
  <si>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</si>
  <si>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</si>
  <si>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</si>
  <si>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</si>
  <si>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</si>
  <si>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</si>
  <si>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</si>
  <si>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</si>
  <si>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</si>
  <si>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</si>
  <si>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</si>
  <si>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</si>
  <si>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</si>
  <si>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</si>
  <si>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</si>
  <si>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</si>
  <si>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</si>
  <si>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</si>
  <si>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</si>
  <si>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</si>
  <si>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</si>
  <si>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</si>
  <si>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</si>
  <si>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</si>
  <si>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</si>
  <si>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</si>
  <si>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</si>
  <si>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</si>
  <si>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</si>
  <si>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</si>
  <si>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</si>
  <si>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</si>
  <si>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</si>
  <si>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</si>
  <si>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</si>
  <si>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</si>
  <si>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</si>
  <si>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</si>
  <si>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</si>
  <si>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</si>
  <si>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</si>
  <si>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</si>
  <si>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</si>
  <si>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</si>
  <si>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</si>
  <si>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</si>
  <si>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</si>
  <si>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</si>
  <si>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</si>
  <si>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</si>
  <si>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</si>
  <si>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</si>
  <si>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</si>
  <si>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</si>
  <si>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</si>
  <si>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</si>
  <si>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</si>
  <si>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</si>
  <si>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</si>
  <si>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</si>
  <si>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</si>
  <si>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</si>
  <si>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</si>
  <si>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</si>
  <si>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</si>
  <si>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</si>
  <si>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</si>
  <si>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</si>
  <si>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</si>
  <si>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</si>
  <si>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</si>
  <si>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</si>
  <si>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</si>
  <si>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</si>
  <si>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</si>
  <si>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</si>
  <si>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</si>
  <si>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</si>
  <si>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</si>
  <si>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</si>
  <si>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</si>
  <si>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</si>
  <si>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</si>
  <si>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</si>
  <si>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</si>
  <si>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</si>
  <si>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</si>
  <si>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</si>
  <si>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</si>
  <si>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</si>
  <si>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</si>
  <si>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</si>
  <si>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</si>
  <si>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</si>
  <si>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</si>
  <si>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</si>
  <si>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</si>
  <si>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</si>
  <si>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</si>
  <si>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</si>
  <si>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</si>
  <si>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</si>
  <si>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</si>
  <si>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</si>
  <si>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</si>
  <si>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</si>
  <si>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</si>
  <si>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</si>
  <si>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</si>
  <si>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</si>
  <si>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</si>
  <si>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</si>
  <si>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</si>
  <si>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</si>
  <si>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</si>
  <si>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</si>
  <si>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</si>
  <si>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</si>
  <si>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</si>
  <si>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</si>
  <si>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</si>
  <si>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</si>
  <si>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</si>
  <si>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</si>
  <si>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</si>
  <si>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</si>
  <si>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</si>
  <si>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</si>
  <si>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</si>
  <si>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</si>
  <si>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</si>
  <si>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</si>
  <si>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</si>
  <si>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</si>
  <si>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</si>
  <si>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</si>
  <si>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</si>
  <si>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</si>
  <si>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</si>
  <si>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</si>
  <si>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</si>
  <si>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</si>
  <si>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</si>
  <si>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</si>
  <si>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</si>
  <si>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</si>
  <si>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</si>
  <si>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</si>
  <si>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</si>
  <si>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</si>
  <si>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</si>
  <si>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</si>
  <si>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</si>
  <si>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</si>
  <si>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</si>
  <si>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</si>
  <si>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</si>
  <si>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</si>
  <si>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</si>
  <si>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</si>
  <si>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</si>
  <si>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</si>
  <si>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</si>
  <si>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</si>
  <si>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</si>
  <si>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</si>
  <si>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</si>
  <si>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</si>
  <si>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</si>
  <si>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</si>
  <si>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</si>
  <si>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</si>
  <si>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</si>
  <si>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</si>
  <si>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</si>
  <si>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</si>
  <si>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</si>
  <si>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</si>
  <si>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</si>
  <si>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</si>
  <si>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</si>
  <si>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</si>
  <si>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</si>
  <si>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</si>
  <si>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</si>
  <si>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</si>
  <si>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</si>
  <si>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</si>
  <si>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</si>
  <si>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</si>
  <si>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</si>
  <si>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</si>
  <si>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</si>
  <si>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</si>
  <si>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</si>
  <si>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</si>
  <si>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</si>
  <si>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</si>
  <si>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</si>
  <si>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</si>
  <si>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</si>
  <si>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</si>
  <si>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</si>
  <si>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</si>
  <si>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</si>
  <si>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</si>
  <si>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</si>
  <si>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</si>
  <si>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</si>
  <si>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</si>
  <si>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</si>
  <si>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</si>
  <si>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</si>
  <si>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</si>
  <si>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</si>
  <si>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</si>
  <si>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</si>
  <si>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</si>
  <si>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Piso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</si>
</sst>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S32" sqref="S32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46132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58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5.1689928871690967</v>
      </c>
      <c r="P12" s="296">
        <f t="shared" si="0"/>
        <v>20.675971548676387</v>
      </c>
      <c r="Q12" s="597" t="s">
        <v>23</v>
      </c>
      <c r="R12" s="598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5.1689928871690967</v>
      </c>
      <c r="P17" s="306">
        <f t="shared" si="1"/>
        <v>20.675971548676387</v>
      </c>
      <c r="Q17" s="597" t="s">
        <v>40</v>
      </c>
      <c r="R17" s="598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24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2" t="s">
        <v>244</v>
      </c>
      <c r="E29" s="608"/>
      <c r="F29" s="607" t="s">
        <v>33</v>
      </c>
      <c r="G29" s="594"/>
      <c r="H29" s="593"/>
      <c r="I29" s="192">
        <v>1</v>
      </c>
      <c r="J29" s="192">
        <v>25</v>
      </c>
      <c r="K29" s="192">
        <v>25</v>
      </c>
      <c r="L29" s="192"/>
      <c r="M29" s="192">
        <v>18</v>
      </c>
      <c r="N29" s="592"/>
      <c r="O29" s="594"/>
      <c r="P29" s="593"/>
      <c r="Q29" s="192"/>
      <c r="R29" s="192"/>
      <c r="S29" s="192">
        <v>0.72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0.86771999999999994</v>
      </c>
      <c r="AN29" s="290">
        <f t="shared" ref="AN29:AN48" si="8">IF(ISERROR(AM29*(IF(AJ29=1,8,IF(AJ29=0.8,6.4,IF(AJ29=0.6,4.8,IF(AJ29=0.5,4)))))),"",AM29*(IF(AJ29=1,8,IF(AJ29=0.8,6.4,IF(AJ29=0.6,4.8,IF(AJ29=0.5,4))))))</f>
        <v>3.4708799999999997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0.86771999999999994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608"/>
      <c r="F30" s="607" t="s">
        <v>33</v>
      </c>
      <c r="G30" s="594"/>
      <c r="H30" s="593"/>
      <c r="I30" s="192">
        <v>1</v>
      </c>
      <c r="J30" s="192">
        <v>30</v>
      </c>
      <c r="K30" s="192">
        <v>30</v>
      </c>
      <c r="L30" s="192"/>
      <c r="M30" s="192">
        <v>30</v>
      </c>
      <c r="N30" s="592"/>
      <c r="O30" s="594"/>
      <c r="P30" s="593"/>
      <c r="Q30" s="192"/>
      <c r="R30" s="192"/>
      <c r="S30" s="192">
        <v>0.7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1.0110600000000001</v>
      </c>
      <c r="AN30" s="290">
        <f t="shared" si="8"/>
        <v>4.0442400000000003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>
        <f t="shared" si="26"/>
        <v>1.0110600000000001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2"/>
      <c r="E31" s="608"/>
      <c r="F31" s="607" t="s">
        <v>87</v>
      </c>
      <c r="G31" s="594"/>
      <c r="H31" s="593"/>
      <c r="I31" s="192">
        <v>6</v>
      </c>
      <c r="J31" s="192">
        <v>25</v>
      </c>
      <c r="K31" s="192">
        <v>25</v>
      </c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6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3.2902128871690972</v>
      </c>
      <c r="AN31" s="290">
        <f t="shared" ref="AN31:AN46" si="37">IF(ISERROR(AM31*(IF(AJ31=1,8,IF(AJ31=0.8,6.4,IF(AJ31=0.6,4.8,IF(AJ31=0.5,4)))))),"",AM31*(IF(AJ31=1,8,IF(AJ31=0.8,6.4,IF(AJ31=0.6,4.8,IF(AJ31=0.5,4))))))</f>
        <v>13.160851548676389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3.2902128871690972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608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8</v>
      </c>
      <c r="AG49" s="203"/>
      <c r="AH49" s="204">
        <f>SUM(AH29:AH48)</f>
        <v>24</v>
      </c>
      <c r="AI49" s="204">
        <f>SUM(AI29:AI48)</f>
        <v>0</v>
      </c>
      <c r="AJ49" s="205"/>
      <c r="AK49" s="205"/>
      <c r="AL49" s="206"/>
      <c r="AM49" s="207">
        <f>SUM(AM29:AM48)</f>
        <v>5.1689928871690967</v>
      </c>
      <c r="AN49" s="208">
        <f>SUM(AN29:AN48)</f>
        <v>20.675971548676387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46132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46132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58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46139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20.675971548676387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20.675971548676387</v>
      </c>
      <c r="AH8" s="538"/>
      <c r="AI8" s="533">
        <f>+'Diseño 1"'!AM49</f>
        <v>5.1689928871690967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>Piso 2</v>
      </c>
      <c r="H12" s="650"/>
      <c r="I12" s="670" t="str">
        <f>IF('Diseño 1"'!F29="","",'Diseño 1"'!F29)</f>
        <v>S</v>
      </c>
      <c r="J12" s="650"/>
      <c r="K12" s="248">
        <f>IF(I12="","",'Diseño 1"'!I29)</f>
        <v>1</v>
      </c>
      <c r="L12" s="242">
        <f>IF('Diseño 1"'!J29="","",'Diseño 1"'!J29)</f>
        <v>25</v>
      </c>
      <c r="M12" s="242">
        <f>IF('Diseño 1"'!K29="","",'Diseño 1"'!K29)</f>
        <v>25</v>
      </c>
      <c r="N12" s="242">
        <f>'Diseño 1"'!L29</f>
        <v>0</v>
      </c>
      <c r="O12" s="242">
        <f>IF('Diseño 1"'!M29="","",'Diseño 1"'!M29)</f>
        <v>18</v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0.72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3.4708799999999997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S</v>
      </c>
      <c r="J13" s="642"/>
      <c r="K13" s="20">
        <f>IF(I13="","",'Diseño 1"'!I30)</f>
        <v>1</v>
      </c>
      <c r="L13" s="17">
        <f>IF('Diseño 1"'!J30="","",'Diseño 1"'!J30)</f>
        <v>30</v>
      </c>
      <c r="M13" s="17">
        <f>IF('Diseño 1"'!K30="","",'Diseño 1"'!K30)</f>
        <v>30</v>
      </c>
      <c r="N13" s="17">
        <f>'Diseño 1"'!L30</f>
        <v>0</v>
      </c>
      <c r="O13" s="17">
        <f>IF('Diseño 1"'!M30="","",'Diseño 1"'!M30)</f>
        <v>30</v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0.7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4.0442400000000003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Codo</v>
      </c>
      <c r="J14" s="642"/>
      <c r="K14" s="20">
        <f>IF(I14="","",'Diseño 1"'!I31)</f>
        <v>6</v>
      </c>
      <c r="L14" s="17">
        <f>IF('Diseño 1"'!J31="","",'Diseño 1"'!J31)</f>
        <v>25</v>
      </c>
      <c r="M14" s="17">
        <f>IF('Diseño 1"'!K31="","",'Diseño 1"'!K31)</f>
        <v>25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13.160851548676389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/>
      </c>
      <c r="J15" s="642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20.675971548676387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20.675971548676387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2026-04-21T12:48:09Z</cp:lastPrinted>
  <dcterms:created xsi:type="dcterms:W3CDTF">2002-03-13T22:45:45Z</dcterms:created>
  <dcterms:modified xsi:type="dcterms:W3CDTF">2026-04-21T13:24:10Z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