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6" documentId="13_ncr:1_{0733D138-8227-4764-AE94-3501BA7D2990}" xr6:coauthVersionLast="47" xr6:coauthVersionMax="47" xr10:uidLastSave="{A617D812-07A0-447F-81BD-94ABA4C7BD71}"/>
  <bookViews>
    <workbookView xWindow="-120" yWindow="-120" windowWidth="29040" windowHeight="15720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<sst xmlns="http://schemas.openxmlformats.org/spreadsheetml/2006/main" count="1741" uniqueCount="244">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</sst>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A5" zoomScaleNormal="100" workbookViewId="0">
      <selection activeCell="M38" sqref="M3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46149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63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5.1740600000000008</v>
      </c>
      <c r="P12" s="296">
        <f t="shared" si="0"/>
        <v>20.696240000000003</v>
      </c>
      <c r="Q12" s="617" t="s">
        <v>23</v>
      </c>
      <c r="R12" s="609"/>
      <c r="S12" s="284">
        <f>ROUNDUP(AI49/6,0)</f>
        <v>5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10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14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5.1740600000000008</v>
      </c>
      <c r="P17" s="306">
        <f t="shared" si="1"/>
        <v>20.696240000000003</v>
      </c>
      <c r="Q17" s="617" t="s">
        <v>40</v>
      </c>
      <c r="R17" s="609"/>
      <c r="S17" s="284">
        <f>ROUNDUP(AI49/6,0)</f>
        <v>5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19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10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36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3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5">
        <v>2</v>
      </c>
      <c r="E29" s="596"/>
      <c r="F29" s="592" t="s">
        <v>98</v>
      </c>
      <c r="G29" s="593"/>
      <c r="H29" s="594"/>
      <c r="I29" s="192">
        <v>2</v>
      </c>
      <c r="J29" s="192">
        <v>21.5</v>
      </c>
      <c r="K29" s="192">
        <v>21.5</v>
      </c>
      <c r="L29" s="192"/>
      <c r="M29" s="192"/>
      <c r="N29" s="595"/>
      <c r="O29" s="593"/>
      <c r="P29" s="594"/>
      <c r="Q29" s="192"/>
      <c r="R29" s="192"/>
      <c r="S29" s="192">
        <v>0.2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137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4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0.46435999999999994</v>
      </c>
      <c r="AN29" s="290">
        <f t="shared" ref="AN29:AN48" si="8">IF(ISERROR(AM29*(IF(AJ29=1,8,IF(AJ29=0.8,6.4,IF(AJ29=0.6,4.8,IF(AJ29=0.5,4)))))),"",AM29*(IF(AJ29=1,8,IF(AJ29=0.8,6.4,IF(AJ29=0.6,4.8,IF(AJ29=0.5,4))))))</f>
        <v>1.8574399999999998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0.46435999999999994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5"/>
      <c r="E30" s="596"/>
      <c r="F30" s="592" t="s">
        <v>98</v>
      </c>
      <c r="G30" s="593"/>
      <c r="H30" s="594"/>
      <c r="I30" s="192">
        <v>1</v>
      </c>
      <c r="J30" s="192">
        <v>21.5</v>
      </c>
      <c r="K30" s="192">
        <v>21.5</v>
      </c>
      <c r="L30" s="192"/>
      <c r="M30" s="192"/>
      <c r="N30" s="595"/>
      <c r="O30" s="593"/>
      <c r="P30" s="594"/>
      <c r="Q30" s="192"/>
      <c r="R30" s="192"/>
      <c r="S30" s="192">
        <v>0.7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137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4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0.67868000000000006</v>
      </c>
      <c r="AN30" s="290">
        <f t="shared" si="8"/>
        <v>2.7147200000000002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0.67868000000000006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5"/>
      <c r="E31" s="596"/>
      <c r="F31" s="592" t="s">
        <v>98</v>
      </c>
      <c r="G31" s="593"/>
      <c r="H31" s="594"/>
      <c r="I31" s="192">
        <v>1</v>
      </c>
      <c r="J31" s="192">
        <v>21.5</v>
      </c>
      <c r="K31" s="192">
        <v>21.5</v>
      </c>
      <c r="L31" s="192"/>
      <c r="M31" s="192"/>
      <c r="N31" s="595"/>
      <c r="O31" s="593"/>
      <c r="P31" s="594"/>
      <c r="Q31" s="192"/>
      <c r="R31" s="192"/>
      <c r="S31" s="192">
        <v>0.3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137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4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0.32147999999999999</v>
      </c>
      <c r="AN31" s="290">
        <f t="shared" ref="AN31:AN46" si="37">IF(ISERROR(AM31*(IF(AJ31=1,8,IF(AJ31=0.8,6.4,IF(AJ31=0.6,4.8,IF(AJ31=0.5,4)))))),"",AM31*(IF(AJ31=1,8,IF(AJ31=0.8,6.4,IF(AJ31=0.6,4.8,IF(AJ31=0.5,4))))))</f>
        <v>1.28592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0.32147999999999999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5"/>
      <c r="E32" s="596"/>
      <c r="F32" s="592" t="s">
        <v>98</v>
      </c>
      <c r="G32" s="593"/>
      <c r="H32" s="594"/>
      <c r="I32" s="192">
        <v>1</v>
      </c>
      <c r="J32" s="192">
        <v>21.5</v>
      </c>
      <c r="K32" s="192">
        <v>21.5</v>
      </c>
      <c r="L32" s="192"/>
      <c r="M32" s="192"/>
      <c r="N32" s="595"/>
      <c r="O32" s="593"/>
      <c r="P32" s="594"/>
      <c r="Q32" s="192"/>
      <c r="R32" s="192"/>
      <c r="S32" s="192">
        <v>0.72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137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4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0.69653999999999994</v>
      </c>
      <c r="AN32" s="290">
        <f t="shared" si="37"/>
        <v>2.7861599999999997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0.69653999999999994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98</v>
      </c>
      <c r="G33" s="593"/>
      <c r="H33" s="594"/>
      <c r="I33" s="192">
        <v>2</v>
      </c>
      <c r="J33" s="192">
        <v>21.5</v>
      </c>
      <c r="K33" s="192">
        <v>21.5</v>
      </c>
      <c r="L33" s="192"/>
      <c r="M33" s="192"/>
      <c r="N33" s="595"/>
      <c r="O33" s="593"/>
      <c r="P33" s="594"/>
      <c r="Q33" s="192"/>
      <c r="R33" s="192"/>
      <c r="S33" s="192">
        <v>0.8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137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4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1.53596</v>
      </c>
      <c r="AN33" s="290">
        <f t="shared" si="37"/>
        <v>6.14384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1.53596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98</v>
      </c>
      <c r="G34" s="593"/>
      <c r="H34" s="594"/>
      <c r="I34" s="192">
        <v>1</v>
      </c>
      <c r="J34" s="192">
        <v>25</v>
      </c>
      <c r="K34" s="192">
        <v>25</v>
      </c>
      <c r="L34" s="192"/>
      <c r="M34" s="192"/>
      <c r="N34" s="595"/>
      <c r="O34" s="593"/>
      <c r="P34" s="594"/>
      <c r="Q34" s="192">
        <v>21.5</v>
      </c>
      <c r="R34" s="192">
        <v>21.5</v>
      </c>
      <c r="S34" s="192">
        <v>0.2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136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8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0.33055999999999996</v>
      </c>
      <c r="AN34" s="290">
        <f t="shared" si="37"/>
        <v>1.3222399999999999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0.33055999999999996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104</v>
      </c>
      <c r="G35" s="593"/>
      <c r="H35" s="594"/>
      <c r="I35" s="192">
        <v>2</v>
      </c>
      <c r="J35" s="192">
        <v>21.5</v>
      </c>
      <c r="K35" s="192">
        <v>21.5</v>
      </c>
      <c r="L35" s="192"/>
      <c r="M35" s="192"/>
      <c r="N35" s="595"/>
      <c r="O35" s="593"/>
      <c r="P35" s="594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2</v>
      </c>
      <c r="AG35" s="285">
        <f t="shared" si="3"/>
        <v>0</v>
      </c>
      <c r="AH35" s="285">
        <f t="shared" si="4"/>
        <v>8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1.1464800000000002</v>
      </c>
      <c r="AN35" s="290">
        <f t="shared" si="37"/>
        <v>4.5859200000000007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>
        <f t="shared" si="32"/>
        <v>1.1464800000000002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105</v>
      </c>
      <c r="G36" s="593"/>
      <c r="H36" s="594"/>
      <c r="I36" s="192">
        <v>1</v>
      </c>
      <c r="J36" s="192"/>
      <c r="K36" s="192"/>
      <c r="L36" s="192"/>
      <c r="M36" s="192"/>
      <c r="N36" s="595"/>
      <c r="O36" s="593"/>
      <c r="P36" s="594"/>
      <c r="Q36" s="192"/>
      <c r="R36" s="192"/>
      <c r="S36" s="192">
        <v>0.2</v>
      </c>
      <c r="T36" s="192">
        <v>25</v>
      </c>
      <c r="U36" s="192"/>
      <c r="V36" s="193"/>
      <c r="W36" s="194"/>
      <c r="X36" s="192"/>
      <c r="Y36" s="192"/>
      <c r="Z36" s="195"/>
      <c r="AA36" s="595" t="s">
        <v>137</v>
      </c>
      <c r="AB36" s="594"/>
      <c r="AC36" s="595" t="s">
        <v>133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9</v>
      </c>
      <c r="AG49" s="203"/>
      <c r="AH49" s="204">
        <f>SUM(AH29:AH48)</f>
        <v>8</v>
      </c>
      <c r="AI49" s="204">
        <f>SUM(AI29:AI48)</f>
        <v>28</v>
      </c>
      <c r="AJ49" s="205"/>
      <c r="AK49" s="205"/>
      <c r="AL49" s="206"/>
      <c r="AM49" s="207">
        <f>SUM(AM29:AM48)</f>
        <v>5.1740600000000008</v>
      </c>
      <c r="AN49" s="208">
        <f>SUM(AN29:AN48)</f>
        <v>20.696240000000003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AA25" sqref="AA25:AB25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46149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46149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63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46156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20.696240000000003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20.696240000000003</v>
      </c>
      <c r="AH8" s="538"/>
      <c r="AI8" s="533">
        <f>+'Diseño 1"'!AM49</f>
        <v>5.1740600000000008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>
        <f>IF('Diseño 1"'!D29="","",'Diseño 1"'!D29)</f>
        <v>2</v>
      </c>
      <c r="H12" s="694"/>
      <c r="I12" s="693" t="str">
        <f>IF('Diseño 1"'!F29="","",'Diseño 1"'!F29)</f>
        <v>Ducto Recto</v>
      </c>
      <c r="J12" s="694"/>
      <c r="K12" s="248">
        <f>IF(I12="","",'Diseño 1"'!I29)</f>
        <v>2</v>
      </c>
      <c r="L12" s="242">
        <f>IF('Diseño 1"'!J29="","",'Diseño 1"'!J29)</f>
        <v>21.5</v>
      </c>
      <c r="M12" s="242">
        <f>IF('Diseño 1"'!K29="","",'Diseño 1"'!K29)</f>
        <v>21.5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Liso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1.8574399999999998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Ducto Recto</v>
      </c>
      <c r="J13" s="651"/>
      <c r="K13" s="20">
        <f>IF(I13="","",'Diseño 1"'!I30)</f>
        <v>1</v>
      </c>
      <c r="L13" s="17">
        <f>IF('Diseño 1"'!J30="","",'Diseño 1"'!J30)</f>
        <v>21.5</v>
      </c>
      <c r="M13" s="17">
        <f>IF('Diseño 1"'!K30="","",'Diseño 1"'!K30)</f>
        <v>21.5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0.7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Liso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2.7147200000000002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Ducto Recto</v>
      </c>
      <c r="J14" s="651"/>
      <c r="K14" s="20">
        <f>IF(I14="","",'Diseño 1"'!I31)</f>
        <v>1</v>
      </c>
      <c r="L14" s="17">
        <f>IF('Diseño 1"'!J31="","",'Diseño 1"'!J31)</f>
        <v>21.5</v>
      </c>
      <c r="M14" s="17">
        <f>IF('Diseño 1"'!K31="","",'Diseño 1"'!K31)</f>
        <v>21.5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0.3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Liso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1.28592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Ducto Recto</v>
      </c>
      <c r="J15" s="651"/>
      <c r="K15" s="20">
        <f>IF(I15="","",'Diseño 1"'!I32)</f>
        <v>1</v>
      </c>
      <c r="L15" s="17">
        <f>IF('Diseño 1"'!J32="","",'Diseño 1"'!J32)</f>
        <v>21.5</v>
      </c>
      <c r="M15" s="17">
        <f>IF('Diseño 1"'!K32="","",'Diseño 1"'!K32)</f>
        <v>21.5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0.72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Liso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2.7861599999999997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Ducto Recto</v>
      </c>
      <c r="J16" s="651"/>
      <c r="K16" s="20">
        <f>IF(I16="","",'Diseño 1"'!I33)</f>
        <v>2</v>
      </c>
      <c r="L16" s="17">
        <f>IF('Diseño 1"'!J33="","",'Diseño 1"'!J33)</f>
        <v>21.5</v>
      </c>
      <c r="M16" s="17">
        <f>IF('Diseño 1"'!K33="","",'Diseño 1"'!K33)</f>
        <v>21.5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0.8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Liso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6.14384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Ducto Recto</v>
      </c>
      <c r="J17" s="651"/>
      <c r="K17" s="20">
        <f>IF(I17="","",'Diseño 1"'!I34)</f>
        <v>1</v>
      </c>
      <c r="L17" s="17">
        <f>IF('Diseño 1"'!J34="","",'Diseño 1"'!J34)</f>
        <v>25</v>
      </c>
      <c r="M17" s="17">
        <f>IF('Diseño 1"'!K34="","",'Diseño 1"'!K34)</f>
        <v>25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>
        <f>IF('Diseño 1"'!Q34="","",'Diseño 1"'!Q34)</f>
        <v>21.5</v>
      </c>
      <c r="S17" s="17">
        <f>IF('Diseño 1"'!R34="","",'Diseño 1"'!R34)</f>
        <v>21.5</v>
      </c>
      <c r="T17" s="242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TDF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1.3222399999999999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Transformación</v>
      </c>
      <c r="J18" s="651"/>
      <c r="K18" s="20">
        <f>IF(I18="","",'Diseño 1"'!I35)</f>
        <v>2</v>
      </c>
      <c r="L18" s="17">
        <f>IF('Diseño 1"'!J35="","",'Diseño 1"'!J35)</f>
        <v>21.5</v>
      </c>
      <c r="M18" s="17">
        <f>IF('Diseño 1"'!K35="","",'Diseño 1"'!K35)</f>
        <v>21.5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2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4.5859200000000007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Unión c/ Lona</v>
      </c>
      <c r="J19" s="651"/>
      <c r="K19" s="20">
        <f>IF(I19="","",'Diseño 1"'!I36)</f>
        <v>1</v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0.2</v>
      </c>
      <c r="U19" s="17">
        <f>IF('Diseño 1"'!T36="","",'Diseño 1"'!T36)</f>
        <v>25</v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Liso</v>
      </c>
      <c r="Z19" s="650"/>
      <c r="AA19" s="649" t="str">
        <f>IF('Diseño 1"'!AC36="","",'Diseño 1"'!AC36)</f>
        <v>Copla Rodón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20.696240000000003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20.696240000000003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2026-05-08T12:24:07Z</cp:lastPrinted>
  <dcterms:created xsi:type="dcterms:W3CDTF">2002-03-13T22:45:45Z</dcterms:created>
  <dcterms:modified xsi:type="dcterms:W3CDTF">2026-05-08T12:24:27Z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