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28389E77-7640-9E18-AD5C-E98E2F4A8B83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3" documentId="13_ncr:1_{36E56CB7-53FD-4582-9E41-E987C0410BBC}" xr6:coauthVersionLast="47" xr6:coauthVersionMax="47" xr10:uidLastSave="{FE1B87D3-06C6-4C10-87EB-07B8E0358B3A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<sst xmlns="http://schemas.openxmlformats.org/spreadsheetml/2006/main" count="1754" uniqueCount="246">
  <si>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</si>
  <si>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</si>
  <si>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</si>
  <si>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</si>
  <si>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</si>
  <si>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</si>
  <si>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</si>
  <si>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</si>
  <si>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</si>
  <si>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</si>
  <si>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</si>
  <si>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</si>
  <si>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</si>
  <si>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</si>
  <si>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</si>
  <si>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</si>
  <si>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</si>
  <si>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</si>
  <si>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</si>
  <si>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</si>
  <si>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</si>
  <si>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</si>
  <si>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</si>
  <si>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</si>
  <si>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</si>
  <si>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</si>
  <si>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</si>
  <si>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</si>
  <si>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</si>
  <si>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</si>
  <si>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</si>
  <si>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</si>
  <si>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</si>
  <si>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</si>
  <si>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</si>
  <si>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</si>
  <si>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</si>
  <si>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</si>
  <si>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</si>
  <si>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</si>
  <si>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</si>
  <si>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</si>
  <si>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</si>
  <si>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</si>
  <si>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</si>
  <si>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</si>
  <si>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</si>
  <si>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</si>
  <si>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</si>
  <si>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</si>
  <si>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</si>
  <si>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</si>
  <si>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</si>
  <si>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</si>
  <si>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</si>
  <si>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</si>
  <si>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</si>
  <si>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</si>
  <si>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</si>
  <si>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</si>
  <si>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</si>
  <si>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</si>
  <si>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</si>
  <si>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</si>
  <si>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</si>
  <si>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</si>
  <si>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</si>
  <si>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</si>
  <si>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</si>
  <si>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</si>
  <si>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</si>
  <si>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</si>
  <si>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</si>
  <si>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</si>
  <si>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</si>
  <si>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</si>
  <si>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</si>
  <si>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</si>
  <si>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</si>
  <si>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</si>
  <si>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</si>
  <si>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</si>
  <si>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</si>
  <si>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</si>
  <si>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</si>
  <si>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</si>
  <si>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</si>
  <si>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</si>
  <si>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</si>
  <si>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</si>
  <si>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</si>
  <si>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</si>
  <si>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</si>
  <si>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</si>
  <si>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</si>
  <si>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</si>
  <si>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</si>
  <si>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</si>
  <si>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</si>
  <si>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</si>
  <si>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</si>
  <si>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</si>
  <si>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</si>
  <si>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</si>
  <si>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</si>
  <si>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</si>
  <si>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</si>
  <si>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</si>
  <si>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</si>
  <si>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</si>
  <si>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</si>
  <si>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</si>
  <si>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</si>
  <si>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</si>
  <si>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</si>
  <si>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</si>
  <si>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</si>
  <si>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</si>
  <si>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</si>
  <si>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</si>
  <si>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</si>
  <si>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</si>
  <si>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</si>
  <si>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</si>
  <si>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</si>
  <si>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</si>
  <si>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</si>
  <si>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</si>
  <si>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</si>
  <si>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</si>
  <si>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</si>
  <si>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</si>
  <si>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</si>
  <si>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</si>
  <si>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</si>
  <si>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</si>
  <si>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</si>
  <si>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</si>
  <si>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</si>
  <si>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</si>
  <si>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</si>
  <si>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</si>
  <si>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</si>
  <si>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</si>
  <si>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</si>
  <si>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</si>
  <si>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</si>
  <si>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</si>
  <si>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</si>
  <si>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</si>
  <si>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</si>
  <si>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</si>
  <si>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</si>
  <si>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</si>
  <si>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</si>
  <si>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</si>
  <si>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</si>
  <si>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</si>
  <si>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</si>
  <si>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</si>
  <si>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</si>
  <si>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</si>
  <si>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</si>
  <si>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</si>
  <si>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</si>
  <si>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</si>
  <si>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</si>
  <si>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</si>
  <si>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</si>
  <si>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</si>
  <si>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</si>
  <si>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</si>
  <si>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</si>
  <si>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</si>
  <si>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</si>
  <si>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</si>
  <si>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</si>
  <si>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</si>
  <si>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</si>
  <si>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</si>
  <si>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</si>
  <si>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</si>
  <si>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</si>
  <si>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</si>
  <si>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</si>
  <si>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</si>
  <si>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</si>
  <si>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</si>
  <si>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</si>
  <si>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</si>
  <si>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</si>
  <si>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</si>
  <si>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</si>
  <si>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</si>
  <si>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</si>
  <si>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</si>
  <si>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</si>
  <si>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</si>
  <si>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</si>
  <si>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</si>
  <si>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</si>
  <si>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</si>
  <si>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</si>
  <si>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</si>
  <si>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</si>
  <si>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</si>
  <si>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</si>
  <si>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</si>
  <si>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</si>
  <si>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</si>
  <si>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</si>
  <si>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</si>
  <si>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</si>
  <si>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</si>
  <si>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</si>
  <si>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</si>
  <si>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</si>
  <si>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</si>
  <si>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</si>
  <si>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</si>
  <si>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</si>
  <si>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</si>
  <si>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</si>
  <si>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</si>
  <si>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</si>
  <si>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</si>
  <si>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</si>
  <si>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</si>
  <si>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</si>
  <si>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</si>
  <si>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</si>
  <si>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</si>
  <si>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</si>
  <si>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</si>
  <si>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</si>
  <si>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</si>
  <si>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</si>
  <si>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</si>
  <si>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</si>
  <si>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</si>
  <si>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</si>
  <si>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</si>
  <si>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</si>
  <si>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</si>
  <si>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Piso 2 Tae</t>
  </si>
  <si>
    <t>Subterraneo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</si>
</sst>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Normal="100" workbookViewId="0">
      <selection activeCell="K32" sqref="K32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46113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50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19.257834764427091</v>
      </c>
      <c r="P12" s="296">
        <f t="shared" si="0"/>
        <v>77.031339057708365</v>
      </c>
      <c r="Q12" s="617" t="s">
        <v>23</v>
      </c>
      <c r="R12" s="609"/>
      <c r="S12" s="284">
        <f>ROUNDUP(AI49/6,0)</f>
        <v>10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20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4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28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19.257834764427091</v>
      </c>
      <c r="P17" s="306">
        <f t="shared" si="1"/>
        <v>77.031339057708365</v>
      </c>
      <c r="Q17" s="617" t="s">
        <v>40</v>
      </c>
      <c r="R17" s="609"/>
      <c r="S17" s="284">
        <f>ROUNDUP(AI49/6,0)</f>
        <v>10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38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19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84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6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185</v>
      </c>
      <c r="C29" s="192">
        <v>2</v>
      </c>
      <c r="D29" s="595" t="s">
        <v>244</v>
      </c>
      <c r="E29" s="596"/>
      <c r="F29" s="592" t="s">
        <v>87</v>
      </c>
      <c r="G29" s="593"/>
      <c r="H29" s="594"/>
      <c r="I29" s="192">
        <v>1</v>
      </c>
      <c r="J29" s="192">
        <v>65</v>
      </c>
      <c r="K29" s="192">
        <v>35</v>
      </c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 t="s">
        <v>136</v>
      </c>
      <c r="AB29" s="594"/>
      <c r="AC29" s="595" t="s">
        <v>136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1.9035173822135465</v>
      </c>
      <c r="AN29" s="290">
        <f t="shared" ref="AN29:AN48" si="8">IF(ISERROR(AM29*(IF(AJ29=1,8,IF(AJ29=0.8,6.4,IF(AJ29=0.6,4.8,IF(AJ29=0.5,4)))))),"",AM29*(IF(AJ29=1,8,IF(AJ29=0.8,6.4,IF(AJ29=0.6,4.8,IF(AJ29=0.5,4))))))</f>
        <v>7.614069528854186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1.9035173822135465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 t="s">
        <v>33</v>
      </c>
      <c r="G30" s="593"/>
      <c r="H30" s="594"/>
      <c r="I30" s="192">
        <v>1</v>
      </c>
      <c r="J30" s="192">
        <v>35</v>
      </c>
      <c r="K30" s="192">
        <v>65</v>
      </c>
      <c r="L30" s="192"/>
      <c r="M30" s="192">
        <v>70</v>
      </c>
      <c r="N30" s="595"/>
      <c r="O30" s="593"/>
      <c r="P30" s="594"/>
      <c r="Q30" s="192"/>
      <c r="R30" s="192"/>
      <c r="S30" s="192">
        <v>0.9</v>
      </c>
      <c r="T30" s="192"/>
      <c r="U30" s="192"/>
      <c r="V30" s="193"/>
      <c r="W30" s="194"/>
      <c r="X30" s="192"/>
      <c r="Y30" s="192"/>
      <c r="Z30" s="195"/>
      <c r="AA30" s="595" t="s">
        <v>136</v>
      </c>
      <c r="AB30" s="594"/>
      <c r="AC30" s="595" t="s">
        <v>136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2.0736599999999998</v>
      </c>
      <c r="AN30" s="290">
        <f t="shared" si="8"/>
        <v>8.2946399999999993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>
        <f t="shared" si="26"/>
        <v>2.0736599999999998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 t="s">
        <v>98</v>
      </c>
      <c r="G31" s="593"/>
      <c r="H31" s="594"/>
      <c r="I31" s="192">
        <v>1</v>
      </c>
      <c r="J31" s="192">
        <v>65</v>
      </c>
      <c r="K31" s="192">
        <v>35</v>
      </c>
      <c r="L31" s="192"/>
      <c r="M31" s="192"/>
      <c r="N31" s="595"/>
      <c r="O31" s="593"/>
      <c r="P31" s="594"/>
      <c r="Q31" s="192"/>
      <c r="R31" s="192"/>
      <c r="S31" s="192">
        <v>0.39</v>
      </c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136</v>
      </c>
      <c r="AD31" s="594"/>
      <c r="AE31" s="197"/>
      <c r="AF31" s="284">
        <f t="shared" si="2"/>
        <v>1</v>
      </c>
      <c r="AG31" s="285">
        <f t="shared" si="3"/>
        <v>0</v>
      </c>
      <c r="AH31" s="285">
        <f t="shared" si="4"/>
        <v>0</v>
      </c>
      <c r="AI31" s="286">
        <f t="shared" si="5"/>
        <v>8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1.0368299999999999</v>
      </c>
      <c r="AN31" s="290">
        <f t="shared" ref="AN31:AN46" si="37">IF(ISERROR(AM31*(IF(AJ31=1,8,IF(AJ31=0.8,6.4,IF(AJ31=0.6,4.8,IF(AJ31=0.5,4)))))),"",AM31*(IF(AJ31=1,8,IF(AJ31=0.8,6.4,IF(AJ31=0.6,4.8,IF(AJ31=0.5,4))))))</f>
        <v>4.1473199999999997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>
        <f t="shared" si="23"/>
        <v>1.0368299999999999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 t="s">
        <v>98</v>
      </c>
      <c r="G32" s="593"/>
      <c r="H32" s="594"/>
      <c r="I32" s="192">
        <v>3</v>
      </c>
      <c r="J32" s="192">
        <v>65</v>
      </c>
      <c r="K32" s="192">
        <v>35</v>
      </c>
      <c r="L32" s="192"/>
      <c r="M32" s="192"/>
      <c r="N32" s="595"/>
      <c r="O32" s="593"/>
      <c r="P32" s="594"/>
      <c r="Q32" s="192"/>
      <c r="R32" s="192"/>
      <c r="S32" s="192">
        <v>0.9</v>
      </c>
      <c r="T32" s="192"/>
      <c r="U32" s="192"/>
      <c r="V32" s="193"/>
      <c r="W32" s="194"/>
      <c r="X32" s="192"/>
      <c r="Y32" s="192"/>
      <c r="Z32" s="195"/>
      <c r="AA32" s="595" t="s">
        <v>136</v>
      </c>
      <c r="AB32" s="594"/>
      <c r="AC32" s="595" t="s">
        <v>136</v>
      </c>
      <c r="AD32" s="594"/>
      <c r="AE32" s="197"/>
      <c r="AF32" s="284">
        <f t="shared" si="2"/>
        <v>2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6.2209799999999991</v>
      </c>
      <c r="AN32" s="290">
        <f t="shared" si="37"/>
        <v>24.883919999999996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6.2209799999999991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 t="s">
        <v>98</v>
      </c>
      <c r="G33" s="593"/>
      <c r="H33" s="594"/>
      <c r="I33" s="192">
        <v>1</v>
      </c>
      <c r="J33" s="192">
        <v>65</v>
      </c>
      <c r="K33" s="192">
        <v>35</v>
      </c>
      <c r="L33" s="192"/>
      <c r="M33" s="192"/>
      <c r="N33" s="595"/>
      <c r="O33" s="593"/>
      <c r="P33" s="594"/>
      <c r="Q33" s="192"/>
      <c r="R33" s="192"/>
      <c r="S33" s="192">
        <v>0.31</v>
      </c>
      <c r="T33" s="192"/>
      <c r="U33" s="192"/>
      <c r="V33" s="193"/>
      <c r="W33" s="194"/>
      <c r="X33" s="192"/>
      <c r="Y33" s="192"/>
      <c r="Z33" s="195"/>
      <c r="AA33" s="595" t="s">
        <v>136</v>
      </c>
      <c r="AB33" s="594"/>
      <c r="AC33" s="595" t="s">
        <v>136</v>
      </c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0.87418999999999991</v>
      </c>
      <c r="AN33" s="290">
        <f t="shared" si="37"/>
        <v>3.4967599999999996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0.87418999999999991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 t="s">
        <v>87</v>
      </c>
      <c r="G34" s="593"/>
      <c r="H34" s="594"/>
      <c r="I34" s="192">
        <v>1</v>
      </c>
      <c r="J34" s="192">
        <v>65</v>
      </c>
      <c r="K34" s="192">
        <v>35</v>
      </c>
      <c r="L34" s="192"/>
      <c r="M34" s="192"/>
      <c r="N34" s="595"/>
      <c r="O34" s="593"/>
      <c r="P34" s="594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5" t="s">
        <v>136</v>
      </c>
      <c r="AB34" s="594"/>
      <c r="AC34" s="595" t="s">
        <v>136</v>
      </c>
      <c r="AD34" s="594"/>
      <c r="AE34" s="197"/>
      <c r="AF34" s="284">
        <f t="shared" si="2"/>
        <v>1</v>
      </c>
      <c r="AG34" s="285">
        <f t="shared" si="3"/>
        <v>0</v>
      </c>
      <c r="AH34" s="285">
        <f t="shared" si="4"/>
        <v>8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1.9035173822135465</v>
      </c>
      <c r="AN34" s="290">
        <f t="shared" si="37"/>
        <v>7.614069528854186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>
        <f t="shared" si="12"/>
        <v>1.9035173822135465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 t="s">
        <v>98</v>
      </c>
      <c r="G35" s="593"/>
      <c r="H35" s="594"/>
      <c r="I35" s="192">
        <v>1</v>
      </c>
      <c r="J35" s="192">
        <v>65</v>
      </c>
      <c r="K35" s="192">
        <v>35</v>
      </c>
      <c r="L35" s="192"/>
      <c r="M35" s="192"/>
      <c r="N35" s="595"/>
      <c r="O35" s="593"/>
      <c r="P35" s="594"/>
      <c r="Q35" s="192"/>
      <c r="R35" s="192"/>
      <c r="S35" s="192">
        <v>0.9</v>
      </c>
      <c r="T35" s="192"/>
      <c r="U35" s="192"/>
      <c r="V35" s="193"/>
      <c r="W35" s="194"/>
      <c r="X35" s="192"/>
      <c r="Y35" s="192"/>
      <c r="Z35" s="195"/>
      <c r="AA35" s="595" t="s">
        <v>136</v>
      </c>
      <c r="AB35" s="594"/>
      <c r="AC35" s="595" t="s">
        <v>136</v>
      </c>
      <c r="AD35" s="594"/>
      <c r="AE35" s="197"/>
      <c r="AF35" s="284">
        <f t="shared" si="2"/>
        <v>1</v>
      </c>
      <c r="AG35" s="285">
        <f t="shared" si="3"/>
        <v>0</v>
      </c>
      <c r="AH35" s="285">
        <f t="shared" si="4"/>
        <v>0</v>
      </c>
      <c r="AI35" s="286">
        <f t="shared" si="5"/>
        <v>8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2.0736599999999998</v>
      </c>
      <c r="AN35" s="290">
        <f t="shared" si="37"/>
        <v>8.2946399999999993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>
        <f t="shared" si="23"/>
        <v>2.0736599999999998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 t="s">
        <v>98</v>
      </c>
      <c r="G36" s="593"/>
      <c r="H36" s="594"/>
      <c r="I36" s="192">
        <v>1</v>
      </c>
      <c r="J36" s="192">
        <v>65</v>
      </c>
      <c r="K36" s="192">
        <v>35</v>
      </c>
      <c r="L36" s="192"/>
      <c r="M36" s="192"/>
      <c r="N36" s="595"/>
      <c r="O36" s="593"/>
      <c r="P36" s="594"/>
      <c r="Q36" s="192"/>
      <c r="R36" s="192"/>
      <c r="S36" s="192">
        <v>0.21</v>
      </c>
      <c r="T36" s="192"/>
      <c r="U36" s="192"/>
      <c r="V36" s="193"/>
      <c r="W36" s="194"/>
      <c r="X36" s="192"/>
      <c r="Y36" s="192"/>
      <c r="Z36" s="195"/>
      <c r="AA36" s="595" t="s">
        <v>136</v>
      </c>
      <c r="AB36" s="594"/>
      <c r="AC36" s="595" t="s">
        <v>136</v>
      </c>
      <c r="AD36" s="594"/>
      <c r="AE36" s="197"/>
      <c r="AF36" s="284">
        <f t="shared" si="2"/>
        <v>1</v>
      </c>
      <c r="AG36" s="285">
        <f t="shared" si="3"/>
        <v>0</v>
      </c>
      <c r="AH36" s="285">
        <f t="shared" si="4"/>
        <v>0</v>
      </c>
      <c r="AI36" s="286">
        <f t="shared" si="5"/>
        <v>8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0.67088999999999999</v>
      </c>
      <c r="AN36" s="290">
        <f t="shared" si="37"/>
        <v>2.6835599999999999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>
        <f t="shared" si="23"/>
        <v>0.67088999999999999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 t="s">
        <v>185</v>
      </c>
      <c r="C37" s="192"/>
      <c r="D37" s="595" t="s">
        <v>245</v>
      </c>
      <c r="E37" s="596"/>
      <c r="F37" s="592" t="s">
        <v>105</v>
      </c>
      <c r="G37" s="593"/>
      <c r="H37" s="594"/>
      <c r="I37" s="192">
        <v>1</v>
      </c>
      <c r="J37" s="192">
        <v>70</v>
      </c>
      <c r="K37" s="192">
        <v>30</v>
      </c>
      <c r="L37" s="192"/>
      <c r="M37" s="192"/>
      <c r="N37" s="595"/>
      <c r="O37" s="593"/>
      <c r="P37" s="594"/>
      <c r="Q37" s="192"/>
      <c r="R37" s="192"/>
      <c r="S37" s="192">
        <v>0.2</v>
      </c>
      <c r="T37" s="192"/>
      <c r="U37" s="192"/>
      <c r="V37" s="193"/>
      <c r="W37" s="194"/>
      <c r="X37" s="192"/>
      <c r="Y37" s="192"/>
      <c r="Z37" s="195"/>
      <c r="AA37" s="595" t="s">
        <v>136</v>
      </c>
      <c r="AB37" s="594"/>
      <c r="AC37" s="595" t="s">
        <v>137</v>
      </c>
      <c r="AD37" s="594"/>
      <c r="AE37" s="197"/>
      <c r="AF37" s="284">
        <f t="shared" si="2"/>
        <v>1</v>
      </c>
      <c r="AG37" s="285">
        <f t="shared" si="3"/>
        <v>0</v>
      </c>
      <c r="AH37" s="285">
        <f t="shared" si="4"/>
        <v>4</v>
      </c>
      <c r="AI37" s="286">
        <f t="shared" si="5"/>
        <v>0</v>
      </c>
      <c r="AJ37" s="287">
        <f t="shared" si="36"/>
        <v>0.5</v>
      </c>
      <c r="AK37" s="288"/>
      <c r="AL37" s="289">
        <f t="shared" si="6"/>
        <v>0.5</v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 t="s">
        <v>98</v>
      </c>
      <c r="G38" s="593"/>
      <c r="H38" s="594"/>
      <c r="I38" s="192">
        <v>1</v>
      </c>
      <c r="J38" s="192">
        <v>70</v>
      </c>
      <c r="K38" s="192">
        <v>30</v>
      </c>
      <c r="L38" s="192"/>
      <c r="M38" s="192"/>
      <c r="N38" s="595"/>
      <c r="O38" s="593"/>
      <c r="P38" s="594"/>
      <c r="Q38" s="192"/>
      <c r="R38" s="192"/>
      <c r="S38" s="192">
        <v>0.18</v>
      </c>
      <c r="T38" s="192"/>
      <c r="U38" s="192"/>
      <c r="V38" s="193"/>
      <c r="W38" s="194"/>
      <c r="X38" s="192"/>
      <c r="Y38" s="192"/>
      <c r="Z38" s="195"/>
      <c r="AA38" s="595" t="s">
        <v>136</v>
      </c>
      <c r="AB38" s="594"/>
      <c r="AC38" s="595" t="s">
        <v>136</v>
      </c>
      <c r="AD38" s="594"/>
      <c r="AE38" s="197"/>
      <c r="AF38" s="284">
        <f t="shared" si="2"/>
        <v>1</v>
      </c>
      <c r="AG38" s="285">
        <f t="shared" si="3"/>
        <v>0</v>
      </c>
      <c r="AH38" s="285">
        <f t="shared" si="4"/>
        <v>0</v>
      </c>
      <c r="AI38" s="286">
        <f t="shared" si="5"/>
        <v>8</v>
      </c>
      <c r="AJ38" s="287">
        <f t="shared" si="36"/>
        <v>0.5</v>
      </c>
      <c r="AK38" s="288"/>
      <c r="AL38" s="289">
        <f t="shared" si="6"/>
        <v>0.5</v>
      </c>
      <c r="AM38" s="290">
        <f t="shared" si="7"/>
        <v>0.60989999999999989</v>
      </c>
      <c r="AN38" s="290">
        <f t="shared" si="37"/>
        <v>2.4395999999999995</v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>
        <f t="shared" si="23"/>
        <v>0.60989999999999989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 t="s">
        <v>98</v>
      </c>
      <c r="G39" s="593"/>
      <c r="H39" s="594"/>
      <c r="I39" s="192">
        <v>1</v>
      </c>
      <c r="J39" s="192">
        <v>70</v>
      </c>
      <c r="K39" s="192">
        <v>30</v>
      </c>
      <c r="L39" s="192"/>
      <c r="M39" s="192"/>
      <c r="N39" s="595"/>
      <c r="O39" s="593"/>
      <c r="P39" s="594"/>
      <c r="Q39" s="192"/>
      <c r="R39" s="192"/>
      <c r="S39" s="192">
        <v>0.81</v>
      </c>
      <c r="T39" s="192"/>
      <c r="U39" s="192"/>
      <c r="V39" s="193"/>
      <c r="W39" s="194"/>
      <c r="X39" s="192"/>
      <c r="Y39" s="192"/>
      <c r="Z39" s="195"/>
      <c r="AA39" s="595" t="s">
        <v>136</v>
      </c>
      <c r="AB39" s="594"/>
      <c r="AC39" s="595" t="s">
        <v>136</v>
      </c>
      <c r="AD39" s="594"/>
      <c r="AE39" s="197"/>
      <c r="AF39" s="284">
        <f t="shared" si="2"/>
        <v>1</v>
      </c>
      <c r="AG39" s="285">
        <f t="shared" si="3"/>
        <v>0</v>
      </c>
      <c r="AH39" s="285">
        <f t="shared" si="4"/>
        <v>0</v>
      </c>
      <c r="AI39" s="286">
        <f t="shared" si="5"/>
        <v>8</v>
      </c>
      <c r="AJ39" s="287">
        <f t="shared" si="36"/>
        <v>0.5</v>
      </c>
      <c r="AK39" s="288"/>
      <c r="AL39" s="289">
        <f t="shared" si="6"/>
        <v>0.5</v>
      </c>
      <c r="AM39" s="290">
        <f t="shared" si="7"/>
        <v>1.8906899999999998</v>
      </c>
      <c r="AN39" s="290">
        <f t="shared" si="37"/>
        <v>7.562759999999999</v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>
        <f t="shared" si="23"/>
        <v>1.8906899999999998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12</v>
      </c>
      <c r="AG49" s="203"/>
      <c r="AH49" s="204">
        <f>SUM(AH29:AH48)</f>
        <v>28</v>
      </c>
      <c r="AI49" s="204">
        <f>SUM(AI29:AI48)</f>
        <v>56</v>
      </c>
      <c r="AJ49" s="205"/>
      <c r="AK49" s="205"/>
      <c r="AL49" s="206"/>
      <c r="AM49" s="207">
        <f>SUM(AM29:AM48)</f>
        <v>19.257834764427091</v>
      </c>
      <c r="AN49" s="208">
        <f>SUM(AN29:AN48)</f>
        <v>77.031339057708365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46113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46113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50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46120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77.031339057708365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77.031339057708365</v>
      </c>
      <c r="AH8" s="538"/>
      <c r="AI8" s="533">
        <f>+'Diseño 1"'!AM49</f>
        <v>19.257834764427091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>VEX</v>
      </c>
      <c r="E12" s="694"/>
      <c r="F12" s="247">
        <f>IF('Diseño 1"'!C29=0,"",'Diseño 1"'!C29)</f>
        <v>2</v>
      </c>
      <c r="G12" s="693" t="str">
        <f>IF('Diseño 1"'!D29="","",'Diseño 1"'!D29)</f>
        <v>Piso 2 Tae</v>
      </c>
      <c r="H12" s="694"/>
      <c r="I12" s="693" t="str">
        <f>IF('Diseño 1"'!F29="","",'Diseño 1"'!F29)</f>
        <v>Codo</v>
      </c>
      <c r="J12" s="694"/>
      <c r="K12" s="248">
        <f>IF(I12="","",'Diseño 1"'!I29)</f>
        <v>1</v>
      </c>
      <c r="L12" s="242">
        <f>IF('Diseño 1"'!J29="","",'Diseño 1"'!J29)</f>
        <v>65</v>
      </c>
      <c r="M12" s="242">
        <f>IF('Diseño 1"'!K29="","",'Diseño 1"'!K29)</f>
        <v>35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 t="str">
        <f>IF('Diseño 1"'!S29="","",'Diseño 1"'!S29)</f>
        <v/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TDF</v>
      </c>
      <c r="Z12" s="688"/>
      <c r="AA12" s="687" t="str">
        <f>IF('Diseño 1"'!AC29="","",'Diseño 1"'!AC29)</f>
        <v>TDF</v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7.614069528854186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S</v>
      </c>
      <c r="J13" s="651"/>
      <c r="K13" s="20">
        <f>IF(I13="","",'Diseño 1"'!I30)</f>
        <v>1</v>
      </c>
      <c r="L13" s="17">
        <f>IF('Diseño 1"'!J30="","",'Diseño 1"'!J30)</f>
        <v>35</v>
      </c>
      <c r="M13" s="17">
        <f>IF('Diseño 1"'!K30="","",'Diseño 1"'!K30)</f>
        <v>65</v>
      </c>
      <c r="N13" s="17">
        <f>'Diseño 1"'!L30</f>
        <v>0</v>
      </c>
      <c r="O13" s="17">
        <f>IF('Diseño 1"'!M30="","",'Diseño 1"'!M30)</f>
        <v>70</v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0.9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TDF</v>
      </c>
      <c r="Z13" s="650"/>
      <c r="AA13" s="649" t="str">
        <f>IF('Diseño 1"'!AC30="","",'Diseño 1"'!AC30)</f>
        <v>TDF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8.2946399999999993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Ducto Recto</v>
      </c>
      <c r="J14" s="651"/>
      <c r="K14" s="20">
        <f>IF(I14="","",'Diseño 1"'!I31)</f>
        <v>1</v>
      </c>
      <c r="L14" s="17">
        <f>IF('Diseño 1"'!J31="","",'Diseño 1"'!J31)</f>
        <v>65</v>
      </c>
      <c r="M14" s="17">
        <f>IF('Diseño 1"'!K31="","",'Diseño 1"'!K31)</f>
        <v>35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0.39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TDF</v>
      </c>
      <c r="AB14" s="650"/>
      <c r="AC14" s="23" t="str">
        <f>IF('Diseño 1"'!AE32=TRUE,0.5,"")</f>
        <v/>
      </c>
      <c r="AD14" s="92">
        <f>IF('Diseño 1"'!AF32="","",'Diseño 1"'!AF32)</f>
        <v>2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4.1473199999999997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Ducto Recto</v>
      </c>
      <c r="J15" s="651"/>
      <c r="K15" s="20">
        <f>IF(I15="","",'Diseño 1"'!I32)</f>
        <v>3</v>
      </c>
      <c r="L15" s="17">
        <f>IF('Diseño 1"'!J32="","",'Diseño 1"'!J32)</f>
        <v>65</v>
      </c>
      <c r="M15" s="17">
        <f>IF('Diseño 1"'!K32="","",'Diseño 1"'!K32)</f>
        <v>35</v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0.9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TDF</v>
      </c>
      <c r="Z15" s="650"/>
      <c r="AA15" s="649" t="str">
        <f>IF('Diseño 1"'!AC32="","",'Diseño 1"'!AC32)</f>
        <v>TDF</v>
      </c>
      <c r="AB15" s="650"/>
      <c r="AE15" s="24">
        <f>'Diseño 1"'!AJ32</f>
        <v>0.5</v>
      </c>
      <c r="AF15" s="93">
        <f>'Diseño 1"'!AK32</f>
        <v>0</v>
      </c>
      <c r="AG15" s="243">
        <f>IF('Diseño 1"'!AN32="","",'Diseño 1"'!AN32)</f>
        <v>24.883919999999996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>Ducto Recto</v>
      </c>
      <c r="J16" s="651"/>
      <c r="K16" s="20">
        <f>IF(I16="","",'Diseño 1"'!I33)</f>
        <v>1</v>
      </c>
      <c r="L16" s="17">
        <f>IF('Diseño 1"'!J33="","",'Diseño 1"'!J33)</f>
        <v>65</v>
      </c>
      <c r="M16" s="17">
        <f>IF('Diseño 1"'!K33="","",'Diseño 1"'!K33)</f>
        <v>35</v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0.31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>TDF</v>
      </c>
      <c r="Z16" s="650"/>
      <c r="AA16" s="649" t="str">
        <f>IF('Diseño 1"'!AC33="","",'Diseño 1"'!AC33)</f>
        <v>TDF</v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3.4967599999999996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>Codo</v>
      </c>
      <c r="J17" s="651"/>
      <c r="K17" s="20">
        <f>IF(I17="","",'Diseño 1"'!I34)</f>
        <v>1</v>
      </c>
      <c r="L17" s="17">
        <f>IF('Diseño 1"'!J34="","",'Diseño 1"'!J34)</f>
        <v>65</v>
      </c>
      <c r="M17" s="17">
        <f>IF('Diseño 1"'!K34="","",'Diseño 1"'!K34)</f>
        <v>35</v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>TDF</v>
      </c>
      <c r="Z17" s="650"/>
      <c r="AA17" s="649" t="str">
        <f>IF('Diseño 1"'!AC34="","",'Diseño 1"'!AC34)</f>
        <v>TDF</v>
      </c>
      <c r="AB17" s="650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7.614069528854186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>Ducto Recto</v>
      </c>
      <c r="J18" s="651"/>
      <c r="K18" s="20">
        <f>IF(I18="","",'Diseño 1"'!I35)</f>
        <v>1</v>
      </c>
      <c r="L18" s="17">
        <f>IF('Diseño 1"'!J35="","",'Diseño 1"'!J35)</f>
        <v>65</v>
      </c>
      <c r="M18" s="17">
        <f>IF('Diseño 1"'!K35="","",'Diseño 1"'!K35)</f>
        <v>35</v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0.9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>TDF</v>
      </c>
      <c r="Z18" s="650"/>
      <c r="AA18" s="649" t="str">
        <f>IF('Diseño 1"'!AC35="","",'Diseño 1"'!AC35)</f>
        <v>TDF</v>
      </c>
      <c r="AB18" s="650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8.2946399999999993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>Ducto Recto</v>
      </c>
      <c r="J19" s="651"/>
      <c r="K19" s="20">
        <f>IF(I19="","",'Diseño 1"'!I36)</f>
        <v>1</v>
      </c>
      <c r="L19" s="17">
        <f>IF('Diseño 1"'!J36="","",'Diseño 1"'!J36)</f>
        <v>65</v>
      </c>
      <c r="M19" s="17">
        <f>IF('Diseño 1"'!K36="","",'Diseño 1"'!K36)</f>
        <v>35</v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0.21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>TDF</v>
      </c>
      <c r="Z19" s="650"/>
      <c r="AA19" s="649" t="str">
        <f>IF('Diseño 1"'!AC36="","",'Diseño 1"'!AC36)</f>
        <v>TDF</v>
      </c>
      <c r="AB19" s="650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2.6835599999999999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>VEX</v>
      </c>
      <c r="E20" s="651"/>
      <c r="F20" s="19" t="str">
        <f>IF('Diseño 1"'!C37=0,"",'Diseño 1"'!C37)</f>
        <v/>
      </c>
      <c r="G20" s="695" t="str">
        <f>IF('Diseño 1"'!D37="","",'Diseño 1"'!D37)</f>
        <v>Subterraneo</v>
      </c>
      <c r="H20" s="651"/>
      <c r="I20" s="695" t="str">
        <f>IF('Diseño 1"'!F37="","",'Diseño 1"'!F37)</f>
        <v>Unión c/ Lona</v>
      </c>
      <c r="J20" s="651"/>
      <c r="K20" s="20">
        <f>IF(I20="","",'Diseño 1"'!I37)</f>
        <v>1</v>
      </c>
      <c r="L20" s="17">
        <f>IF('Diseño 1"'!J37="","",'Diseño 1"'!J37)</f>
        <v>70</v>
      </c>
      <c r="M20" s="17">
        <f>IF('Diseño 1"'!K37="","",'Diseño 1"'!K37)</f>
        <v>30</v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0.2</v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>TDF</v>
      </c>
      <c r="Z20" s="650"/>
      <c r="AA20" s="649" t="str">
        <f>IF('Diseño 1"'!AC37="","",'Diseño 1"'!AC37)</f>
        <v>Liso</v>
      </c>
      <c r="AB20" s="650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>Ducto Recto</v>
      </c>
      <c r="J21" s="651"/>
      <c r="K21" s="20">
        <f>IF(I21="","",'Diseño 1"'!I38)</f>
        <v>1</v>
      </c>
      <c r="L21" s="17">
        <f>IF('Diseño 1"'!J38="","",'Diseño 1"'!J38)</f>
        <v>70</v>
      </c>
      <c r="M21" s="17">
        <f>IF('Diseño 1"'!K38="","",'Diseño 1"'!K38)</f>
        <v>30</v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>
        <f>IF('Diseño 1"'!S38="","",'Diseño 1"'!S38)</f>
        <v>0.18</v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>TDF</v>
      </c>
      <c r="Z21" s="650"/>
      <c r="AA21" s="649" t="str">
        <f>IF('Diseño 1"'!AC38="","",'Diseño 1"'!AC38)</f>
        <v>TDF</v>
      </c>
      <c r="AB21" s="650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>
        <f>IF('Diseño 1"'!AN38="","",'Diseño 1"'!AN38)</f>
        <v>2.4395999999999995</v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>Ducto Recto</v>
      </c>
      <c r="J22" s="651"/>
      <c r="K22" s="20">
        <f>IF(I22="","",'Diseño 1"'!I39)</f>
        <v>1</v>
      </c>
      <c r="L22" s="17">
        <f>IF('Diseño 1"'!J39="","",'Diseño 1"'!J39)</f>
        <v>70</v>
      </c>
      <c r="M22" s="17">
        <f>IF('Diseño 1"'!K39="","",'Diseño 1"'!K39)</f>
        <v>30</v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0.81</v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>TDF</v>
      </c>
      <c r="Z22" s="650"/>
      <c r="AA22" s="649" t="str">
        <f>IF('Diseño 1"'!AC39="","",'Diseño 1"'!AC39)</f>
        <v>TDF</v>
      </c>
      <c r="AB22" s="650"/>
      <c r="AC22" s="23" t="str">
        <f>IF('Diseño 1"'!AE39=TRUE,0.5,"")</f>
        <v/>
      </c>
      <c r="AD22" s="92">
        <f>IF('Diseño 1"'!AF39="","",'Diseño 1"'!AF39)</f>
        <v>1</v>
      </c>
      <c r="AE22" s="24">
        <f>'Diseño 1"'!AJ39</f>
        <v>0.5</v>
      </c>
      <c r="AF22" s="93">
        <f>'Diseño 1"'!AK39</f>
        <v>0</v>
      </c>
      <c r="AG22" s="243">
        <f>IF('Diseño 1"'!AN39="","",'Diseño 1"'!AN39)</f>
        <v>7.562759999999999</v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77.031339057708365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77.031339057708365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2026-04-06T12:36:47Z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