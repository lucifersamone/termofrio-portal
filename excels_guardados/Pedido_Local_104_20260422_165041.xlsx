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" documentId="11_666DDA71C3B9D297D8FD9DE0EE74E377B0D97118" xr6:coauthVersionLast="47" xr6:coauthVersionMax="47" xr10:uidLastSave="{E8DEDD4E-A8A7-47AB-9D35-399A4967A57F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 s="1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6" i="8"/>
  <c r="AF19" i="9" s="1"/>
  <c r="AN35" i="8"/>
  <c r="AF18" i="9" s="1"/>
  <c r="AN34" i="8"/>
  <c r="AF17" i="9" s="1"/>
  <c r="AN33" i="8"/>
  <c r="AF16" i="9" s="1"/>
  <c r="AN32" i="8"/>
  <c r="AF15" i="9" s="1"/>
  <c r="AF49" i="8"/>
  <c r="AI29" i="8"/>
  <c r="AH29" i="8"/>
  <c r="AH49" i="8" s="1"/>
  <c r="O13" i="8"/>
  <c r="AN47" i="8"/>
  <c r="AF30" i="9" s="1"/>
  <c r="AN37" i="8" l="1"/>
  <c r="AF20" i="9" s="1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L36" i="3"/>
  <c r="AJ36" i="3" s="1"/>
  <c r="AE19" i="4" s="1"/>
  <c r="AG37" i="3"/>
  <c r="AF37" i="3" s="1"/>
  <c r="AL37" i="3"/>
  <c r="AJ37" i="3" s="1"/>
  <c r="AE20" i="4" s="1"/>
  <c r="AG38" i="3"/>
  <c r="AF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H40" i="3" s="1"/>
  <c r="AL40" i="3"/>
  <c r="AJ40" i="3" s="1"/>
  <c r="AE23" i="4" s="1"/>
  <c r="AF41" i="3"/>
  <c r="AH41" i="3" s="1"/>
  <c r="AG41" i="3"/>
  <c r="AI41" i="3"/>
  <c r="AL41" i="3"/>
  <c r="AJ41" i="3" s="1"/>
  <c r="AE24" i="4" s="1"/>
  <c r="AG42" i="3"/>
  <c r="AF42" i="3" s="1"/>
  <c r="AH42" i="3" s="1"/>
  <c r="AL42" i="3"/>
  <c r="AJ42" i="3" s="1"/>
  <c r="AE25" i="4" s="1"/>
  <c r="AF43" i="3"/>
  <c r="AH43" i="3" s="1"/>
  <c r="AG43" i="3"/>
  <c r="AI43" i="3"/>
  <c r="AL43" i="3"/>
  <c r="AJ43" i="3" s="1"/>
  <c r="AE26" i="4" s="1"/>
  <c r="AF44" i="3"/>
  <c r="AH44" i="3" s="1"/>
  <c r="AG44" i="3"/>
  <c r="AI44" i="3"/>
  <c r="AL44" i="3"/>
  <c r="AJ44" i="3" s="1"/>
  <c r="AE27" i="4" s="1"/>
  <c r="AF45" i="3"/>
  <c r="AH45" i="3" s="1"/>
  <c r="AG45" i="3"/>
  <c r="AI45" i="3"/>
  <c r="AL45" i="3"/>
  <c r="AJ45" i="3" s="1"/>
  <c r="AE28" i="4" s="1"/>
  <c r="AF46" i="3"/>
  <c r="AH46" i="3" s="1"/>
  <c r="AG46" i="3"/>
  <c r="AI46" i="3"/>
  <c r="AL46" i="3"/>
  <c r="AJ46" i="3" s="1"/>
  <c r="AE29" i="4" s="1"/>
  <c r="AN52" i="3"/>
  <c r="AN51" i="3"/>
  <c r="AI42" i="3" l="1"/>
  <c r="AM39" i="3"/>
  <c r="AN39" i="3" s="1"/>
  <c r="AG22" i="4" s="1"/>
  <c r="AH38" i="3"/>
  <c r="AI38" i="3"/>
  <c r="AH37" i="3"/>
  <c r="AI37" i="3"/>
  <c r="AM38" i="3"/>
  <c r="AN38" i="3" s="1"/>
  <c r="AG2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M42" i="3"/>
  <c r="AN42" i="3" s="1"/>
  <c r="AG25" i="4" s="1"/>
  <c r="AM41" i="3"/>
  <c r="AN41" i="3" s="1"/>
  <c r="AG24" i="4" s="1"/>
  <c r="AI39" i="3"/>
  <c r="AH36" i="3"/>
  <c r="AI36" i="3"/>
  <c r="AM37" i="3"/>
  <c r="AN37" i="3" s="1"/>
  <c r="AG20" i="4" s="1"/>
  <c r="AM31" i="3"/>
  <c r="AN31" i="3" s="1"/>
  <c r="AG14" i="4" s="1"/>
  <c r="AI40" i="3"/>
  <c r="AM36" i="3"/>
  <c r="AN36" i="3" s="1"/>
  <c r="AG19" i="4" s="1"/>
  <c r="AM35" i="3"/>
  <c r="AN35" i="3" s="1"/>
  <c r="AG18" i="4" s="1"/>
  <c r="AI35" i="3"/>
  <c r="AM34" i="3"/>
  <c r="AN34" i="3" s="1"/>
  <c r="AG17" i="4" s="1"/>
  <c r="AH33" i="3"/>
  <c r="AM32" i="3"/>
  <c r="AN32" i="3" s="1"/>
  <c r="AG15" i="4" s="1"/>
  <c r="AH31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J28" i="6"/>
  <c r="J29" i="6"/>
  <c r="J30" i="6"/>
  <c r="H31" i="6"/>
  <c r="J31" i="6" s="1"/>
  <c r="H26" i="6"/>
  <c r="J26" i="6" s="1"/>
  <c r="H27" i="6"/>
  <c r="J27" i="6" s="1"/>
  <c r="H28" i="6"/>
  <c r="H29" i="6"/>
  <c r="H30" i="6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L48" i="5"/>
  <c r="AJ48" i="5" s="1"/>
  <c r="AD31" i="6" s="1"/>
  <c r="AI48" i="5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M47" i="5"/>
  <c r="AN47" i="5" s="1"/>
  <c r="AF30" i="6" s="1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L46" i="5"/>
  <c r="AJ46" i="5" s="1"/>
  <c r="AD29" i="6" s="1"/>
  <c r="AI46" i="5"/>
  <c r="AG46" i="5"/>
  <c r="AF46" i="5"/>
  <c r="AH46" i="5" s="1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L45" i="5"/>
  <c r="AJ45" i="5" s="1"/>
  <c r="AD28" i="6" s="1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M44" i="5"/>
  <c r="AL44" i="5"/>
  <c r="AJ44" i="5" s="1"/>
  <c r="AD27" i="6" s="1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L43" i="5"/>
  <c r="AJ43" i="5" s="1"/>
  <c r="AD26" i="6" s="1"/>
  <c r="AI43" i="5"/>
  <c r="AG43" i="5"/>
  <c r="AF43" i="5"/>
  <c r="AC31" i="6" s="1"/>
  <c r="BO42" i="5"/>
  <c r="BN42" i="5"/>
  <c r="BM42" i="5"/>
  <c r="AM42" i="5" s="1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M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I40" i="5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 s="1"/>
  <c r="AS38" i="5"/>
  <c r="AR38" i="5"/>
  <c r="AQ38" i="5"/>
  <c r="AP38" i="5"/>
  <c r="AL38" i="5"/>
  <c r="AJ38" i="5" s="1"/>
  <c r="AD21" i="6" s="1"/>
  <c r="AI38" i="5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M37" i="5"/>
  <c r="AL37" i="5"/>
  <c r="AJ37" i="5" s="1"/>
  <c r="AD20" i="6" s="1"/>
  <c r="AI37" i="5"/>
  <c r="AG37" i="5"/>
  <c r="AF37" i="5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M36" i="5" s="1"/>
  <c r="AP36" i="5"/>
  <c r="AL36" i="5"/>
  <c r="AJ36" i="5" s="1"/>
  <c r="AD19" i="6" s="1"/>
  <c r="AI36" i="5"/>
  <c r="AG36" i="5"/>
  <c r="AF36" i="5"/>
  <c r="AC19" i="6" s="1"/>
  <c r="BO35" i="5"/>
  <c r="BN35" i="5"/>
  <c r="BM35" i="5"/>
  <c r="BK35" i="5"/>
  <c r="AM35" i="5" s="1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I35" i="5"/>
  <c r="AG35" i="5"/>
  <c r="AF35" i="5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M34" i="5"/>
  <c r="AL34" i="5"/>
  <c r="AJ34" i="5" s="1"/>
  <c r="AD17" i="6" s="1"/>
  <c r="AI34" i="5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I32" i="5"/>
  <c r="AG32" i="5"/>
  <c r="AF32" i="5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I30" i="5"/>
  <c r="AG30" i="5"/>
  <c r="AF30" i="5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I48" i="3"/>
  <c r="AG48" i="3"/>
  <c r="AF48" i="3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M30" i="3" l="1"/>
  <c r="AN30" i="3" s="1"/>
  <c r="AG13" i="4" s="1"/>
  <c r="AH40" i="5"/>
  <c r="AN38" i="5"/>
  <c r="AF21" i="6" s="1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6" i="5"/>
  <c r="AF29" i="6" s="1"/>
  <c r="AN42" i="5"/>
  <c r="AF25" i="6" s="1"/>
  <c r="AN44" i="5"/>
  <c r="AF27" i="6" s="1"/>
  <c r="AN39" i="5"/>
  <c r="AF22" i="6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36" i="5"/>
  <c r="AF19" i="6" s="1"/>
  <c r="AN40" i="5"/>
  <c r="AF23" i="6" s="1"/>
  <c r="AH29" i="5"/>
  <c r="AH34" i="5"/>
  <c r="AN34" i="5"/>
  <c r="AF17" i="6" s="1"/>
  <c r="AH36" i="5"/>
  <c r="AH42" i="5"/>
  <c r="AN35" i="5"/>
  <c r="AF18" i="6" s="1"/>
  <c r="AH30" i="5"/>
  <c r="P15" i="3"/>
  <c r="O15" i="3"/>
  <c r="AF49" i="3"/>
  <c r="AD12" i="4"/>
  <c r="O16" i="3"/>
  <c r="AH29" i="3"/>
  <c r="AN43" i="5"/>
  <c r="AF26" i="6" s="1"/>
  <c r="P16" i="3"/>
  <c r="AH47" i="3"/>
  <c r="AE12" i="4"/>
  <c r="P11" i="5"/>
  <c r="O16" i="5"/>
  <c r="AC22" i="6"/>
  <c r="AH39" i="5"/>
  <c r="AN45" i="5"/>
  <c r="AF28" i="6" s="1"/>
  <c r="O11" i="3"/>
  <c r="AN41" i="5"/>
  <c r="AF24" i="6" s="1"/>
  <c r="P11" i="3"/>
  <c r="AN48" i="3"/>
  <c r="AG31" i="4" s="1"/>
  <c r="AC14" i="6"/>
  <c r="AH31" i="5"/>
  <c r="AN37" i="5"/>
  <c r="AF20" i="6" s="1"/>
  <c r="AC18" i="6"/>
  <c r="AH35" i="5"/>
  <c r="AD26" i="4"/>
  <c r="P16" i="5"/>
  <c r="AD12" i="6"/>
  <c r="O11" i="5"/>
  <c r="AN48" i="5"/>
  <c r="AF31" i="6" s="1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S18" i="5"/>
  <c r="S19" i="5"/>
  <c r="AH49" i="5"/>
  <c r="S20" i="5" s="1"/>
  <c r="S21" i="5" s="1"/>
  <c r="AH49" i="3"/>
  <c r="S15" i="5" l="1"/>
  <c r="AG8" i="4"/>
  <c r="S16" i="5"/>
  <c r="Z8" i="6"/>
  <c r="S12" i="5"/>
  <c r="S14" i="5" s="1"/>
  <c r="O17" i="3"/>
  <c r="O17" i="5"/>
  <c r="AF12" i="6"/>
  <c r="Y8" i="6"/>
  <c r="AF8" i="6" s="1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P17" i="5" l="1"/>
</calcChain>
</file>

<file path=xl/sharedStrings.xml><?xml version="1.0" encoding="utf-8"?>
<sst xmlns="http://schemas.openxmlformats.org/spreadsheetml/2006/main" count="1778" uniqueCount="247">
  <si>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</si>
  <si>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</si>
  <si>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</si>
  <si>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</si>
  <si>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</si>
  <si>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</si>
  <si>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</si>
  <si>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</si>
  <si>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</si>
  <si>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</si>
  <si>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</si>
  <si>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</si>
  <si>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</si>
  <si>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</si>
  <si>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</si>
  <si>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</si>
  <si>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</si>
  <si>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</si>
  <si>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</si>
  <si>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</si>
  <si>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</si>
  <si>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</si>
  <si>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</si>
  <si>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</si>
  <si>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</si>
  <si>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</si>
  <si>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</si>
  <si>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</si>
  <si>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</si>
  <si>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</si>
  <si>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</si>
  <si>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</si>
  <si>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</si>
  <si>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</si>
  <si>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</si>
  <si>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</si>
  <si>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</si>
  <si>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</si>
  <si>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</si>
  <si>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</si>
  <si>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</si>
  <si>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</si>
  <si>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</si>
  <si>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</si>
  <si>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</si>
  <si>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</si>
  <si>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</si>
  <si>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</si>
  <si>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</si>
  <si>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</si>
  <si>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</si>
  <si>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</si>
  <si>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</si>
  <si>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</si>
  <si>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</si>
  <si>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</si>
  <si>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</si>
  <si>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</si>
  <si>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</si>
  <si>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</si>
  <si>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</si>
  <si>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</si>
  <si>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</si>
  <si>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</si>
  <si>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</si>
  <si>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</si>
  <si>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</si>
  <si>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</si>
  <si>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</si>
  <si>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</si>
  <si>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</si>
  <si>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</si>
  <si>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</si>
  <si>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</si>
  <si>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</si>
  <si>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</si>
  <si>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</si>
  <si>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</si>
  <si>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</si>
  <si>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</si>
  <si>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</si>
  <si>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</si>
  <si>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</si>
  <si>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</si>
  <si>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</si>
  <si>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</si>
  <si>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</si>
  <si>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</si>
  <si>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</si>
  <si>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</si>
  <si>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</si>
  <si>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</si>
  <si>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</si>
  <si>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</si>
  <si>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</si>
  <si>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</si>
  <si>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</si>
  <si>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</si>
  <si>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</si>
  <si>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</si>
  <si>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</si>
  <si>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</si>
  <si>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</si>
  <si>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</si>
  <si>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</si>
  <si>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</si>
  <si>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</si>
  <si>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</si>
  <si>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</si>
  <si>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</si>
  <si>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</si>
  <si>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</si>
  <si>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</si>
  <si>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</si>
  <si>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</si>
  <si>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</si>
  <si>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</si>
  <si>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</si>
  <si>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</si>
  <si>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</si>
  <si>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</si>
  <si>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</si>
  <si>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</si>
  <si>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</si>
  <si>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</si>
  <si>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</si>
  <si>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</si>
  <si>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</si>
  <si>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</si>
  <si>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</si>
  <si>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</si>
  <si>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</si>
  <si>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</si>
  <si>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</si>
  <si>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</si>
  <si>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</si>
  <si>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</si>
  <si>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</si>
  <si>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</si>
  <si>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</si>
  <si>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</si>
  <si>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</si>
  <si>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</si>
  <si>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</si>
  <si>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</si>
  <si>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</si>
  <si>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</si>
  <si>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</si>
  <si>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</si>
  <si>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</si>
  <si>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</si>
  <si>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</si>
  <si>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</si>
  <si>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</si>
  <si>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</si>
  <si>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</si>
  <si>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</si>
  <si>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</si>
  <si>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</si>
  <si>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</si>
  <si>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</si>
  <si>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</si>
  <si>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</si>
  <si>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</si>
  <si>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</si>
  <si>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</si>
  <si>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</si>
  <si>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</si>
  <si>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</si>
  <si>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</si>
  <si>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</si>
  <si>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</si>
  <si>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</si>
  <si>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</si>
  <si>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</si>
  <si>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</si>
  <si>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</si>
  <si>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</si>
  <si>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</si>
  <si>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</si>
  <si>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</si>
  <si>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</si>
  <si>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</si>
  <si>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</si>
  <si>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</si>
  <si>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</si>
  <si>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</si>
  <si>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</si>
  <si>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</si>
  <si>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</si>
  <si>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</si>
  <si>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</si>
  <si>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</si>
  <si>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</si>
  <si>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</si>
  <si>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</si>
  <si>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</si>
  <si>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</si>
  <si>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</si>
  <si>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</si>
  <si>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</si>
  <si>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</si>
  <si>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</si>
  <si>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</si>
  <si>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</si>
  <si>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</si>
  <si>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</si>
  <si>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</si>
  <si>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</si>
  <si>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</si>
  <si>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</si>
  <si>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</si>
  <si>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</si>
  <si>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</si>
  <si>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</si>
  <si>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</si>
  <si>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</si>
  <si>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</si>
  <si>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</si>
  <si>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</si>
  <si>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</si>
  <si>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</si>
  <si>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</si>
  <si>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</si>
  <si>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</si>
  <si>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</si>
  <si>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</si>
  <si>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</si>
  <si>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</si>
  <si>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</si>
  <si>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</si>
  <si>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</si>
  <si>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</si>
  <si>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</si>
  <si>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</si>
  <si>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</si>
  <si>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</si>
  <si>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</si>
  <si>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</si>
  <si>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</si>
  <si>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</si>
  <si>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 xml:space="preserve">Natanael Avile </t>
  </si>
  <si>
    <t>UI 1.10</t>
  </si>
  <si>
    <t>Con apertura inferior</t>
  </si>
  <si>
    <t>Tae UI-1,2</t>
  </si>
  <si>
    <t>Tae UI-1.4</t>
  </si>
  <si>
    <t>Tae UI-1,3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</si>
</sst>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6" fillId="0" borderId="29" xfId="0" applyFont="1" applyBorder="1"/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19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right" vertical="center" wrapText="1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35428" y="4817993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54798" y="4789418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90363" y="4817993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7735" y="4765431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61972" y="4736856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600104" y="4765431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abSelected="1" topLeftCell="D1" zoomScale="92" zoomScaleNormal="70" workbookViewId="0">
      <selection activeCell="D8" sqref="D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597" t="s">
        <v>3</v>
      </c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8"/>
      <c r="BB2" s="598"/>
      <c r="BC2" s="598"/>
      <c r="BD2" s="598"/>
      <c r="BE2" s="598"/>
      <c r="BF2" s="598"/>
      <c r="BG2" s="598"/>
      <c r="BH2" s="598"/>
      <c r="BI2" s="598"/>
      <c r="BJ2" s="598"/>
      <c r="BK2" s="598"/>
      <c r="BL2" s="598"/>
      <c r="BM2" s="599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00"/>
      <c r="AQ3" s="601"/>
      <c r="AR3" s="601"/>
      <c r="AS3" s="601"/>
      <c r="AT3" s="601"/>
      <c r="AU3" s="601"/>
      <c r="AV3" s="601"/>
      <c r="AW3" s="601"/>
      <c r="AX3" s="601"/>
      <c r="AY3" s="601"/>
      <c r="AZ3" s="601"/>
      <c r="BA3" s="601"/>
      <c r="BB3" s="601"/>
      <c r="BC3" s="601"/>
      <c r="BD3" s="601"/>
      <c r="BE3" s="601"/>
      <c r="BF3" s="601"/>
      <c r="BG3" s="601"/>
      <c r="BH3" s="601"/>
      <c r="BI3" s="601"/>
      <c r="BJ3" s="601"/>
      <c r="BK3" s="601"/>
      <c r="BL3" s="601"/>
      <c r="BM3" s="602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03" t="s">
        <v>5</v>
      </c>
      <c r="I5" s="593"/>
      <c r="J5" s="604"/>
      <c r="K5" s="231">
        <v>46134</v>
      </c>
      <c r="L5" s="229"/>
      <c r="M5" s="229"/>
      <c r="N5" s="230"/>
      <c r="O5" s="126"/>
      <c r="P5" s="136" t="s">
        <v>6</v>
      </c>
      <c r="Q5" s="140"/>
      <c r="R5" s="592" t="s">
        <v>181</v>
      </c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>
        <v>13655</v>
      </c>
      <c r="E6" s="139"/>
      <c r="F6" s="139"/>
      <c r="G6" s="139"/>
      <c r="H6" s="603" t="s">
        <v>8</v>
      </c>
      <c r="I6" s="593"/>
      <c r="J6" s="604"/>
      <c r="K6" s="231">
        <v>46136</v>
      </c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104</v>
      </c>
      <c r="E7" s="139"/>
      <c r="F7" s="139"/>
      <c r="G7" s="126"/>
      <c r="H7" s="603" t="s">
        <v>239</v>
      </c>
      <c r="I7" s="593"/>
      <c r="J7" s="604"/>
      <c r="K7" s="245" t="s">
        <v>241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198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20"/>
      <c r="R11" s="609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13.666044002223705</v>
      </c>
      <c r="P12" s="296">
        <f t="shared" si="0"/>
        <v>54.66417600889482</v>
      </c>
      <c r="Q12" s="617" t="s">
        <v>23</v>
      </c>
      <c r="R12" s="609"/>
      <c r="S12" s="284">
        <f>ROUNDUP(AI49/6,0)</f>
        <v>5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21" t="s">
        <v>25</v>
      </c>
      <c r="AQ12" s="601"/>
      <c r="AR12" s="601"/>
      <c r="AS12" s="622" t="s">
        <v>26</v>
      </c>
      <c r="AT12" s="601"/>
      <c r="AU12" s="601"/>
      <c r="AV12" s="619" t="s">
        <v>27</v>
      </c>
      <c r="AW12" s="601"/>
      <c r="AX12" s="619" t="s">
        <v>28</v>
      </c>
      <c r="AY12" s="601"/>
      <c r="AZ12" s="601"/>
      <c r="BA12" s="619" t="s">
        <v>29</v>
      </c>
      <c r="BB12" s="601"/>
      <c r="BC12" s="619" t="s">
        <v>30</v>
      </c>
      <c r="BD12" s="601"/>
      <c r="BE12" s="601"/>
      <c r="BF12" s="619" t="s">
        <v>31</v>
      </c>
      <c r="BG12" s="601"/>
      <c r="BH12" s="601"/>
      <c r="BI12" s="619" t="s">
        <v>32</v>
      </c>
      <c r="BJ12" s="601"/>
      <c r="BK12" s="601"/>
      <c r="BL12" s="619" t="s">
        <v>33</v>
      </c>
      <c r="BM12" s="602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617" t="s">
        <v>34</v>
      </c>
      <c r="R13" s="609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628" t="s">
        <v>238</v>
      </c>
      <c r="AC13" s="628"/>
      <c r="AD13" s="628"/>
      <c r="AE13" s="628"/>
      <c r="AF13" s="628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617" t="s">
        <v>35</v>
      </c>
      <c r="R14" s="609"/>
      <c r="S14" s="301">
        <f>S12*2</f>
        <v>10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617" t="s">
        <v>36</v>
      </c>
      <c r="R15" s="609"/>
      <c r="S15" s="298">
        <f>ROUNDUP(AI49/16,0)</f>
        <v>2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617" t="s">
        <v>38</v>
      </c>
      <c r="R16" s="609"/>
      <c r="S16" s="284">
        <f>ROUNDUP(AI49/2,0)</f>
        <v>14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13.666044002223705</v>
      </c>
      <c r="P17" s="306">
        <f t="shared" si="1"/>
        <v>54.66417600889482</v>
      </c>
      <c r="Q17" s="617" t="s">
        <v>40</v>
      </c>
      <c r="R17" s="609"/>
      <c r="S17" s="284">
        <f>ROUNDUP(AI49/6,0)</f>
        <v>5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19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10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136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9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595" t="s">
        <v>242</v>
      </c>
      <c r="E29" s="596"/>
      <c r="F29" s="592" t="s">
        <v>98</v>
      </c>
      <c r="G29" s="593"/>
      <c r="H29" s="594"/>
      <c r="I29" s="192">
        <v>1</v>
      </c>
      <c r="J29" s="192">
        <v>65</v>
      </c>
      <c r="K29" s="192">
        <v>30</v>
      </c>
      <c r="L29" s="192"/>
      <c r="M29" s="192"/>
      <c r="N29" s="595"/>
      <c r="O29" s="593"/>
      <c r="P29" s="594"/>
      <c r="Q29" s="192"/>
      <c r="R29" s="192"/>
      <c r="S29" s="192">
        <v>0.4</v>
      </c>
      <c r="T29" s="192"/>
      <c r="U29" s="192"/>
      <c r="V29" s="193"/>
      <c r="W29" s="194"/>
      <c r="X29" s="192"/>
      <c r="Y29" s="192"/>
      <c r="Z29" s="195"/>
      <c r="AA29" s="595" t="s">
        <v>136</v>
      </c>
      <c r="AB29" s="594"/>
      <c r="AC29" s="595" t="s">
        <v>136</v>
      </c>
      <c r="AD29" s="594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8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1.0051599999999998</v>
      </c>
      <c r="AN29" s="290">
        <f t="shared" ref="AN29:AN48" si="8">IF(ISERROR(AM29*(IF(AJ29=1,8,IF(AJ29=0.8,6.4,IF(AJ29=0.6,4.8,IF(AJ29=0.5,4)))))),"",AM29*(IF(AJ29=1,8,IF(AJ29=0.8,6.4,IF(AJ29=0.6,4.8,IF(AJ29=0.5,4))))))</f>
        <v>4.0206399999999993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1.0051599999999998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595"/>
      <c r="E30" s="596"/>
      <c r="F30" s="592" t="s">
        <v>98</v>
      </c>
      <c r="G30" s="593"/>
      <c r="H30" s="594"/>
      <c r="I30" s="192">
        <v>1</v>
      </c>
      <c r="J30" s="192">
        <v>65</v>
      </c>
      <c r="K30" s="192">
        <v>30</v>
      </c>
      <c r="L30" s="192"/>
      <c r="M30" s="192"/>
      <c r="N30" s="595"/>
      <c r="O30" s="593"/>
      <c r="P30" s="594"/>
      <c r="Q30" s="192"/>
      <c r="R30" s="192"/>
      <c r="S30" s="192">
        <v>0.85</v>
      </c>
      <c r="T30" s="192"/>
      <c r="U30" s="192"/>
      <c r="V30" s="193"/>
      <c r="W30" s="194"/>
      <c r="X30" s="192"/>
      <c r="Y30" s="192"/>
      <c r="Z30" s="195"/>
      <c r="AA30" s="595" t="s">
        <v>136</v>
      </c>
      <c r="AB30" s="594"/>
      <c r="AC30" s="595" t="s">
        <v>136</v>
      </c>
      <c r="AD30" s="594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8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1.8750099999999998</v>
      </c>
      <c r="AN30" s="290">
        <f t="shared" si="8"/>
        <v>7.5000399999999994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1.8750099999999998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227"/>
      <c r="C31" s="192"/>
      <c r="D31" s="595"/>
      <c r="E31" s="596"/>
      <c r="F31" s="592" t="s">
        <v>105</v>
      </c>
      <c r="G31" s="593"/>
      <c r="H31" s="594"/>
      <c r="I31" s="192">
        <v>1</v>
      </c>
      <c r="J31" s="192">
        <v>65</v>
      </c>
      <c r="K31" s="192">
        <v>30</v>
      </c>
      <c r="L31" s="192"/>
      <c r="M31" s="192"/>
      <c r="N31" s="595"/>
      <c r="O31" s="593"/>
      <c r="P31" s="594"/>
      <c r="Q31" s="192"/>
      <c r="R31" s="192"/>
      <c r="S31" s="192">
        <v>0.2</v>
      </c>
      <c r="T31" s="192"/>
      <c r="U31" s="192"/>
      <c r="V31" s="193"/>
      <c r="W31" s="194"/>
      <c r="X31" s="192"/>
      <c r="Y31" s="192"/>
      <c r="Z31" s="228"/>
      <c r="AA31" s="595" t="s">
        <v>136</v>
      </c>
      <c r="AB31" s="594"/>
      <c r="AC31" s="595" t="s">
        <v>136</v>
      </c>
      <c r="AD31" s="594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 t="str">
        <f t="shared" si="7"/>
        <v/>
      </c>
      <c r="AN31" s="290" t="str">
        <f t="shared" ref="AN31:AN46" si="37">IF(ISERROR(AM31*(IF(AJ31=1,8,IF(AJ31=0.8,6.4,IF(AJ31=0.6,4.8,IF(AJ31=0.5,4)))))),"",AM31*(IF(AJ31=1,8,IF(AJ31=0.8,6.4,IF(AJ31=0.6,4.8,IF(AJ31=0.5,4))))))</f>
        <v/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 t="str">
        <f t="shared" si="12"/>
        <v>N/D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595"/>
      <c r="E32" s="596"/>
      <c r="F32" s="592" t="s">
        <v>87</v>
      </c>
      <c r="G32" s="593"/>
      <c r="H32" s="594"/>
      <c r="I32" s="192">
        <v>1</v>
      </c>
      <c r="J32" s="192">
        <v>30</v>
      </c>
      <c r="K32" s="192">
        <v>65</v>
      </c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 t="s">
        <v>136</v>
      </c>
      <c r="AB32" s="594"/>
      <c r="AC32" s="595" t="s">
        <v>136</v>
      </c>
      <c r="AD32" s="594"/>
      <c r="AE32" s="197"/>
      <c r="AF32" s="284">
        <f t="shared" si="2"/>
        <v>1</v>
      </c>
      <c r="AG32" s="285">
        <f t="shared" si="3"/>
        <v>0</v>
      </c>
      <c r="AH32" s="285">
        <f t="shared" si="4"/>
        <v>8</v>
      </c>
      <c r="AI32" s="286">
        <f t="shared" si="5"/>
        <v>0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1.255659029126972</v>
      </c>
      <c r="AN32" s="290">
        <f t="shared" si="37"/>
        <v>5.0226361165078881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>
        <f t="shared" si="12"/>
        <v>1.255659029126972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5" t="s">
        <v>243</v>
      </c>
      <c r="E33" s="596"/>
      <c r="F33" s="592" t="s">
        <v>100</v>
      </c>
      <c r="G33" s="593"/>
      <c r="H33" s="594"/>
      <c r="I33" s="192">
        <v>1</v>
      </c>
      <c r="J33" s="192">
        <v>140</v>
      </c>
      <c r="K33" s="192">
        <v>30</v>
      </c>
      <c r="L33" s="192"/>
      <c r="M33" s="192"/>
      <c r="N33" s="595"/>
      <c r="O33" s="593"/>
      <c r="P33" s="594"/>
      <c r="Q33" s="192"/>
      <c r="R33" s="192"/>
      <c r="S33" s="192">
        <v>0.6</v>
      </c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0</v>
      </c>
      <c r="AJ33" s="287">
        <f t="shared" si="36"/>
        <v>1</v>
      </c>
      <c r="AK33" s="288"/>
      <c r="AL33" s="289">
        <f t="shared" si="6"/>
        <v>1</v>
      </c>
      <c r="AM33" s="290" t="str">
        <f t="shared" si="7"/>
        <v/>
      </c>
      <c r="AN33" s="290" t="str">
        <f t="shared" si="37"/>
        <v/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24"/>
        <v>N/D</v>
      </c>
      <c r="BF33" s="280" t="e">
        <f t="shared" si="25"/>
        <v>#N/A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5"/>
      <c r="E34" s="596"/>
      <c r="F34" s="592" t="s">
        <v>98</v>
      </c>
      <c r="G34" s="593"/>
      <c r="H34" s="594"/>
      <c r="I34" s="192">
        <v>1</v>
      </c>
      <c r="J34" s="192">
        <v>65</v>
      </c>
      <c r="K34" s="192">
        <v>30</v>
      </c>
      <c r="L34" s="192"/>
      <c r="M34" s="192"/>
      <c r="N34" s="595"/>
      <c r="O34" s="593"/>
      <c r="P34" s="594"/>
      <c r="Q34" s="192"/>
      <c r="R34" s="192"/>
      <c r="S34" s="192">
        <v>0.6</v>
      </c>
      <c r="T34" s="192"/>
      <c r="U34" s="192"/>
      <c r="V34" s="193"/>
      <c r="W34" s="194"/>
      <c r="X34" s="192"/>
      <c r="Y34" s="192"/>
      <c r="Z34" s="195"/>
      <c r="AA34" s="595" t="s">
        <v>136</v>
      </c>
      <c r="AB34" s="594"/>
      <c r="AC34" s="595" t="s">
        <v>137</v>
      </c>
      <c r="AD34" s="594"/>
      <c r="AE34" s="197"/>
      <c r="AF34" s="284">
        <f t="shared" si="2"/>
        <v>1</v>
      </c>
      <c r="AG34" s="285">
        <f t="shared" si="3"/>
        <v>0</v>
      </c>
      <c r="AH34" s="285">
        <f t="shared" si="4"/>
        <v>0</v>
      </c>
      <c r="AI34" s="286">
        <f t="shared" si="5"/>
        <v>4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1.2757799999999999</v>
      </c>
      <c r="AN34" s="290">
        <f t="shared" si="37"/>
        <v>5.1031199999999997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>
        <f t="shared" si="23"/>
        <v>1.2757799999999999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 t="str">
        <f t="shared" si="32"/>
        <v>N/D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5"/>
      <c r="E35" s="596"/>
      <c r="F35" s="592" t="s">
        <v>105</v>
      </c>
      <c r="G35" s="593"/>
      <c r="H35" s="594"/>
      <c r="I35" s="192">
        <v>1</v>
      </c>
      <c r="J35" s="192">
        <v>45</v>
      </c>
      <c r="K35" s="192">
        <v>25</v>
      </c>
      <c r="L35" s="192"/>
      <c r="M35" s="192"/>
      <c r="N35" s="595"/>
      <c r="O35" s="593"/>
      <c r="P35" s="594"/>
      <c r="Q35" s="192"/>
      <c r="R35" s="192"/>
      <c r="S35" s="192">
        <v>0.2</v>
      </c>
      <c r="T35" s="192"/>
      <c r="U35" s="192"/>
      <c r="V35" s="193"/>
      <c r="W35" s="194"/>
      <c r="X35" s="192"/>
      <c r="Y35" s="192"/>
      <c r="Z35" s="195"/>
      <c r="AA35" s="595" t="s">
        <v>136</v>
      </c>
      <c r="AB35" s="594"/>
      <c r="AC35" s="595" t="s">
        <v>145</v>
      </c>
      <c r="AD35" s="594"/>
      <c r="AE35" s="197"/>
      <c r="AF35" s="284">
        <f t="shared" si="2"/>
        <v>1</v>
      </c>
      <c r="AG35" s="285">
        <f t="shared" si="3"/>
        <v>0</v>
      </c>
      <c r="AH35" s="285">
        <f t="shared" si="4"/>
        <v>4</v>
      </c>
      <c r="AI35" s="286">
        <f t="shared" si="5"/>
        <v>0</v>
      </c>
      <c r="AJ35" s="287">
        <f t="shared" si="36"/>
        <v>0.5</v>
      </c>
      <c r="AK35" s="288"/>
      <c r="AL35" s="289">
        <f t="shared" si="6"/>
        <v>0.5</v>
      </c>
      <c r="AM35" s="290" t="str">
        <f t="shared" si="7"/>
        <v/>
      </c>
      <c r="AN35" s="290" t="str">
        <f t="shared" si="37"/>
        <v/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5" t="s">
        <v>244</v>
      </c>
      <c r="E36" s="596"/>
      <c r="F36" s="592" t="s">
        <v>98</v>
      </c>
      <c r="G36" s="593"/>
      <c r="H36" s="594"/>
      <c r="I36" s="192">
        <v>1</v>
      </c>
      <c r="J36" s="192">
        <v>45</v>
      </c>
      <c r="K36" s="192">
        <v>20</v>
      </c>
      <c r="L36" s="192"/>
      <c r="M36" s="192"/>
      <c r="N36" s="595"/>
      <c r="O36" s="593"/>
      <c r="P36" s="594"/>
      <c r="Q36" s="192"/>
      <c r="R36" s="192"/>
      <c r="S36" s="192">
        <v>0.1</v>
      </c>
      <c r="T36" s="192"/>
      <c r="U36" s="192"/>
      <c r="V36" s="193"/>
      <c r="W36" s="194"/>
      <c r="X36" s="192"/>
      <c r="Y36" s="192"/>
      <c r="Z36" s="195"/>
      <c r="AA36" s="595" t="s">
        <v>136</v>
      </c>
      <c r="AB36" s="594"/>
      <c r="AC36" s="595" t="s">
        <v>136</v>
      </c>
      <c r="AD36" s="594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8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0.29325999999999997</v>
      </c>
      <c r="AN36" s="290">
        <f t="shared" si="37"/>
        <v>1.1730399999999999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>
        <f t="shared" si="23"/>
        <v>0.29325999999999997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5"/>
      <c r="E37" s="596"/>
      <c r="F37" s="592" t="s">
        <v>105</v>
      </c>
      <c r="G37" s="593"/>
      <c r="H37" s="594"/>
      <c r="I37" s="192">
        <v>1</v>
      </c>
      <c r="J37" s="192">
        <v>45</v>
      </c>
      <c r="K37" s="192">
        <v>20</v>
      </c>
      <c r="L37" s="192"/>
      <c r="M37" s="192"/>
      <c r="N37" s="595"/>
      <c r="O37" s="593"/>
      <c r="P37" s="594"/>
      <c r="Q37" s="192"/>
      <c r="R37" s="192"/>
      <c r="S37" s="192">
        <v>0.2</v>
      </c>
      <c r="T37" s="192"/>
      <c r="U37" s="192"/>
      <c r="V37" s="193"/>
      <c r="W37" s="194"/>
      <c r="X37" s="192"/>
      <c r="Y37" s="192"/>
      <c r="Z37" s="195"/>
      <c r="AA37" s="595" t="s">
        <v>136</v>
      </c>
      <c r="AB37" s="594"/>
      <c r="AC37" s="595" t="s">
        <v>145</v>
      </c>
      <c r="AD37" s="594"/>
      <c r="AE37" s="197"/>
      <c r="AF37" s="284">
        <f t="shared" si="2"/>
        <v>1</v>
      </c>
      <c r="AG37" s="285">
        <f t="shared" si="3"/>
        <v>0</v>
      </c>
      <c r="AH37" s="285">
        <f t="shared" si="4"/>
        <v>4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 t="str">
        <f t="shared" si="7"/>
        <v/>
      </c>
      <c r="AN37" s="290" t="str">
        <f t="shared" si="37"/>
        <v/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 t="str">
        <f t="shared" si="31"/>
        <v>N/D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5" t="s">
        <v>245</v>
      </c>
      <c r="E38" s="596"/>
      <c r="F38" s="592" t="s">
        <v>87</v>
      </c>
      <c r="G38" s="593"/>
      <c r="H38" s="594"/>
      <c r="I38" s="192">
        <v>1</v>
      </c>
      <c r="J38" s="192">
        <v>25</v>
      </c>
      <c r="K38" s="192">
        <v>30</v>
      </c>
      <c r="L38" s="192">
        <v>5</v>
      </c>
      <c r="M38" s="192"/>
      <c r="N38" s="595"/>
      <c r="O38" s="593"/>
      <c r="P38" s="594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5" t="s">
        <v>136</v>
      </c>
      <c r="AB38" s="594"/>
      <c r="AC38" s="595" t="s">
        <v>136</v>
      </c>
      <c r="AD38" s="594"/>
      <c r="AE38" s="197"/>
      <c r="AF38" s="284">
        <f t="shared" si="2"/>
        <v>1</v>
      </c>
      <c r="AG38" s="285">
        <f t="shared" si="3"/>
        <v>0</v>
      </c>
      <c r="AH38" s="285">
        <f t="shared" si="4"/>
        <v>8</v>
      </c>
      <c r="AI38" s="286">
        <f t="shared" si="5"/>
        <v>0</v>
      </c>
      <c r="AJ38" s="287">
        <f t="shared" si="36"/>
        <v>0.5</v>
      </c>
      <c r="AK38" s="288"/>
      <c r="AL38" s="289">
        <f t="shared" si="6"/>
        <v>0.5</v>
      </c>
      <c r="AM38" s="290">
        <f t="shared" si="7"/>
        <v>0.59681128930982452</v>
      </c>
      <c r="AN38" s="290">
        <f t="shared" si="37"/>
        <v>2.3872451572392981</v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>
        <f t="shared" si="12"/>
        <v>0.59681128930982452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5"/>
      <c r="E39" s="596"/>
      <c r="F39" s="592" t="s">
        <v>105</v>
      </c>
      <c r="G39" s="593"/>
      <c r="H39" s="594"/>
      <c r="I39" s="192">
        <v>1</v>
      </c>
      <c r="J39" s="192">
        <v>35</v>
      </c>
      <c r="K39" s="192">
        <v>30</v>
      </c>
      <c r="L39" s="192"/>
      <c r="M39" s="192"/>
      <c r="N39" s="595"/>
      <c r="O39" s="593"/>
      <c r="P39" s="594"/>
      <c r="Q39" s="192"/>
      <c r="R39" s="192"/>
      <c r="S39" s="192">
        <v>0.2</v>
      </c>
      <c r="T39" s="192"/>
      <c r="U39" s="192"/>
      <c r="V39" s="193"/>
      <c r="W39" s="194"/>
      <c r="X39" s="192"/>
      <c r="Y39" s="192"/>
      <c r="Z39" s="195"/>
      <c r="AA39" s="595" t="s">
        <v>136</v>
      </c>
      <c r="AB39" s="594"/>
      <c r="AC39" s="595" t="s">
        <v>136</v>
      </c>
      <c r="AD39" s="594"/>
      <c r="AE39" s="197"/>
      <c r="AF39" s="284">
        <f t="shared" si="2"/>
        <v>1</v>
      </c>
      <c r="AG39" s="285">
        <f t="shared" si="3"/>
        <v>0</v>
      </c>
      <c r="AH39" s="285">
        <f t="shared" si="4"/>
        <v>8</v>
      </c>
      <c r="AI39" s="286">
        <f t="shared" si="5"/>
        <v>0</v>
      </c>
      <c r="AJ39" s="287">
        <f t="shared" si="36"/>
        <v>0.5</v>
      </c>
      <c r="AK39" s="288"/>
      <c r="AL39" s="289">
        <f t="shared" si="6"/>
        <v>0.5</v>
      </c>
      <c r="AM39" s="290" t="str">
        <f t="shared" si="7"/>
        <v/>
      </c>
      <c r="AN39" s="290" t="str">
        <f t="shared" si="37"/>
        <v/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5"/>
      <c r="E40" s="596"/>
      <c r="F40" s="592" t="s">
        <v>87</v>
      </c>
      <c r="G40" s="593"/>
      <c r="H40" s="594"/>
      <c r="I40" s="192">
        <v>1</v>
      </c>
      <c r="J40" s="192">
        <v>35</v>
      </c>
      <c r="K40" s="192">
        <v>30</v>
      </c>
      <c r="L40" s="192"/>
      <c r="M40" s="192"/>
      <c r="N40" s="595"/>
      <c r="O40" s="593"/>
      <c r="P40" s="594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5" t="s">
        <v>136</v>
      </c>
      <c r="AB40" s="594"/>
      <c r="AC40" s="595" t="s">
        <v>136</v>
      </c>
      <c r="AD40" s="594"/>
      <c r="AE40" s="197"/>
      <c r="AF40" s="284">
        <f t="shared" si="2"/>
        <v>1</v>
      </c>
      <c r="AG40" s="285">
        <f t="shared" si="3"/>
        <v>0</v>
      </c>
      <c r="AH40" s="285">
        <f t="shared" si="4"/>
        <v>8</v>
      </c>
      <c r="AI40" s="286">
        <f t="shared" si="5"/>
        <v>0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0.94112807626984019</v>
      </c>
      <c r="AN40" s="290">
        <f t="shared" si="37"/>
        <v>3.7645123050793607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>
        <f t="shared" si="12"/>
        <v>0.94112807626984019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5"/>
      <c r="E41" s="596"/>
      <c r="F41" s="592" t="s">
        <v>33</v>
      </c>
      <c r="G41" s="593"/>
      <c r="H41" s="594"/>
      <c r="I41" s="192">
        <v>1</v>
      </c>
      <c r="J41" s="192">
        <v>30</v>
      </c>
      <c r="K41" s="192">
        <v>35</v>
      </c>
      <c r="L41" s="192"/>
      <c r="M41" s="192">
        <v>47</v>
      </c>
      <c r="N41" s="595"/>
      <c r="O41" s="593"/>
      <c r="P41" s="594"/>
      <c r="Q41" s="192"/>
      <c r="R41" s="192"/>
      <c r="S41" s="192">
        <v>0.9</v>
      </c>
      <c r="T41" s="192"/>
      <c r="U41" s="192"/>
      <c r="V41" s="193"/>
      <c r="W41" s="194"/>
      <c r="X41" s="192"/>
      <c r="Y41" s="192"/>
      <c r="Z41" s="195"/>
      <c r="AA41" s="595" t="s">
        <v>136</v>
      </c>
      <c r="AB41" s="594"/>
      <c r="AC41" s="595" t="s">
        <v>136</v>
      </c>
      <c r="AD41" s="594"/>
      <c r="AE41" s="197"/>
      <c r="AF41" s="284">
        <f t="shared" si="2"/>
        <v>1</v>
      </c>
      <c r="AG41" s="285">
        <f t="shared" si="3"/>
        <v>0</v>
      </c>
      <c r="AH41" s="285">
        <f t="shared" si="4"/>
        <v>8</v>
      </c>
      <c r="AI41" s="286">
        <f t="shared" si="5"/>
        <v>0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1.3596599999999999</v>
      </c>
      <c r="AN41" s="290">
        <f t="shared" si="37"/>
        <v>5.4386399999999995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24"/>
        <v>N/D</v>
      </c>
      <c r="BF41" s="280" t="str">
        <f t="shared" si="25"/>
        <v>N/D</v>
      </c>
      <c r="BG41" s="280">
        <f t="shared" si="26"/>
        <v>1.3596599999999999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5"/>
      <c r="E42" s="596"/>
      <c r="F42" s="592" t="s">
        <v>33</v>
      </c>
      <c r="G42" s="593"/>
      <c r="H42" s="594"/>
      <c r="I42" s="192">
        <v>1</v>
      </c>
      <c r="J42" s="192">
        <v>35</v>
      </c>
      <c r="K42" s="192">
        <v>30</v>
      </c>
      <c r="L42" s="192"/>
      <c r="M42" s="192">
        <v>35</v>
      </c>
      <c r="N42" s="595"/>
      <c r="O42" s="593"/>
      <c r="P42" s="594"/>
      <c r="Q42" s="192"/>
      <c r="R42" s="192"/>
      <c r="S42" s="192">
        <v>0.85</v>
      </c>
      <c r="T42" s="192"/>
      <c r="U42" s="192"/>
      <c r="V42" s="193"/>
      <c r="W42" s="194"/>
      <c r="X42" s="192"/>
      <c r="Y42" s="192"/>
      <c r="Z42" s="195"/>
      <c r="AA42" s="595" t="s">
        <v>136</v>
      </c>
      <c r="AB42" s="594"/>
      <c r="AC42" s="595" t="s">
        <v>136</v>
      </c>
      <c r="AD42" s="594"/>
      <c r="AE42" s="197"/>
      <c r="AF42" s="284">
        <f t="shared" si="2"/>
        <v>1</v>
      </c>
      <c r="AG42" s="285">
        <f t="shared" si="3"/>
        <v>0</v>
      </c>
      <c r="AH42" s="285">
        <f t="shared" si="4"/>
        <v>8</v>
      </c>
      <c r="AI42" s="286">
        <f t="shared" si="5"/>
        <v>0</v>
      </c>
      <c r="AJ42" s="287">
        <f t="shared" si="36"/>
        <v>0.5</v>
      </c>
      <c r="AK42" s="288"/>
      <c r="AL42" s="289">
        <f t="shared" si="6"/>
        <v>0.5</v>
      </c>
      <c r="AM42" s="290">
        <f t="shared" si="7"/>
        <v>1.2930099999999998</v>
      </c>
      <c r="AN42" s="290">
        <f t="shared" si="37"/>
        <v>5.1720399999999991</v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>
        <f t="shared" si="26"/>
        <v>1.2930099999999998</v>
      </c>
      <c r="BH42" s="280" t="str">
        <f t="shared" si="27"/>
        <v>N/D</v>
      </c>
      <c r="BI42" s="280" t="str">
        <f t="shared" si="38"/>
        <v>N/D</v>
      </c>
      <c r="BJ42" s="280" t="str">
        <f t="shared" si="31"/>
        <v>N/D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5" t="s">
        <v>246</v>
      </c>
      <c r="E43" s="596"/>
      <c r="F43" s="592" t="s">
        <v>104</v>
      </c>
      <c r="G43" s="593"/>
      <c r="H43" s="594"/>
      <c r="I43" s="192">
        <v>1</v>
      </c>
      <c r="J43" s="192">
        <v>55</v>
      </c>
      <c r="K43" s="192">
        <v>30</v>
      </c>
      <c r="L43" s="192"/>
      <c r="M43" s="192"/>
      <c r="N43" s="595" t="s">
        <v>138</v>
      </c>
      <c r="O43" s="593"/>
      <c r="P43" s="594"/>
      <c r="Q43" s="192">
        <v>35</v>
      </c>
      <c r="R43" s="192">
        <v>30</v>
      </c>
      <c r="S43" s="192">
        <v>0.2</v>
      </c>
      <c r="T43" s="192"/>
      <c r="U43" s="192"/>
      <c r="V43" s="193"/>
      <c r="W43" s="194"/>
      <c r="X43" s="192"/>
      <c r="Y43" s="192"/>
      <c r="Z43" s="195"/>
      <c r="AA43" s="595" t="s">
        <v>136</v>
      </c>
      <c r="AB43" s="594"/>
      <c r="AC43" s="595" t="s">
        <v>136</v>
      </c>
      <c r="AD43" s="594"/>
      <c r="AE43" s="197"/>
      <c r="AF43" s="284">
        <f t="shared" si="2"/>
        <v>1</v>
      </c>
      <c r="AG43" s="285">
        <f t="shared" si="3"/>
        <v>0</v>
      </c>
      <c r="AH43" s="285">
        <f t="shared" si="4"/>
        <v>8</v>
      </c>
      <c r="AI43" s="286">
        <f t="shared" si="5"/>
        <v>0</v>
      </c>
      <c r="AJ43" s="287">
        <f t="shared" si="36"/>
        <v>0.5</v>
      </c>
      <c r="AK43" s="288"/>
      <c r="AL43" s="289">
        <f t="shared" si="6"/>
        <v>0.5</v>
      </c>
      <c r="AM43" s="290">
        <f t="shared" si="7"/>
        <v>0.52224000000000004</v>
      </c>
      <c r="AN43" s="290">
        <f t="shared" si="37"/>
        <v>2.0889600000000002</v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>
        <f t="shared" si="32"/>
        <v>0.52224000000000004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5"/>
      <c r="E44" s="596"/>
      <c r="F44" s="592" t="s">
        <v>104</v>
      </c>
      <c r="G44" s="593"/>
      <c r="H44" s="594"/>
      <c r="I44" s="192">
        <v>1</v>
      </c>
      <c r="J44" s="192">
        <v>35</v>
      </c>
      <c r="K44" s="192">
        <v>30</v>
      </c>
      <c r="L44" s="192"/>
      <c r="M44" s="192"/>
      <c r="N44" s="595" t="s">
        <v>132</v>
      </c>
      <c r="O44" s="593"/>
      <c r="P44" s="594"/>
      <c r="Q44" s="192">
        <v>35</v>
      </c>
      <c r="R44" s="192">
        <v>20</v>
      </c>
      <c r="S44" s="192">
        <v>0.6</v>
      </c>
      <c r="T44" s="192"/>
      <c r="U44" s="192"/>
      <c r="V44" s="193"/>
      <c r="W44" s="194"/>
      <c r="X44" s="192"/>
      <c r="Y44" s="192"/>
      <c r="Z44" s="195"/>
      <c r="AA44" s="595" t="s">
        <v>136</v>
      </c>
      <c r="AB44" s="594"/>
      <c r="AC44" s="595" t="s">
        <v>136</v>
      </c>
      <c r="AD44" s="594"/>
      <c r="AE44" s="197"/>
      <c r="AF44" s="284">
        <f t="shared" si="2"/>
        <v>1</v>
      </c>
      <c r="AG44" s="285">
        <f t="shared" si="3"/>
        <v>0</v>
      </c>
      <c r="AH44" s="285">
        <f t="shared" si="4"/>
        <v>8</v>
      </c>
      <c r="AI44" s="286">
        <f t="shared" si="5"/>
        <v>0</v>
      </c>
      <c r="AJ44" s="287">
        <f t="shared" si="36"/>
        <v>0.5</v>
      </c>
      <c r="AK44" s="288"/>
      <c r="AL44" s="289">
        <f t="shared" si="6"/>
        <v>0.5</v>
      </c>
      <c r="AM44" s="290">
        <f t="shared" si="7"/>
        <v>0.95904000000000011</v>
      </c>
      <c r="AN44" s="290">
        <f t="shared" si="37"/>
        <v>3.8361600000000005</v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>
        <f t="shared" si="32"/>
        <v>0.95904000000000011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5"/>
      <c r="E45" s="596"/>
      <c r="F45" s="592" t="s">
        <v>87</v>
      </c>
      <c r="G45" s="593"/>
      <c r="H45" s="594"/>
      <c r="I45" s="192">
        <v>1</v>
      </c>
      <c r="J45" s="192">
        <v>35</v>
      </c>
      <c r="K45" s="192">
        <v>20</v>
      </c>
      <c r="L45" s="192">
        <v>10</v>
      </c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 t="s">
        <v>136</v>
      </c>
      <c r="AB45" s="594"/>
      <c r="AC45" s="595" t="s">
        <v>136</v>
      </c>
      <c r="AD45" s="594"/>
      <c r="AE45" s="197"/>
      <c r="AF45" s="284">
        <f t="shared" si="2"/>
        <v>1</v>
      </c>
      <c r="AG45" s="285">
        <f t="shared" si="3"/>
        <v>0</v>
      </c>
      <c r="AH45" s="285">
        <f t="shared" si="4"/>
        <v>8</v>
      </c>
      <c r="AI45" s="286">
        <f t="shared" si="5"/>
        <v>0</v>
      </c>
      <c r="AJ45" s="287">
        <f t="shared" si="36"/>
        <v>0.5</v>
      </c>
      <c r="AK45" s="288"/>
      <c r="AL45" s="289">
        <f t="shared" si="6"/>
        <v>0.5</v>
      </c>
      <c r="AM45" s="290">
        <f t="shared" si="7"/>
        <v>0.80968560751706897</v>
      </c>
      <c r="AN45" s="290">
        <f t="shared" si="37"/>
        <v>3.2387424300682759</v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>
        <f t="shared" si="12"/>
        <v>0.80968560751706897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5"/>
      <c r="E46" s="596"/>
      <c r="F46" s="592" t="s">
        <v>105</v>
      </c>
      <c r="G46" s="593"/>
      <c r="H46" s="594"/>
      <c r="I46" s="192">
        <v>1</v>
      </c>
      <c r="J46" s="192">
        <v>35</v>
      </c>
      <c r="K46" s="192">
        <v>20</v>
      </c>
      <c r="L46" s="192"/>
      <c r="M46" s="192"/>
      <c r="N46" s="595"/>
      <c r="O46" s="593"/>
      <c r="P46" s="594"/>
      <c r="Q46" s="192"/>
      <c r="R46" s="192"/>
      <c r="S46" s="192">
        <v>0.2</v>
      </c>
      <c r="T46" s="192"/>
      <c r="U46" s="192"/>
      <c r="V46" s="193"/>
      <c r="W46" s="194"/>
      <c r="X46" s="192"/>
      <c r="Y46" s="192"/>
      <c r="Z46" s="195"/>
      <c r="AA46" s="595" t="s">
        <v>136</v>
      </c>
      <c r="AB46" s="594"/>
      <c r="AC46" s="595" t="s">
        <v>145</v>
      </c>
      <c r="AD46" s="594"/>
      <c r="AE46" s="197"/>
      <c r="AF46" s="284">
        <f t="shared" si="2"/>
        <v>1</v>
      </c>
      <c r="AG46" s="285">
        <f t="shared" si="3"/>
        <v>0</v>
      </c>
      <c r="AH46" s="285">
        <f t="shared" si="4"/>
        <v>4</v>
      </c>
      <c r="AI46" s="286">
        <f t="shared" si="5"/>
        <v>0</v>
      </c>
      <c r="AJ46" s="287">
        <f t="shared" si="36"/>
        <v>0.5</v>
      </c>
      <c r="AK46" s="288"/>
      <c r="AL46" s="289">
        <f t="shared" si="6"/>
        <v>0.5</v>
      </c>
      <c r="AM46" s="290" t="str">
        <f t="shared" si="7"/>
        <v/>
      </c>
      <c r="AN46" s="290" t="str">
        <f t="shared" si="37"/>
        <v/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5"/>
      <c r="E47" s="596"/>
      <c r="F47" s="592" t="s">
        <v>33</v>
      </c>
      <c r="G47" s="593"/>
      <c r="H47" s="594"/>
      <c r="I47" s="192">
        <v>1</v>
      </c>
      <c r="J47" s="192">
        <v>20</v>
      </c>
      <c r="K47" s="192">
        <v>35</v>
      </c>
      <c r="L47" s="192"/>
      <c r="M47" s="192">
        <v>30</v>
      </c>
      <c r="N47" s="595"/>
      <c r="O47" s="593"/>
      <c r="P47" s="594"/>
      <c r="Q47" s="192"/>
      <c r="R47" s="192"/>
      <c r="S47" s="192">
        <v>0.48</v>
      </c>
      <c r="T47" s="192"/>
      <c r="U47" s="192"/>
      <c r="V47" s="193"/>
      <c r="W47" s="194"/>
      <c r="X47" s="192"/>
      <c r="Y47" s="192"/>
      <c r="Z47" s="195"/>
      <c r="AA47" s="595" t="s">
        <v>136</v>
      </c>
      <c r="AB47" s="594"/>
      <c r="AC47" s="595" t="s">
        <v>136</v>
      </c>
      <c r="AD47" s="594"/>
      <c r="AE47" s="197"/>
      <c r="AF47" s="284">
        <f t="shared" si="2"/>
        <v>1</v>
      </c>
      <c r="AG47" s="285">
        <f t="shared" si="3"/>
        <v>0</v>
      </c>
      <c r="AH47" s="285">
        <f t="shared" si="4"/>
        <v>8</v>
      </c>
      <c r="AI47" s="286">
        <f t="shared" si="5"/>
        <v>0</v>
      </c>
      <c r="AJ47" s="287">
        <f t="shared" si="29"/>
        <v>0.5</v>
      </c>
      <c r="AK47" s="288"/>
      <c r="AL47" s="289">
        <f t="shared" si="6"/>
        <v>0.5</v>
      </c>
      <c r="AM47" s="290">
        <f t="shared" si="7"/>
        <v>0.67979999999999996</v>
      </c>
      <c r="AN47" s="290">
        <f t="shared" si="8"/>
        <v>2.7191999999999998</v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 t="str">
        <f t="shared" si="12"/>
        <v>N/D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>
        <f t="shared" si="26"/>
        <v>0.67979999999999996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5"/>
      <c r="E48" s="596"/>
      <c r="F48" s="592" t="s">
        <v>33</v>
      </c>
      <c r="G48" s="593"/>
      <c r="H48" s="594"/>
      <c r="I48" s="192">
        <v>1</v>
      </c>
      <c r="J48" s="192">
        <v>35</v>
      </c>
      <c r="K48" s="192">
        <v>30</v>
      </c>
      <c r="L48" s="192"/>
      <c r="M48" s="192">
        <v>17</v>
      </c>
      <c r="N48" s="595"/>
      <c r="O48" s="593"/>
      <c r="P48" s="594"/>
      <c r="Q48" s="192"/>
      <c r="R48" s="192"/>
      <c r="S48" s="192">
        <v>0.48</v>
      </c>
      <c r="T48" s="192"/>
      <c r="U48" s="192"/>
      <c r="V48" s="193"/>
      <c r="W48" s="194"/>
      <c r="X48" s="192"/>
      <c r="Y48" s="192"/>
      <c r="Z48" s="195"/>
      <c r="AA48" s="595" t="s">
        <v>136</v>
      </c>
      <c r="AB48" s="594"/>
      <c r="AC48" s="595" t="s">
        <v>136</v>
      </c>
      <c r="AD48" s="594"/>
      <c r="AE48" s="197"/>
      <c r="AF48" s="284">
        <f t="shared" si="2"/>
        <v>1</v>
      </c>
      <c r="AG48" s="285">
        <f t="shared" si="3"/>
        <v>0</v>
      </c>
      <c r="AH48" s="285">
        <f t="shared" si="4"/>
        <v>8</v>
      </c>
      <c r="AI48" s="286">
        <f t="shared" si="5"/>
        <v>0</v>
      </c>
      <c r="AJ48" s="291">
        <f t="shared" si="29"/>
        <v>0.5</v>
      </c>
      <c r="AK48" s="292"/>
      <c r="AL48" s="289">
        <f t="shared" si="6"/>
        <v>0.5</v>
      </c>
      <c r="AM48" s="290">
        <f t="shared" si="7"/>
        <v>0.79979999999999996</v>
      </c>
      <c r="AN48" s="290">
        <f t="shared" si="8"/>
        <v>3.1991999999999998</v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 t="str">
        <f t="shared" si="12"/>
        <v>N/D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>
        <f t="shared" si="26"/>
        <v>0.79979999999999996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20</v>
      </c>
      <c r="AG49" s="203"/>
      <c r="AH49" s="204">
        <f>SUM(AH29:AH48)</f>
        <v>108</v>
      </c>
      <c r="AI49" s="204">
        <f>SUM(AI29:AI48)</f>
        <v>28</v>
      </c>
      <c r="AJ49" s="205"/>
      <c r="AK49" s="205"/>
      <c r="AL49" s="206"/>
      <c r="AM49" s="207">
        <f>SUM(AM29:AM48)</f>
        <v>13.666044002223705</v>
      </c>
      <c r="AN49" s="208">
        <f>SUM(AN29:AN48)</f>
        <v>54.66417600889482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23" t="s">
        <v>110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5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</mergeCells>
  <phoneticPr fontId="35" type="noConversion"/>
  <dataValidations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topLeftCell="A7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45" t="s">
        <v>225</v>
      </c>
      <c r="AI2" s="646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47" t="s">
        <v>188</v>
      </c>
      <c r="AF3" s="647"/>
      <c r="AG3" s="647"/>
      <c r="AH3" s="647"/>
      <c r="AI3" s="648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54" t="s">
        <v>4</v>
      </c>
      <c r="D5" s="655"/>
      <c r="E5" s="655"/>
      <c r="F5" s="655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56" t="s">
        <v>5</v>
      </c>
      <c r="R5" s="657"/>
      <c r="S5" s="658"/>
      <c r="T5" s="674">
        <f>+'Diseño 1"'!K5</f>
        <v>46134</v>
      </c>
      <c r="U5" s="675"/>
      <c r="V5" s="675"/>
      <c r="W5" s="676"/>
      <c r="X5" s="659" t="s">
        <v>6</v>
      </c>
      <c r="Y5" s="660"/>
      <c r="Z5" s="661"/>
      <c r="AA5" s="661"/>
      <c r="AB5" s="661"/>
      <c r="AC5" s="661"/>
      <c r="AD5" s="661"/>
      <c r="AE5" s="661"/>
      <c r="AF5" s="661"/>
      <c r="AG5" s="661"/>
      <c r="AH5" s="661"/>
      <c r="AI5" s="662"/>
      <c r="AJ5" s="5"/>
      <c r="AK5" s="5"/>
      <c r="AL5" s="5"/>
      <c r="AM5" s="5"/>
      <c r="AN5" s="5"/>
    </row>
    <row r="6" spans="3:40" ht="15" customHeight="1" thickBot="1" x14ac:dyDescent="0.25">
      <c r="C6" s="663" t="s">
        <v>7</v>
      </c>
      <c r="D6" s="664"/>
      <c r="E6" s="664"/>
      <c r="F6" s="664"/>
      <c r="G6" s="542">
        <f>+'Diseño 1"'!D6</f>
        <v>13655</v>
      </c>
      <c r="H6" s="121"/>
      <c r="I6" s="121"/>
      <c r="J6" s="121"/>
      <c r="K6" s="121"/>
      <c r="L6" s="121"/>
      <c r="M6" s="121"/>
      <c r="N6" s="121"/>
      <c r="O6" s="121"/>
      <c r="P6" s="543"/>
      <c r="Q6" s="665" t="s">
        <v>214</v>
      </c>
      <c r="R6" s="666"/>
      <c r="S6" s="667"/>
      <c r="T6" s="668">
        <f>+T5</f>
        <v>46134</v>
      </c>
      <c r="U6" s="669"/>
      <c r="V6" s="669"/>
      <c r="W6" s="670"/>
      <c r="X6" s="702" t="s">
        <v>189</v>
      </c>
      <c r="Y6" s="702"/>
      <c r="Z6" s="702"/>
      <c r="AA6" s="702"/>
      <c r="AB6" s="702"/>
      <c r="AC6" s="702"/>
      <c r="AD6" s="702"/>
      <c r="AE6" s="702"/>
      <c r="AF6" s="702"/>
      <c r="AG6" s="702"/>
      <c r="AH6" s="703"/>
      <c r="AI6" s="677" t="s">
        <v>235</v>
      </c>
      <c r="AJ6" s="5"/>
      <c r="AK6" s="5"/>
      <c r="AL6" s="5"/>
      <c r="AM6" s="5"/>
      <c r="AN6" s="5"/>
    </row>
    <row r="7" spans="3:40" ht="15" customHeight="1" x14ac:dyDescent="0.2">
      <c r="C7" s="663" t="s">
        <v>9</v>
      </c>
      <c r="D7" s="664"/>
      <c r="E7" s="664"/>
      <c r="F7" s="664"/>
      <c r="G7" s="544">
        <f>+'Diseño 1"'!D7</f>
        <v>104</v>
      </c>
      <c r="H7" s="122"/>
      <c r="I7" s="122"/>
      <c r="J7" s="122"/>
      <c r="K7" s="122"/>
      <c r="L7" s="122"/>
      <c r="M7" s="122"/>
      <c r="N7" s="122"/>
      <c r="O7" s="122"/>
      <c r="P7" s="545"/>
      <c r="Q7" s="665" t="s">
        <v>236</v>
      </c>
      <c r="R7" s="666"/>
      <c r="S7" s="667"/>
      <c r="T7" s="671">
        <f>WORKDAY(T6,5,0)</f>
        <v>46141</v>
      </c>
      <c r="U7" s="672"/>
      <c r="V7" s="672"/>
      <c r="W7" s="673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704" t="s">
        <v>39</v>
      </c>
      <c r="AH7" s="705"/>
      <c r="AI7" s="678"/>
      <c r="AJ7" s="5"/>
      <c r="AK7" s="5"/>
      <c r="AL7" s="5"/>
      <c r="AM7" s="5"/>
      <c r="AN7" s="5"/>
    </row>
    <row r="8" spans="3:40" ht="15" customHeight="1" thickBot="1" x14ac:dyDescent="0.25">
      <c r="C8" s="663" t="s">
        <v>190</v>
      </c>
      <c r="D8" s="664"/>
      <c r="E8" s="664"/>
      <c r="F8" s="664"/>
      <c r="G8" s="546" t="str">
        <f>+'Diseño 1"'!K7</f>
        <v xml:space="preserve">Natanael Avile </v>
      </c>
      <c r="H8" s="123"/>
      <c r="I8" s="123"/>
      <c r="J8" s="123"/>
      <c r="K8" s="123"/>
      <c r="L8" s="123"/>
      <c r="M8" s="123"/>
      <c r="N8" s="123"/>
      <c r="O8" s="123"/>
      <c r="P8" s="547"/>
      <c r="Q8" s="665" t="s">
        <v>215</v>
      </c>
      <c r="R8" s="666"/>
      <c r="S8" s="667"/>
      <c r="T8" s="671">
        <f>+'Diseño 1"'!K6</f>
        <v>46136</v>
      </c>
      <c r="U8" s="672"/>
      <c r="V8" s="672"/>
      <c r="W8" s="673"/>
      <c r="X8" s="534">
        <f>SUMIFS('Diseño 1"'!AN29:AN48,'Diseño 1"'!AJ29:AJ48,0.5)</f>
        <v>54.66417600889482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54.66417600889482</v>
      </c>
      <c r="AH8" s="538"/>
      <c r="AI8" s="533">
        <f>+'Diseño 1"'!AM49</f>
        <v>13.666044002223705</v>
      </c>
      <c r="AJ8" s="5"/>
      <c r="AK8" s="5"/>
      <c r="AL8" s="5"/>
      <c r="AM8" s="5"/>
      <c r="AN8" s="5"/>
    </row>
    <row r="9" spans="3:40" ht="15" customHeight="1" thickBot="1" x14ac:dyDescent="0.25">
      <c r="C9" s="679" t="s">
        <v>216</v>
      </c>
      <c r="D9" s="680"/>
      <c r="E9" s="680"/>
      <c r="F9" s="68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81"/>
      <c r="R9" s="682"/>
      <c r="S9" s="683"/>
      <c r="T9" s="684"/>
      <c r="U9" s="685"/>
      <c r="V9" s="685"/>
      <c r="W9" s="68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643" t="s">
        <v>208</v>
      </c>
      <c r="AI10" s="644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89" t="s">
        <v>60</v>
      </c>
      <c r="E11" s="690"/>
      <c r="F11" s="259" t="s">
        <v>59</v>
      </c>
      <c r="G11" s="689" t="s">
        <v>61</v>
      </c>
      <c r="H11" s="690"/>
      <c r="I11" s="689" t="s">
        <v>62</v>
      </c>
      <c r="J11" s="690"/>
      <c r="K11" s="259" t="s">
        <v>20</v>
      </c>
      <c r="L11" s="691" t="s">
        <v>193</v>
      </c>
      <c r="M11" s="692"/>
      <c r="N11" s="259" t="s">
        <v>65</v>
      </c>
      <c r="O11" s="259" t="s">
        <v>66</v>
      </c>
      <c r="P11" s="689" t="s">
        <v>67</v>
      </c>
      <c r="Q11" s="690"/>
      <c r="R11" s="689" t="s">
        <v>194</v>
      </c>
      <c r="S11" s="69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89" t="s">
        <v>75</v>
      </c>
      <c r="Z11" s="690"/>
      <c r="AA11" s="689" t="s">
        <v>76</v>
      </c>
      <c r="AB11" s="690"/>
      <c r="AC11" s="258" t="s">
        <v>195</v>
      </c>
      <c r="AD11" s="261" t="s">
        <v>78</v>
      </c>
      <c r="AE11" s="689" t="s">
        <v>196</v>
      </c>
      <c r="AF11" s="69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93" t="str">
        <f>IF('Diseño 1"'!B29="","",'Diseño 1"'!B29)</f>
        <v/>
      </c>
      <c r="E12" s="694"/>
      <c r="F12" s="247" t="str">
        <f>IF('Diseño 1"'!C29=0,"",'Diseño 1"'!C29)</f>
        <v/>
      </c>
      <c r="G12" s="693" t="str">
        <f>IF('Diseño 1"'!D29="","",'Diseño 1"'!D29)</f>
        <v>UI 1.10</v>
      </c>
      <c r="H12" s="694"/>
      <c r="I12" s="693" t="str">
        <f>IF('Diseño 1"'!F29="","",'Diseño 1"'!F29)</f>
        <v>Ducto Recto</v>
      </c>
      <c r="J12" s="694"/>
      <c r="K12" s="248">
        <f>IF(I12="","",'Diseño 1"'!I29)</f>
        <v>1</v>
      </c>
      <c r="L12" s="242">
        <f>IF('Diseño 1"'!J29="","",'Diseño 1"'!J29)</f>
        <v>65</v>
      </c>
      <c r="M12" s="242">
        <f>IF('Diseño 1"'!K29="","",'Diseño 1"'!K29)</f>
        <v>30</v>
      </c>
      <c r="N12" s="242">
        <f>'Diseño 1"'!L29</f>
        <v>0</v>
      </c>
      <c r="O12" s="242" t="str">
        <f>IF('Diseño 1"'!M29="","",'Diseño 1"'!M29)</f>
        <v/>
      </c>
      <c r="P12" s="687" t="str">
        <f>IF('Diseño 1"'!N29="","",'Diseño 1"'!N29)</f>
        <v/>
      </c>
      <c r="Q12" s="694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0.4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87" t="str">
        <f>IF('Diseño 1"'!AA29="","",'Diseño 1"'!AA29)</f>
        <v>TDF</v>
      </c>
      <c r="Z12" s="688"/>
      <c r="AA12" s="687" t="str">
        <f>IF('Diseño 1"'!AC29="","",'Diseño 1"'!AC29)</f>
        <v>TDF</v>
      </c>
      <c r="AB12" s="688"/>
      <c r="AC12" s="251" t="str">
        <f>IF('Diseño 1"'!AE29=TRUE,0.5,"")</f>
        <v/>
      </c>
      <c r="AD12" s="252">
        <f>IF('Diseño 1"'!AF29="","",'Diseño 1"'!AF29)</f>
        <v>1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4.0206399999999993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95" t="str">
        <f>IF('Diseño 1"'!B30="","",'Diseño 1"'!B30)</f>
        <v/>
      </c>
      <c r="E13" s="651"/>
      <c r="F13" s="19" t="str">
        <f>IF('Diseño 1"'!C30=0,"",'Diseño 1"'!C30)</f>
        <v/>
      </c>
      <c r="G13" s="695" t="str">
        <f>IF('Diseño 1"'!D30="","",'Diseño 1"'!D30)</f>
        <v/>
      </c>
      <c r="H13" s="651"/>
      <c r="I13" s="695" t="str">
        <f>IF('Diseño 1"'!F30="","",'Diseño 1"'!F30)</f>
        <v>Ducto Recto</v>
      </c>
      <c r="J13" s="651"/>
      <c r="K13" s="20">
        <f>IF(I13="","",'Diseño 1"'!I30)</f>
        <v>1</v>
      </c>
      <c r="L13" s="17">
        <f>IF('Diseño 1"'!J30="","",'Diseño 1"'!J30)</f>
        <v>65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49" t="str">
        <f>IF('Diseño 1"'!N30="","",'Diseño 1"'!N30)</f>
        <v/>
      </c>
      <c r="Q13" s="651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0.85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49" t="str">
        <f>IF('Diseño 1"'!AA30="","",'Diseño 1"'!AA30)</f>
        <v>TDF</v>
      </c>
      <c r="Z13" s="650"/>
      <c r="AA13" s="649" t="str">
        <f>IF('Diseño 1"'!AC30="","",'Diseño 1"'!AC30)</f>
        <v>TDF</v>
      </c>
      <c r="AB13" s="650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7.5000399999999994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95" t="str">
        <f>IF('Diseño 1"'!B31="","",'Diseño 1"'!B31)</f>
        <v/>
      </c>
      <c r="E14" s="651"/>
      <c r="F14" s="19" t="str">
        <f>IF('Diseño 1"'!C31=0,"",'Diseño 1"'!C31)</f>
        <v/>
      </c>
      <c r="G14" s="695"/>
      <c r="H14" s="651"/>
      <c r="I14" s="695" t="str">
        <f>IF('Diseño 1"'!F31="","",'Diseño 1"'!F31)</f>
        <v>Unión c/ Lona</v>
      </c>
      <c r="J14" s="651"/>
      <c r="K14" s="20">
        <f>IF(I14="","",'Diseño 1"'!I31)</f>
        <v>1</v>
      </c>
      <c r="L14" s="17">
        <f>IF('Diseño 1"'!J31="","",'Diseño 1"'!J31)</f>
        <v>65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49" t="str">
        <f>IF('Diseño 1"'!N31="","",'Diseño 1"'!N31)</f>
        <v/>
      </c>
      <c r="Q14" s="651"/>
      <c r="R14" s="17" t="str">
        <f>IF('Diseño 1"'!Q31="","",'Diseño 1"'!Q31)</f>
        <v/>
      </c>
      <c r="S14" s="17" t="str">
        <f>IF('Diseño 1"'!R31="","",'Diseño 1"'!R31)</f>
        <v/>
      </c>
      <c r="T14" s="242">
        <f>IF('Diseño 1"'!S31="","",'Diseño 1"'!S31)</f>
        <v>0.2</v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49" t="str">
        <f>IF('Diseño 1"'!AA31="","",'Diseño 1"'!AA31)</f>
        <v>TDF</v>
      </c>
      <c r="Z14" s="650"/>
      <c r="AA14" s="649" t="str">
        <f>IF('Diseño 1"'!AC31="","",'Diseño 1"'!AC31)</f>
        <v>TDF</v>
      </c>
      <c r="AB14" s="650"/>
      <c r="AC14" s="23" t="str">
        <f>IF('Diseño 1"'!AE32=TRUE,0.5,"")</f>
        <v/>
      </c>
      <c r="AD14" s="92">
        <f>IF('Diseño 1"'!AF32="","",'Diseño 1"'!AF32)</f>
        <v>1</v>
      </c>
      <c r="AE14" s="24">
        <f>'Diseño 1"'!AJ31</f>
        <v>0.5</v>
      </c>
      <c r="AF14" s="93">
        <f>'Diseño 1"'!AK31</f>
        <v>0</v>
      </c>
      <c r="AG14" s="243" t="str">
        <f>IF('Diseño 1"'!AN31="","",'Diseño 1"'!AN31)</f>
        <v/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95" t="str">
        <f>IF('Diseño 1"'!B32="","",'Diseño 1"'!B32)</f>
        <v/>
      </c>
      <c r="E15" s="651"/>
      <c r="F15" s="19" t="str">
        <f>IF('Diseño 1"'!C32=0,"",'Diseño 1"'!C32)</f>
        <v/>
      </c>
      <c r="G15" s="695" t="str">
        <f>IF('Diseño 1"'!D32="","",'Diseño 1"'!D32)</f>
        <v/>
      </c>
      <c r="H15" s="651"/>
      <c r="I15" s="695" t="str">
        <f>IF('Diseño 1"'!F32="","",'Diseño 1"'!F32)</f>
        <v>Codo</v>
      </c>
      <c r="J15" s="651"/>
      <c r="K15" s="20">
        <f>IF(I15="","",'Diseño 1"'!I32)</f>
        <v>1</v>
      </c>
      <c r="L15" s="17">
        <f>IF('Diseño 1"'!J32="","",'Diseño 1"'!J32)</f>
        <v>30</v>
      </c>
      <c r="M15" s="17">
        <f>IF('Diseño 1"'!K32="","",'Diseño 1"'!K32)</f>
        <v>65</v>
      </c>
      <c r="N15" s="17">
        <f>'Diseño 1"'!L32</f>
        <v>0</v>
      </c>
      <c r="O15" s="17" t="str">
        <f>IF('Diseño 1"'!M32="","",'Diseño 1"'!M32)</f>
        <v/>
      </c>
      <c r="P15" s="649" t="str">
        <f>IF('Diseño 1"'!N32="","",'Diseño 1"'!N32)</f>
        <v/>
      </c>
      <c r="Q15" s="651"/>
      <c r="R15" s="17" t="str">
        <f>IF('Diseño 1"'!Q32="","",'Diseño 1"'!Q32)</f>
        <v/>
      </c>
      <c r="S15" s="17" t="str">
        <f>IF('Diseño 1"'!R32="","",'Diseño 1"'!R32)</f>
        <v/>
      </c>
      <c r="T15" s="242" t="str">
        <f>IF('Diseño 1"'!S32="","",'Diseño 1"'!S32)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49" t="str">
        <f>IF('Diseño 1"'!AA32="","",'Diseño 1"'!AA32)</f>
        <v>TDF</v>
      </c>
      <c r="Z15" s="650"/>
      <c r="AA15" s="649" t="str">
        <f>IF('Diseño 1"'!AC32="","",'Diseño 1"'!AC32)</f>
        <v>TDF</v>
      </c>
      <c r="AB15" s="650"/>
      <c r="AE15" s="24">
        <f>'Diseño 1"'!AJ32</f>
        <v>0.5</v>
      </c>
      <c r="AF15" s="93">
        <f>'Diseño 1"'!AK32</f>
        <v>0</v>
      </c>
      <c r="AG15" s="243">
        <f>IF('Diseño 1"'!AN32="","",'Diseño 1"'!AN32)</f>
        <v>5.0226361165078881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95" t="str">
        <f>IF('Diseño 1"'!B33="","",'Diseño 1"'!B33)</f>
        <v/>
      </c>
      <c r="E16" s="651"/>
      <c r="F16" s="19" t="str">
        <f>IF('Diseño 1"'!C33=0,"",'Diseño 1"'!C33)</f>
        <v/>
      </c>
      <c r="G16" s="695" t="str">
        <f>IF('Diseño 1"'!D33="","",'Diseño 1"'!D33)</f>
        <v>Con apertura inferior</v>
      </c>
      <c r="H16" s="651"/>
      <c r="I16" s="695" t="str">
        <f>IF('Diseño 1"'!F33="","",'Diseño 1"'!F33)</f>
        <v>Pleno</v>
      </c>
      <c r="J16" s="651"/>
      <c r="K16" s="20">
        <f>IF(I16="","",'Diseño 1"'!I33)</f>
        <v>1</v>
      </c>
      <c r="L16" s="17">
        <f>IF('Diseño 1"'!J33="","",'Diseño 1"'!J33)</f>
        <v>140</v>
      </c>
      <c r="M16" s="17">
        <f>IF('Diseño 1"'!K33="","",'Diseño 1"'!K33)</f>
        <v>30</v>
      </c>
      <c r="N16" s="17">
        <f>'Diseño 1"'!L33</f>
        <v>0</v>
      </c>
      <c r="O16" s="17" t="str">
        <f>IF('Diseño 1"'!M33="","",'Diseño 1"'!M33)</f>
        <v/>
      </c>
      <c r="P16" s="649" t="str">
        <f>IF('Diseño 1"'!N33="","",'Diseño 1"'!N33)</f>
        <v/>
      </c>
      <c r="Q16" s="651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0.6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49" t="str">
        <f>IF('Diseño 1"'!AA33="","",'Diseño 1"'!AA33)</f>
        <v/>
      </c>
      <c r="Z16" s="650"/>
      <c r="AA16" s="649" t="str">
        <f>IF('Diseño 1"'!AC33="","",'Diseño 1"'!AC33)</f>
        <v/>
      </c>
      <c r="AB16" s="650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1</v>
      </c>
      <c r="AF16" s="93">
        <f>'Diseño 1"'!AK33</f>
        <v>0</v>
      </c>
      <c r="AG16" s="243" t="str">
        <f>IF('Diseño 1"'!AN33="","",'Diseño 1"'!AN33)</f>
        <v/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95" t="str">
        <f>IF('Diseño 1"'!B34="","",'Diseño 1"'!B34)</f>
        <v/>
      </c>
      <c r="E17" s="651"/>
      <c r="F17" s="19" t="str">
        <f>IF('Diseño 1"'!C34=0,"",'Diseño 1"'!C34)</f>
        <v/>
      </c>
      <c r="G17" s="695" t="str">
        <f>IF('Diseño 1"'!D34="","",'Diseño 1"'!D34)</f>
        <v/>
      </c>
      <c r="H17" s="651"/>
      <c r="I17" s="695" t="str">
        <f>IF('Diseño 1"'!F34="","",'Diseño 1"'!F34)</f>
        <v>Ducto Recto</v>
      </c>
      <c r="J17" s="651"/>
      <c r="K17" s="20">
        <f>IF(I17="","",'Diseño 1"'!I34)</f>
        <v>1</v>
      </c>
      <c r="L17" s="17">
        <f>IF('Diseño 1"'!J34="","",'Diseño 1"'!J34)</f>
        <v>65</v>
      </c>
      <c r="M17" s="17">
        <f>IF('Diseño 1"'!K34="","",'Diseño 1"'!K34)</f>
        <v>30</v>
      </c>
      <c r="N17" s="17">
        <f>'Diseño 1"'!L34</f>
        <v>0</v>
      </c>
      <c r="O17" s="17" t="str">
        <f>IF('Diseño 1"'!M34="","",'Diseño 1"'!M34)</f>
        <v/>
      </c>
      <c r="P17" s="649" t="str">
        <f>IF('Diseño 1"'!N34="","",'Diseño 1"'!N34)</f>
        <v/>
      </c>
      <c r="Q17" s="651"/>
      <c r="R17" s="17" t="str">
        <f>IF('Diseño 1"'!Q34="","",'Diseño 1"'!Q34)</f>
        <v/>
      </c>
      <c r="S17" s="17" t="str">
        <f>IF('Diseño 1"'!R34="","",'Diseño 1"'!R34)</f>
        <v/>
      </c>
      <c r="T17" s="242">
        <f>IF('Diseño 1"'!S34="","",'Diseño 1"'!S34)</f>
        <v>0.6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49" t="str">
        <f>IF('Diseño 1"'!AA34="","",'Diseño 1"'!AA34)</f>
        <v>TDF</v>
      </c>
      <c r="Z17" s="650"/>
      <c r="AA17" s="649" t="str">
        <f>IF('Diseño 1"'!AC34="","",'Diseño 1"'!AC34)</f>
        <v>Liso</v>
      </c>
      <c r="AB17" s="650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5.1031199999999997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95" t="str">
        <f>IF('Diseño 1"'!B35="","",'Diseño 1"'!B35)</f>
        <v/>
      </c>
      <c r="E18" s="651"/>
      <c r="F18" s="19" t="str">
        <f>IF('Diseño 1"'!C35=0,"",'Diseño 1"'!C35)</f>
        <v/>
      </c>
      <c r="G18" s="695" t="str">
        <f>IF('Diseño 1"'!D35="","",'Diseño 1"'!D35)</f>
        <v/>
      </c>
      <c r="H18" s="651"/>
      <c r="I18" s="695" t="str">
        <f>IF('Diseño 1"'!F35="","",'Diseño 1"'!F35)</f>
        <v>Unión c/ Lona</v>
      </c>
      <c r="J18" s="651"/>
      <c r="K18" s="20">
        <f>IF(I18="","",'Diseño 1"'!I35)</f>
        <v>1</v>
      </c>
      <c r="L18" s="17">
        <f>IF('Diseño 1"'!J35="","",'Diseño 1"'!J35)</f>
        <v>45</v>
      </c>
      <c r="M18" s="17">
        <f>IF('Diseño 1"'!K35="","",'Diseño 1"'!K35)</f>
        <v>25</v>
      </c>
      <c r="N18" s="17">
        <f>'Diseño 1"'!L35</f>
        <v>0</v>
      </c>
      <c r="O18" s="17" t="str">
        <f>IF('Diseño 1"'!M35="","",'Diseño 1"'!M35)</f>
        <v/>
      </c>
      <c r="P18" s="649" t="str">
        <f>IF('Diseño 1"'!N35="","",'Diseño 1"'!N35)</f>
        <v/>
      </c>
      <c r="Q18" s="651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0.2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49" t="str">
        <f>IF('Diseño 1"'!AA35="","",'Diseño 1"'!AA35)</f>
        <v>TDF</v>
      </c>
      <c r="Z18" s="650"/>
      <c r="AA18" s="649" t="str">
        <f>IF('Diseño 1"'!AC35="","",'Diseño 1"'!AC35)</f>
        <v>Escuadra</v>
      </c>
      <c r="AB18" s="650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 t="str">
        <f>IF('Diseño 1"'!AN35="","",'Diseño 1"'!AN35)</f>
        <v/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95" t="str">
        <f>IF('Diseño 1"'!B36="","",'Diseño 1"'!B36)</f>
        <v/>
      </c>
      <c r="E19" s="651"/>
      <c r="F19" s="19" t="str">
        <f>IF('Diseño 1"'!C36=0,"",'Diseño 1"'!C36)</f>
        <v/>
      </c>
      <c r="G19" s="695" t="str">
        <f>IF('Diseño 1"'!D36="","",'Diseño 1"'!D36)</f>
        <v>Tae UI-1,2</v>
      </c>
      <c r="H19" s="651"/>
      <c r="I19" s="695" t="str">
        <f>IF('Diseño 1"'!F36="","",'Diseño 1"'!F36)</f>
        <v>Ducto Recto</v>
      </c>
      <c r="J19" s="651"/>
      <c r="K19" s="20">
        <f>IF(I19="","",'Diseño 1"'!I36)</f>
        <v>1</v>
      </c>
      <c r="L19" s="17">
        <f>IF('Diseño 1"'!J36="","",'Diseño 1"'!J36)</f>
        <v>45</v>
      </c>
      <c r="M19" s="17">
        <f>IF('Diseño 1"'!K36="","",'Diseño 1"'!K36)</f>
        <v>20</v>
      </c>
      <c r="N19" s="17">
        <f>'Diseño 1"'!L36</f>
        <v>0</v>
      </c>
      <c r="O19" s="17" t="str">
        <f>IF('Diseño 1"'!M36="","",'Diseño 1"'!M36)</f>
        <v/>
      </c>
      <c r="P19" s="649" t="str">
        <f>IF('Diseño 1"'!N36="","",'Diseño 1"'!N36)</f>
        <v/>
      </c>
      <c r="Q19" s="651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0.1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49" t="str">
        <f>IF('Diseño 1"'!AA36="","",'Diseño 1"'!AA36)</f>
        <v>TDF</v>
      </c>
      <c r="Z19" s="650"/>
      <c r="AA19" s="649" t="str">
        <f>IF('Diseño 1"'!AC36="","",'Diseño 1"'!AC36)</f>
        <v>TDF</v>
      </c>
      <c r="AB19" s="650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1.1730399999999999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95" t="str">
        <f>IF('Diseño 1"'!B37="","",'Diseño 1"'!B37)</f>
        <v/>
      </c>
      <c r="E20" s="651"/>
      <c r="F20" s="19" t="str">
        <f>IF('Diseño 1"'!C37=0,"",'Diseño 1"'!C37)</f>
        <v/>
      </c>
      <c r="G20" s="695" t="str">
        <f>IF('Diseño 1"'!D37="","",'Diseño 1"'!D37)</f>
        <v/>
      </c>
      <c r="H20" s="651"/>
      <c r="I20" s="695" t="str">
        <f>IF('Diseño 1"'!F37="","",'Diseño 1"'!F37)</f>
        <v>Unión c/ Lona</v>
      </c>
      <c r="J20" s="651"/>
      <c r="K20" s="20">
        <f>IF(I20="","",'Diseño 1"'!I37)</f>
        <v>1</v>
      </c>
      <c r="L20" s="17">
        <f>IF('Diseño 1"'!J37="","",'Diseño 1"'!J37)</f>
        <v>45</v>
      </c>
      <c r="M20" s="17">
        <f>IF('Diseño 1"'!K37="","",'Diseño 1"'!K37)</f>
        <v>20</v>
      </c>
      <c r="N20" s="17">
        <f>'Diseño 1"'!L37</f>
        <v>0</v>
      </c>
      <c r="O20" s="17" t="str">
        <f>IF('Diseño 1"'!M37="","",'Diseño 1"'!M37)</f>
        <v/>
      </c>
      <c r="P20" s="649" t="str">
        <f>IF('Diseño 1"'!N37="","",'Diseño 1"'!N37)</f>
        <v/>
      </c>
      <c r="Q20" s="651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0.2</v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49" t="str">
        <f>IF('Diseño 1"'!AA37="","",'Diseño 1"'!AA37)</f>
        <v>TDF</v>
      </c>
      <c r="Z20" s="650"/>
      <c r="AA20" s="649" t="str">
        <f>IF('Diseño 1"'!AC37="","",'Diseño 1"'!AC37)</f>
        <v>Escuadra</v>
      </c>
      <c r="AB20" s="650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 t="str">
        <f>IF('Diseño 1"'!AN37="","",'Diseño 1"'!AN37)</f>
        <v/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95" t="str">
        <f>IF('Diseño 1"'!B38="","",'Diseño 1"'!B38)</f>
        <v/>
      </c>
      <c r="E21" s="651"/>
      <c r="F21" s="19" t="str">
        <f>IF('Diseño 1"'!C38=0,"",'Diseño 1"'!C38)</f>
        <v/>
      </c>
      <c r="G21" s="695" t="str">
        <f>IF('Diseño 1"'!D38="","",'Diseño 1"'!D38)</f>
        <v>Tae UI-1.4</v>
      </c>
      <c r="H21" s="651"/>
      <c r="I21" s="695" t="str">
        <f>IF('Diseño 1"'!F38="","",'Diseño 1"'!F38)</f>
        <v>Codo</v>
      </c>
      <c r="J21" s="651"/>
      <c r="K21" s="20">
        <f>IF(I21="","",'Diseño 1"'!I38)</f>
        <v>1</v>
      </c>
      <c r="L21" s="17">
        <f>IF('Diseño 1"'!J38="","",'Diseño 1"'!J38)</f>
        <v>25</v>
      </c>
      <c r="M21" s="17">
        <f>IF('Diseño 1"'!K38="","",'Diseño 1"'!K38)</f>
        <v>30</v>
      </c>
      <c r="N21" s="17">
        <f>'Diseño 1"'!L38</f>
        <v>5</v>
      </c>
      <c r="O21" s="17" t="str">
        <f>IF('Diseño 1"'!M38="","",'Diseño 1"'!M38)</f>
        <v/>
      </c>
      <c r="P21" s="649" t="str">
        <f>IF('Diseño 1"'!N38="","",'Diseño 1"'!N38)</f>
        <v/>
      </c>
      <c r="Q21" s="651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49" t="str">
        <f>IF('Diseño 1"'!AA38="","",'Diseño 1"'!AA38)</f>
        <v>TDF</v>
      </c>
      <c r="Z21" s="650"/>
      <c r="AA21" s="649" t="str">
        <f>IF('Diseño 1"'!AC38="","",'Diseño 1"'!AC38)</f>
        <v>TDF</v>
      </c>
      <c r="AB21" s="650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>
        <f>IF('Diseño 1"'!AN38="","",'Diseño 1"'!AN38)</f>
        <v>2.3872451572392981</v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95" t="str">
        <f>IF('Diseño 1"'!B39="","",'Diseño 1"'!B39)</f>
        <v/>
      </c>
      <c r="E22" s="651"/>
      <c r="F22" s="19" t="str">
        <f>IF('Diseño 1"'!C39=0,"",'Diseño 1"'!C39)</f>
        <v/>
      </c>
      <c r="G22" s="695" t="str">
        <f>IF('Diseño 1"'!D39="","",'Diseño 1"'!D39)</f>
        <v/>
      </c>
      <c r="H22" s="651"/>
      <c r="I22" s="695" t="str">
        <f>IF('Diseño 1"'!F39="","",'Diseño 1"'!F39)</f>
        <v>Unión c/ Lona</v>
      </c>
      <c r="J22" s="651"/>
      <c r="K22" s="20">
        <f>IF(I22="","",'Diseño 1"'!I39)</f>
        <v>1</v>
      </c>
      <c r="L22" s="17">
        <f>IF('Diseño 1"'!J39="","",'Diseño 1"'!J39)</f>
        <v>35</v>
      </c>
      <c r="M22" s="17">
        <f>IF('Diseño 1"'!K39="","",'Diseño 1"'!K39)</f>
        <v>30</v>
      </c>
      <c r="N22" s="17">
        <f>'Diseño 1"'!L39</f>
        <v>0</v>
      </c>
      <c r="O22" s="17" t="str">
        <f>IF('Diseño 1"'!M39="","",'Diseño 1"'!M39)</f>
        <v/>
      </c>
      <c r="P22" s="649" t="str">
        <f>IF('Diseño 1"'!N39="","",'Diseño 1"'!N39)</f>
        <v/>
      </c>
      <c r="Q22" s="651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0.2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49" t="str">
        <f>IF('Diseño 1"'!AA39="","",'Diseño 1"'!AA39)</f>
        <v>TDF</v>
      </c>
      <c r="Z22" s="650"/>
      <c r="AA22" s="649" t="str">
        <f>IF('Diseño 1"'!AC39="","",'Diseño 1"'!AC39)</f>
        <v>TDF</v>
      </c>
      <c r="AB22" s="650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0.5</v>
      </c>
      <c r="AF22" s="93">
        <f>'Diseño 1"'!AK39</f>
        <v>0</v>
      </c>
      <c r="AG22" s="243" t="str">
        <f>IF('Diseño 1"'!AN39="","",'Diseño 1"'!AN39)</f>
        <v/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95" t="str">
        <f>IF('Diseño 1"'!B40="","",'Diseño 1"'!B40)</f>
        <v/>
      </c>
      <c r="E23" s="651"/>
      <c r="F23" s="19" t="str">
        <f>IF('Diseño 1"'!C40=0,"",'Diseño 1"'!C40)</f>
        <v/>
      </c>
      <c r="G23" s="695" t="str">
        <f>IF('Diseño 1"'!D40="","",'Diseño 1"'!D40)</f>
        <v/>
      </c>
      <c r="H23" s="651"/>
      <c r="I23" s="695" t="str">
        <f>IF('Diseño 1"'!F40="","",'Diseño 1"'!F40)</f>
        <v>Codo</v>
      </c>
      <c r="J23" s="651"/>
      <c r="K23" s="20">
        <f>IF(I23="","",'Diseño 1"'!I40)</f>
        <v>1</v>
      </c>
      <c r="L23" s="17">
        <f>IF('Diseño 1"'!J40="","",'Diseño 1"'!J40)</f>
        <v>35</v>
      </c>
      <c r="M23" s="17">
        <f>IF('Diseño 1"'!K40="","",'Diseño 1"'!K40)</f>
        <v>30</v>
      </c>
      <c r="N23" s="17">
        <f>'Diseño 1"'!L40</f>
        <v>0</v>
      </c>
      <c r="O23" s="17" t="str">
        <f>IF('Diseño 1"'!M40="","",'Diseño 1"'!M40)</f>
        <v/>
      </c>
      <c r="P23" s="649" t="str">
        <f>IF('Diseño 1"'!N40="","",'Diseño 1"'!N40)</f>
        <v/>
      </c>
      <c r="Q23" s="651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49" t="str">
        <f>IF('Diseño 1"'!AA40="","",'Diseño 1"'!AA40)</f>
        <v>TDF</v>
      </c>
      <c r="Z23" s="650"/>
      <c r="AA23" s="649" t="str">
        <f>IF('Diseño 1"'!AC40="","",'Diseño 1"'!AC40)</f>
        <v>TDF</v>
      </c>
      <c r="AB23" s="650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3.7645123050793607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95" t="str">
        <f>IF('Diseño 1"'!B41="","",'Diseño 1"'!B41)</f>
        <v/>
      </c>
      <c r="E24" s="651"/>
      <c r="F24" s="19" t="str">
        <f>IF('Diseño 1"'!C41=0,"",'Diseño 1"'!C41)</f>
        <v/>
      </c>
      <c r="G24" s="695" t="str">
        <f>IF('Diseño 1"'!D41="","",'Diseño 1"'!D41)</f>
        <v/>
      </c>
      <c r="H24" s="651"/>
      <c r="I24" s="695" t="str">
        <f>IF('Diseño 1"'!F41="","",'Diseño 1"'!F41)</f>
        <v>S</v>
      </c>
      <c r="J24" s="651"/>
      <c r="K24" s="20">
        <f>IF(I24="","",'Diseño 1"'!I41)</f>
        <v>1</v>
      </c>
      <c r="L24" s="17">
        <f>IF('Diseño 1"'!J41="","",'Diseño 1"'!J41)</f>
        <v>30</v>
      </c>
      <c r="M24" s="17">
        <f>IF('Diseño 1"'!K41="","",'Diseño 1"'!K41)</f>
        <v>35</v>
      </c>
      <c r="N24" s="17">
        <f>'Diseño 1"'!L41</f>
        <v>0</v>
      </c>
      <c r="O24" s="17">
        <f>IF('Diseño 1"'!M41="","",'Diseño 1"'!M41)</f>
        <v>47</v>
      </c>
      <c r="P24" s="649" t="str">
        <f>IF('Diseño 1"'!N41="","",'Diseño 1"'!N41)</f>
        <v/>
      </c>
      <c r="Q24" s="651"/>
      <c r="R24" s="17" t="str">
        <f>IF('Diseño 1"'!Q41="","",'Diseño 1"'!Q41)</f>
        <v/>
      </c>
      <c r="S24" s="17" t="str">
        <f>IF('Diseño 1"'!R41="","",'Diseño 1"'!R41)</f>
        <v/>
      </c>
      <c r="T24" s="242">
        <f>IF('Diseño 1"'!S41="","",'Diseño 1"'!S41)</f>
        <v>0.9</v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49" t="str">
        <f>IF('Diseño 1"'!AA41="","",'Diseño 1"'!AA41)</f>
        <v>TDF</v>
      </c>
      <c r="Z24" s="650"/>
      <c r="AA24" s="649" t="str">
        <f>IF('Diseño 1"'!AC41="","",'Diseño 1"'!AC41)</f>
        <v>TDF</v>
      </c>
      <c r="AB24" s="650"/>
      <c r="AC24" s="23" t="str">
        <f>IF('Diseño 1"'!AE41=TRUE,0.5,"")</f>
        <v/>
      </c>
      <c r="AD24" s="92">
        <f>IF('Diseño 1"'!AF41="","",'Diseño 1"'!AF41)</f>
        <v>1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5.4386399999999995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95" t="str">
        <f>IF('Diseño 1"'!B42="","",'Diseño 1"'!B42)</f>
        <v/>
      </c>
      <c r="E25" s="651"/>
      <c r="F25" s="19" t="str">
        <f>IF('Diseño 1"'!C42=0,"",'Diseño 1"'!C42)</f>
        <v/>
      </c>
      <c r="G25" s="695" t="str">
        <f>IF('Diseño 1"'!D42="","",'Diseño 1"'!D42)</f>
        <v/>
      </c>
      <c r="H25" s="651"/>
      <c r="I25" s="695" t="str">
        <f>IF('Diseño 1"'!F42="","",'Diseño 1"'!F42)</f>
        <v>S</v>
      </c>
      <c r="J25" s="651"/>
      <c r="K25" s="20">
        <f>IF(I25="","",'Diseño 1"'!I42)</f>
        <v>1</v>
      </c>
      <c r="L25" s="17">
        <f>IF('Diseño 1"'!J42="","",'Diseño 1"'!J42)</f>
        <v>35</v>
      </c>
      <c r="M25" s="17">
        <f>IF('Diseño 1"'!K42="","",'Diseño 1"'!K42)</f>
        <v>30</v>
      </c>
      <c r="N25" s="17">
        <f>'Diseño 1"'!L42</f>
        <v>0</v>
      </c>
      <c r="O25" s="17">
        <f>IF('Diseño 1"'!M42="","",'Diseño 1"'!M42)</f>
        <v>35</v>
      </c>
      <c r="P25" s="649" t="str">
        <f>IF('Diseño 1"'!N42="","",'Diseño 1"'!N42)</f>
        <v/>
      </c>
      <c r="Q25" s="651"/>
      <c r="R25" s="17" t="str">
        <f>IF('Diseño 1"'!Q42="","",'Diseño 1"'!Q42)</f>
        <v/>
      </c>
      <c r="S25" s="17" t="str">
        <f>IF('Diseño 1"'!R42="","",'Diseño 1"'!R42)</f>
        <v/>
      </c>
      <c r="T25" s="242">
        <f>IF('Diseño 1"'!S42="","",'Diseño 1"'!S42)</f>
        <v>0.85</v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49" t="str">
        <f>IF('Diseño 1"'!AA42="","",'Diseño 1"'!AA42)</f>
        <v>TDF</v>
      </c>
      <c r="Z25" s="650"/>
      <c r="AA25" s="649" t="str">
        <f>IF('Diseño 1"'!AC42="","",'Diseño 1"'!AC42)</f>
        <v>TDF</v>
      </c>
      <c r="AB25" s="650"/>
      <c r="AC25" s="23" t="str">
        <f>IF('Diseño 1"'!AE42=TRUE,0.5,"")</f>
        <v/>
      </c>
      <c r="AD25" s="92">
        <f>IF('Diseño 1"'!AF42="","",'Diseño 1"'!AF42)</f>
        <v>1</v>
      </c>
      <c r="AE25" s="24">
        <f>'Diseño 1"'!AJ42</f>
        <v>0.5</v>
      </c>
      <c r="AF25" s="93">
        <f>'Diseño 1"'!AK42</f>
        <v>0</v>
      </c>
      <c r="AG25" s="243">
        <f>IF('Diseño 1"'!AN42="","",'Diseño 1"'!AN42)</f>
        <v>5.1720399999999991</v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95" t="str">
        <f>IF('Diseño 1"'!B43="","",'Diseño 1"'!B43)</f>
        <v/>
      </c>
      <c r="E26" s="651"/>
      <c r="F26" s="19" t="str">
        <f>IF('Diseño 1"'!C43=0,"",'Diseño 1"'!C43)</f>
        <v/>
      </c>
      <c r="G26" s="695" t="str">
        <f>IF('Diseño 1"'!D43="","",'Diseño 1"'!D43)</f>
        <v>Tae UI-1,3</v>
      </c>
      <c r="H26" s="651"/>
      <c r="I26" s="695" t="str">
        <f>IF('Diseño 1"'!F43="","",'Diseño 1"'!F43)</f>
        <v>Transformación</v>
      </c>
      <c r="J26" s="651"/>
      <c r="K26" s="20">
        <f>IF(I26="","",'Diseño 1"'!I43)</f>
        <v>1</v>
      </c>
      <c r="L26" s="17">
        <f>IF('Diseño 1"'!J43="","",'Diseño 1"'!J43)</f>
        <v>55</v>
      </c>
      <c r="M26" s="17">
        <f>IF('Diseño 1"'!K43="","",'Diseño 1"'!K43)</f>
        <v>30</v>
      </c>
      <c r="N26" s="17">
        <f>'Diseño 1"'!L43</f>
        <v>0</v>
      </c>
      <c r="O26" s="17" t="str">
        <f>IF('Diseño 1"'!M43="","",'Diseño 1"'!M43)</f>
        <v/>
      </c>
      <c r="P26" s="649" t="str">
        <f>IF('Diseño 1"'!N43="","",'Diseño 1"'!N43)</f>
        <v>Pareja Der. - Inf. Pareja</v>
      </c>
      <c r="Q26" s="651"/>
      <c r="R26" s="17">
        <f>IF('Diseño 1"'!Q43="","",'Diseño 1"'!Q43)</f>
        <v>35</v>
      </c>
      <c r="S26" s="17">
        <f>IF('Diseño 1"'!R43="","",'Diseño 1"'!R43)</f>
        <v>30</v>
      </c>
      <c r="T26" s="242">
        <f>IF('Diseño 1"'!S43="","",'Diseño 1"'!S43)</f>
        <v>0.2</v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49" t="str">
        <f>IF('Diseño 1"'!AA43="","",'Diseño 1"'!AA43)</f>
        <v>TDF</v>
      </c>
      <c r="Z26" s="650"/>
      <c r="AA26" s="649" t="str">
        <f>IF('Diseño 1"'!AC43="","",'Diseño 1"'!AC43)</f>
        <v>TDF</v>
      </c>
      <c r="AB26" s="650"/>
      <c r="AC26" s="23" t="str">
        <f>IF('Diseño 1"'!AE43=TRUE,0.5,"")</f>
        <v/>
      </c>
      <c r="AD26" s="92">
        <f>IF('Diseño 1"'!AF43="","",'Diseño 1"'!AF43)</f>
        <v>1</v>
      </c>
      <c r="AE26" s="24">
        <f>'Diseño 1"'!AJ43</f>
        <v>0.5</v>
      </c>
      <c r="AF26" s="93">
        <f>'Diseño 1"'!AK43</f>
        <v>0</v>
      </c>
      <c r="AG26" s="243">
        <f>IF('Diseño 1"'!AN43="","",'Diseño 1"'!AN43)</f>
        <v>2.0889600000000002</v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95" t="str">
        <f>IF('Diseño 1"'!B44="","",'Diseño 1"'!B44)</f>
        <v/>
      </c>
      <c r="E27" s="651"/>
      <c r="F27" s="19" t="str">
        <f>IF('Diseño 1"'!C44=0,"",'Diseño 1"'!C44)</f>
        <v/>
      </c>
      <c r="G27" s="695" t="str">
        <f>IF('Diseño 1"'!D44="","",'Diseño 1"'!D44)</f>
        <v/>
      </c>
      <c r="H27" s="651"/>
      <c r="I27" s="695" t="str">
        <f>IF('Diseño 1"'!F44="","",'Diseño 1"'!F44)</f>
        <v>Transformación</v>
      </c>
      <c r="J27" s="651"/>
      <c r="K27" s="20">
        <f>IF(I27="","",'Diseño 1"'!I44)</f>
        <v>1</v>
      </c>
      <c r="L27" s="17">
        <f>IF('Diseño 1"'!J44="","",'Diseño 1"'!J44)</f>
        <v>35</v>
      </c>
      <c r="M27" s="17">
        <f>IF('Diseño 1"'!K44="","",'Diseño 1"'!K44)</f>
        <v>30</v>
      </c>
      <c r="N27" s="17">
        <f>'Diseño 1"'!L44</f>
        <v>0</v>
      </c>
      <c r="O27" s="17" t="str">
        <f>IF('Diseño 1"'!M44="","",'Diseño 1"'!M44)</f>
        <v/>
      </c>
      <c r="P27" s="649" t="str">
        <f>IF('Diseño 1"'!N44="","",'Diseño 1"'!N44)</f>
        <v>Inferior Parejo</v>
      </c>
      <c r="Q27" s="651"/>
      <c r="R27" s="17">
        <f>IF('Diseño 1"'!Q44="","",'Diseño 1"'!Q44)</f>
        <v>35</v>
      </c>
      <c r="S27" s="17">
        <f>IF('Diseño 1"'!R44="","",'Diseño 1"'!R44)</f>
        <v>20</v>
      </c>
      <c r="T27" s="242">
        <f>IF('Diseño 1"'!S44="","",'Diseño 1"'!S44)</f>
        <v>0.6</v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49" t="str">
        <f>IF('Diseño 1"'!AA44="","",'Diseño 1"'!AA44)</f>
        <v>TDF</v>
      </c>
      <c r="Z27" s="650"/>
      <c r="AA27" s="649" t="str">
        <f>IF('Diseño 1"'!AC44="","",'Diseño 1"'!AC44)</f>
        <v>TDF</v>
      </c>
      <c r="AB27" s="650"/>
      <c r="AC27" s="115"/>
      <c r="AD27" s="116"/>
      <c r="AE27" s="24">
        <f>'Diseño 1"'!AJ44</f>
        <v>0.5</v>
      </c>
      <c r="AF27" s="93">
        <f>'Diseño 1"'!AK44</f>
        <v>0</v>
      </c>
      <c r="AG27" s="243">
        <f>IF('Diseño 1"'!AN44="","",'Diseño 1"'!AN44)</f>
        <v>3.8361600000000005</v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95" t="str">
        <f>IF('Diseño 1"'!B45="","",'Diseño 1"'!B45)</f>
        <v/>
      </c>
      <c r="E28" s="651"/>
      <c r="F28" s="19" t="str">
        <f>IF('Diseño 1"'!C45=0,"",'Diseño 1"'!C45)</f>
        <v/>
      </c>
      <c r="G28" s="695" t="str">
        <f>IF('Diseño 1"'!D45="","",'Diseño 1"'!D45)</f>
        <v/>
      </c>
      <c r="H28" s="651"/>
      <c r="I28" s="695" t="str">
        <f>IF('Diseño 1"'!F45="","",'Diseño 1"'!F45)</f>
        <v>Codo</v>
      </c>
      <c r="J28" s="651"/>
      <c r="K28" s="20">
        <f>IF(I28="","",'Diseño 1"'!I45)</f>
        <v>1</v>
      </c>
      <c r="L28" s="17">
        <f>IF('Diseño 1"'!J45="","",'Diseño 1"'!J45)</f>
        <v>35</v>
      </c>
      <c r="M28" s="17">
        <f>IF('Diseño 1"'!K45="","",'Diseño 1"'!K45)</f>
        <v>20</v>
      </c>
      <c r="N28" s="17">
        <f>'Diseño 1"'!L45</f>
        <v>10</v>
      </c>
      <c r="O28" s="17" t="str">
        <f>IF('Diseño 1"'!M45="","",'Diseño 1"'!M45)</f>
        <v/>
      </c>
      <c r="P28" s="649" t="str">
        <f>IF('Diseño 1"'!N45="","",'Diseño 1"'!N45)</f>
        <v/>
      </c>
      <c r="Q28" s="651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49" t="str">
        <f>IF('Diseño 1"'!AA45="","",'Diseño 1"'!AA45)</f>
        <v>TDF</v>
      </c>
      <c r="Z28" s="650"/>
      <c r="AA28" s="649" t="str">
        <f>IF('Diseño 1"'!AC45="","",'Diseño 1"'!AC45)</f>
        <v>TDF</v>
      </c>
      <c r="AB28" s="650"/>
      <c r="AC28" s="115"/>
      <c r="AD28" s="116"/>
      <c r="AE28" s="24">
        <f>'Diseño 1"'!AJ45</f>
        <v>0.5</v>
      </c>
      <c r="AF28" s="93">
        <f>'Diseño 1"'!AK45</f>
        <v>0</v>
      </c>
      <c r="AG28" s="243">
        <f>IF('Diseño 1"'!AN45="","",'Diseño 1"'!AN45)</f>
        <v>3.2387424300682759</v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95" t="str">
        <f>IF('Diseño 1"'!B46="","",'Diseño 1"'!B46)</f>
        <v/>
      </c>
      <c r="E29" s="651"/>
      <c r="F29" s="19" t="str">
        <f>IF('Diseño 1"'!C46=0,"",'Diseño 1"'!C46)</f>
        <v/>
      </c>
      <c r="G29" s="695" t="str">
        <f>IF('Diseño 1"'!D46="","",'Diseño 1"'!D46)</f>
        <v/>
      </c>
      <c r="H29" s="651"/>
      <c r="I29" s="695" t="str">
        <f>IF('Diseño 1"'!F46="","",'Diseño 1"'!F46)</f>
        <v>Unión c/ Lona</v>
      </c>
      <c r="J29" s="651"/>
      <c r="K29" s="20">
        <f>IF(I29="","",'Diseño 1"'!I46)</f>
        <v>1</v>
      </c>
      <c r="L29" s="17">
        <f>IF('Diseño 1"'!J46="","",'Diseño 1"'!J46)</f>
        <v>35</v>
      </c>
      <c r="M29" s="17">
        <f>IF('Diseño 1"'!K46="","",'Diseño 1"'!K46)</f>
        <v>20</v>
      </c>
      <c r="N29" s="17">
        <f>'Diseño 1"'!L46</f>
        <v>0</v>
      </c>
      <c r="O29" s="17" t="str">
        <f>IF('Diseño 1"'!M46="","",'Diseño 1"'!M46)</f>
        <v/>
      </c>
      <c r="P29" s="649" t="str">
        <f>IF('Diseño 1"'!N46="","",'Diseño 1"'!N46)</f>
        <v/>
      </c>
      <c r="Q29" s="651"/>
      <c r="R29" s="17" t="str">
        <f>IF('Diseño 1"'!Q46="","",'Diseño 1"'!Q46)</f>
        <v/>
      </c>
      <c r="S29" s="17" t="str">
        <f>IF('Diseño 1"'!R46="","",'Diseño 1"'!R46)</f>
        <v/>
      </c>
      <c r="T29" s="242">
        <f>IF('Diseño 1"'!S46="","",'Diseño 1"'!S46)</f>
        <v>0.2</v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49" t="str">
        <f>IF('Diseño 1"'!AA46="","",'Diseño 1"'!AA46)</f>
        <v>TDF</v>
      </c>
      <c r="Z29" s="650"/>
      <c r="AA29" s="649" t="str">
        <f>IF('Diseño 1"'!AC46="","",'Diseño 1"'!AC46)</f>
        <v>Escuadra</v>
      </c>
      <c r="AB29" s="650"/>
      <c r="AC29" s="115"/>
      <c r="AD29" s="116"/>
      <c r="AE29" s="24">
        <f>'Diseño 1"'!AJ46</f>
        <v>0.5</v>
      </c>
      <c r="AF29" s="93">
        <f>'Diseño 1"'!AK46</f>
        <v>0</v>
      </c>
      <c r="AG29" s="243" t="str">
        <f>IF('Diseño 1"'!AN46="","",'Diseño 1"'!AN46)</f>
        <v/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95" t="str">
        <f>IF('Diseño 1"'!B47="","",'Diseño 1"'!B47)</f>
        <v/>
      </c>
      <c r="E30" s="651"/>
      <c r="F30" s="19" t="str">
        <f>IF('Diseño 1"'!C47=0,"",'Diseño 1"'!C47)</f>
        <v/>
      </c>
      <c r="G30" s="695" t="str">
        <f>IF('Diseño 1"'!D47="","",'Diseño 1"'!D47)</f>
        <v/>
      </c>
      <c r="H30" s="651"/>
      <c r="I30" s="695" t="str">
        <f>IF('Diseño 1"'!F47="","",'Diseño 1"'!F47)</f>
        <v>S</v>
      </c>
      <c r="J30" s="651"/>
      <c r="K30" s="20">
        <f>IF(I30="","",'Diseño 1"'!I47)</f>
        <v>1</v>
      </c>
      <c r="L30" s="17">
        <f>IF('Diseño 1"'!J47="","",'Diseño 1"'!J47)</f>
        <v>20</v>
      </c>
      <c r="M30" s="17">
        <f>IF('Diseño 1"'!K47="","",'Diseño 1"'!K47)</f>
        <v>35</v>
      </c>
      <c r="N30" s="17">
        <f>'Diseño 1"'!L47</f>
        <v>0</v>
      </c>
      <c r="O30" s="17">
        <f>IF('Diseño 1"'!M47="","",'Diseño 1"'!M47)</f>
        <v>30</v>
      </c>
      <c r="P30" s="649" t="str">
        <f>IF('Diseño 1"'!N47="","",'Diseño 1"'!N47)</f>
        <v/>
      </c>
      <c r="Q30" s="651"/>
      <c r="R30" s="17" t="str">
        <f>IF('Diseño 1"'!Q47="","",'Diseño 1"'!Q47)</f>
        <v/>
      </c>
      <c r="S30" s="17" t="str">
        <f>IF('Diseño 1"'!R47="","",'Diseño 1"'!R47)</f>
        <v/>
      </c>
      <c r="T30" s="242">
        <f>IF('Diseño 1"'!S47="","",'Diseño 1"'!S47)</f>
        <v>0.48</v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49" t="str">
        <f>IF('Diseño 1"'!AA47="","",'Diseño 1"'!AA47)</f>
        <v>TDF</v>
      </c>
      <c r="Z30" s="650"/>
      <c r="AA30" s="649" t="str">
        <f>IF('Diseño 1"'!AC47="","",'Diseño 1"'!AC47)</f>
        <v>TDF</v>
      </c>
      <c r="AB30" s="650"/>
      <c r="AC30" s="115"/>
      <c r="AD30" s="116"/>
      <c r="AE30" s="24">
        <f>'Diseño 1"'!AJ47</f>
        <v>0.5</v>
      </c>
      <c r="AF30" s="93">
        <f>'Diseño 1"'!AK47</f>
        <v>0</v>
      </c>
      <c r="AG30" s="243">
        <f>IF('Diseño 1"'!AN47="","",'Diseño 1"'!AN47)</f>
        <v>2.7191999999999998</v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96" t="str">
        <f>IF('Diseño 1"'!B48="","",'Diseño 1"'!B48)</f>
        <v/>
      </c>
      <c r="E31" s="697"/>
      <c r="F31" s="96" t="str">
        <f>IF('Diseño 1"'!C48=0,"",'Diseño 1"'!C48)</f>
        <v/>
      </c>
      <c r="G31" s="696" t="str">
        <f>IF('Diseño 1"'!D48="","",'Diseño 1"'!D48)</f>
        <v/>
      </c>
      <c r="H31" s="697"/>
      <c r="I31" s="696" t="str">
        <f>IF('Diseño 1"'!F48="","",'Diseño 1"'!F48)</f>
        <v>S</v>
      </c>
      <c r="J31" s="697"/>
      <c r="K31" s="97">
        <f>IF(I31="","",'Diseño 1"'!I48)</f>
        <v>1</v>
      </c>
      <c r="L31" s="98">
        <f>IF('Diseño 1"'!J48="","",'Diseño 1"'!J48)</f>
        <v>35</v>
      </c>
      <c r="M31" s="98">
        <f>IF('Diseño 1"'!K48="","",'Diseño 1"'!K48)</f>
        <v>30</v>
      </c>
      <c r="N31" s="98">
        <f>'Diseño 1"'!L48</f>
        <v>0</v>
      </c>
      <c r="O31" s="98">
        <f>IF('Diseño 1"'!M48="","",'Diseño 1"'!M48)</f>
        <v>17</v>
      </c>
      <c r="P31" s="652" t="str">
        <f>IF('Diseño 1"'!N48="","",'Diseño 1"'!N48)</f>
        <v/>
      </c>
      <c r="Q31" s="697"/>
      <c r="R31" s="98" t="str">
        <f>IF('Diseño 1"'!Q48="","",'Diseño 1"'!Q48)</f>
        <v/>
      </c>
      <c r="S31" s="98" t="str">
        <f>IF('Diseño 1"'!R48="","",'Diseño 1"'!R48)</f>
        <v/>
      </c>
      <c r="T31" s="532">
        <f>IF('Diseño 1"'!S48="","",'Diseño 1"'!S48)</f>
        <v>0.48</v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52" t="str">
        <f>IF('Diseño 1"'!AA48="","",'Diseño 1"'!AA48)</f>
        <v>TDF</v>
      </c>
      <c r="Z31" s="653"/>
      <c r="AA31" s="652" t="str">
        <f>IF('Diseño 1"'!AC48="","",'Diseño 1"'!AC48)</f>
        <v>TDF</v>
      </c>
      <c r="AB31" s="653"/>
      <c r="AC31" s="101"/>
      <c r="AD31" s="102"/>
      <c r="AE31" s="103">
        <f>'Diseño 1"'!AJ48</f>
        <v>0.5</v>
      </c>
      <c r="AF31" s="104">
        <f>'Diseño 1"'!AK48</f>
        <v>0</v>
      </c>
      <c r="AG31" s="244">
        <f>IF('Diseño 1"'!AN48="","",'Diseño 1"'!AN48)</f>
        <v>3.1991999999999998</v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31"/>
      <c r="Q33" s="632"/>
      <c r="R33" s="76"/>
      <c r="S33" s="76"/>
      <c r="T33" s="76"/>
      <c r="U33" s="77"/>
      <c r="V33" s="65"/>
      <c r="W33" s="633" t="s">
        <v>213</v>
      </c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4"/>
      <c r="AI33" s="635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98" t="str">
        <f>+'Diseño 1"'!AB13</f>
        <v>ESCRIBE AQUÍ</v>
      </c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9"/>
      <c r="V34" s="65"/>
      <c r="W34" s="636" t="s">
        <v>211</v>
      </c>
      <c r="X34" s="637"/>
      <c r="Y34" s="637"/>
      <c r="Z34" s="637"/>
      <c r="AA34" s="637"/>
      <c r="AB34" s="638"/>
      <c r="AC34" s="66"/>
      <c r="AD34" s="67"/>
      <c r="AE34" s="639" t="s">
        <v>212</v>
      </c>
      <c r="AF34" s="637"/>
      <c r="AG34" s="637"/>
      <c r="AH34" s="637"/>
      <c r="AI34" s="640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698"/>
      <c r="O35" s="698"/>
      <c r="P35" s="698"/>
      <c r="Q35" s="698"/>
      <c r="R35" s="698"/>
      <c r="S35" s="698"/>
      <c r="T35" s="698"/>
      <c r="U35" s="699"/>
      <c r="V35" s="65"/>
      <c r="W35" s="58"/>
      <c r="X35" s="5"/>
      <c r="Y35" s="5"/>
      <c r="Z35" s="5"/>
      <c r="AA35" s="641"/>
      <c r="AB35" s="642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98"/>
      <c r="E36" s="698"/>
      <c r="F36" s="698"/>
      <c r="G36" s="698"/>
      <c r="H36" s="698"/>
      <c r="I36" s="698"/>
      <c r="J36" s="698"/>
      <c r="K36" s="698"/>
      <c r="L36" s="698"/>
      <c r="M36" s="698"/>
      <c r="N36" s="698"/>
      <c r="O36" s="698"/>
      <c r="P36" s="698"/>
      <c r="Q36" s="698"/>
      <c r="R36" s="698"/>
      <c r="S36" s="698"/>
      <c r="T36" s="698"/>
      <c r="U36" s="699"/>
      <c r="V36" s="65"/>
      <c r="W36" s="58"/>
      <c r="X36" s="5"/>
      <c r="Y36" s="5"/>
      <c r="Z36" s="5"/>
      <c r="AA36" s="641"/>
      <c r="AB36" s="642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9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98"/>
      <c r="E38" s="698"/>
      <c r="F38" s="698"/>
      <c r="G38" s="698"/>
      <c r="H38" s="698"/>
      <c r="I38" s="698"/>
      <c r="J38" s="698"/>
      <c r="K38" s="698"/>
      <c r="L38" s="698"/>
      <c r="M38" s="698"/>
      <c r="N38" s="698"/>
      <c r="O38" s="698"/>
      <c r="P38" s="698"/>
      <c r="Q38" s="698"/>
      <c r="R38" s="698"/>
      <c r="S38" s="698"/>
      <c r="T38" s="698"/>
      <c r="U38" s="699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698"/>
      <c r="O39" s="698"/>
      <c r="P39" s="698"/>
      <c r="Q39" s="698"/>
      <c r="R39" s="698"/>
      <c r="S39" s="698"/>
      <c r="T39" s="698"/>
      <c r="U39" s="699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698"/>
      <c r="O40" s="698"/>
      <c r="P40" s="698"/>
      <c r="Q40" s="698"/>
      <c r="R40" s="698"/>
      <c r="S40" s="698"/>
      <c r="T40" s="698"/>
      <c r="U40" s="699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700"/>
      <c r="E41" s="700"/>
      <c r="F41" s="700"/>
      <c r="G41" s="700"/>
      <c r="H41" s="700"/>
      <c r="I41" s="700"/>
      <c r="J41" s="700"/>
      <c r="K41" s="700"/>
      <c r="L41" s="700"/>
      <c r="M41" s="700"/>
      <c r="N41" s="700"/>
      <c r="O41" s="700"/>
      <c r="P41" s="700"/>
      <c r="Q41" s="700"/>
      <c r="R41" s="700"/>
      <c r="S41" s="700"/>
      <c r="T41" s="700"/>
      <c r="U41" s="701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E3" zoomScale="117" zoomScaleNormal="70" workbookViewId="0">
      <selection activeCell="M7" sqref="M7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0" t="s">
        <v>3</v>
      </c>
      <c r="AQ2" s="711"/>
      <c r="AR2" s="711"/>
      <c r="AS2" s="711"/>
      <c r="AT2" s="711"/>
      <c r="AU2" s="711"/>
      <c r="AV2" s="711"/>
      <c r="AW2" s="711"/>
      <c r="AX2" s="711"/>
      <c r="AY2" s="711"/>
      <c r="AZ2" s="711"/>
      <c r="BA2" s="711"/>
      <c r="BB2" s="711"/>
      <c r="BC2" s="711"/>
      <c r="BD2" s="711"/>
      <c r="BE2" s="711"/>
      <c r="BF2" s="711"/>
      <c r="BG2" s="711"/>
      <c r="BH2" s="711"/>
      <c r="BI2" s="711"/>
      <c r="BJ2" s="711"/>
      <c r="BK2" s="711"/>
      <c r="BL2" s="711"/>
      <c r="BM2" s="712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3"/>
      <c r="AQ3" s="714"/>
      <c r="AR3" s="714"/>
      <c r="AS3" s="714"/>
      <c r="AT3" s="714"/>
      <c r="AU3" s="714"/>
      <c r="AV3" s="714"/>
      <c r="AW3" s="714"/>
      <c r="AX3" s="714"/>
      <c r="AY3" s="714"/>
      <c r="AZ3" s="714"/>
      <c r="BA3" s="714"/>
      <c r="BB3" s="714"/>
      <c r="BC3" s="714"/>
      <c r="BD3" s="714"/>
      <c r="BE3" s="714"/>
      <c r="BF3" s="714"/>
      <c r="BG3" s="714"/>
      <c r="BH3" s="714"/>
      <c r="BI3" s="714"/>
      <c r="BJ3" s="714"/>
      <c r="BK3" s="714"/>
      <c r="BL3" s="714"/>
      <c r="BM3" s="715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/>
      <c r="E5" s="126"/>
      <c r="F5" s="126"/>
      <c r="G5" s="139"/>
      <c r="H5" s="603" t="s">
        <v>5</v>
      </c>
      <c r="I5" s="593"/>
      <c r="J5" s="604"/>
      <c r="K5" s="231"/>
      <c r="L5" s="229"/>
      <c r="M5" s="229"/>
      <c r="N5" s="230"/>
      <c r="O5" s="126"/>
      <c r="P5" s="136" t="s">
        <v>6</v>
      </c>
      <c r="Q5" s="140"/>
      <c r="R5" s="592"/>
      <c r="S5" s="593"/>
      <c r="T5" s="594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/>
      <c r="E6" s="126"/>
      <c r="F6" s="126"/>
      <c r="G6" s="139"/>
      <c r="H6" s="603" t="s">
        <v>8</v>
      </c>
      <c r="I6" s="593"/>
      <c r="J6" s="594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/>
      <c r="E7" s="126"/>
      <c r="F7" s="126"/>
      <c r="G7" s="126"/>
      <c r="H7" s="603" t="s">
        <v>239</v>
      </c>
      <c r="I7" s="593"/>
      <c r="J7" s="594"/>
      <c r="K7" s="245"/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8" t="s">
        <v>201</v>
      </c>
      <c r="C9" s="593"/>
      <c r="D9" s="593"/>
      <c r="E9" s="593"/>
      <c r="F9" s="593"/>
      <c r="G9" s="593"/>
      <c r="H9" s="593"/>
      <c r="I9" s="593"/>
      <c r="J9" s="593"/>
      <c r="K9" s="594"/>
      <c r="L9" s="146"/>
      <c r="M9" s="147"/>
      <c r="N9" s="618" t="s">
        <v>10</v>
      </c>
      <c r="O9" s="593"/>
      <c r="P9" s="593"/>
      <c r="Q9" s="593"/>
      <c r="R9" s="593"/>
      <c r="S9" s="594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616" t="s">
        <v>11</v>
      </c>
      <c r="C10" s="594"/>
      <c r="D10" s="150" t="s">
        <v>12</v>
      </c>
      <c r="E10" s="616" t="s">
        <v>13</v>
      </c>
      <c r="F10" s="594"/>
      <c r="G10" s="616" t="s">
        <v>14</v>
      </c>
      <c r="H10" s="594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616" t="s">
        <v>19</v>
      </c>
      <c r="R10" s="594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20"/>
      <c r="F11" s="609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20"/>
      <c r="R11" s="609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20"/>
      <c r="F12" s="609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617" t="s">
        <v>23</v>
      </c>
      <c r="R12" s="609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7" t="s">
        <v>25</v>
      </c>
      <c r="AQ12" s="714"/>
      <c r="AR12" s="714"/>
      <c r="AS12" s="718" t="s">
        <v>26</v>
      </c>
      <c r="AT12" s="714"/>
      <c r="AU12" s="714"/>
      <c r="AV12" s="716" t="s">
        <v>27</v>
      </c>
      <c r="AW12" s="714"/>
      <c r="AX12" s="716" t="s">
        <v>28</v>
      </c>
      <c r="AY12" s="714"/>
      <c r="AZ12" s="714"/>
      <c r="BA12" s="716" t="s">
        <v>29</v>
      </c>
      <c r="BB12" s="714"/>
      <c r="BC12" s="716" t="s">
        <v>30</v>
      </c>
      <c r="BD12" s="714"/>
      <c r="BE12" s="714"/>
      <c r="BF12" s="716" t="s">
        <v>31</v>
      </c>
      <c r="BG12" s="714"/>
      <c r="BH12" s="714"/>
      <c r="BI12" s="716" t="s">
        <v>32</v>
      </c>
      <c r="BJ12" s="714"/>
      <c r="BK12" s="714"/>
      <c r="BL12" s="716" t="s">
        <v>33</v>
      </c>
      <c r="BM12" s="715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20">
        <v>0.5</v>
      </c>
      <c r="F13" s="609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617" t="s">
        <v>34</v>
      </c>
      <c r="R13" s="609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20">
        <v>0.5</v>
      </c>
      <c r="F14" s="609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617" t="s">
        <v>35</v>
      </c>
      <c r="R14" s="609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20">
        <v>0.6</v>
      </c>
      <c r="F15" s="609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617" t="s">
        <v>36</v>
      </c>
      <c r="R15" s="609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20">
        <v>0.8</v>
      </c>
      <c r="F16" s="609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617" t="s">
        <v>38</v>
      </c>
      <c r="R16" s="609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20">
        <v>1</v>
      </c>
      <c r="F17" s="609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617" t="s">
        <v>40</v>
      </c>
      <c r="R17" s="609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05" t="s">
        <v>41</v>
      </c>
      <c r="F18" s="606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617" t="s">
        <v>42</v>
      </c>
      <c r="R18" s="609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617" t="s">
        <v>44</v>
      </c>
      <c r="R19" s="609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07" t="s">
        <v>43</v>
      </c>
      <c r="C20" s="608"/>
      <c r="D20" s="608"/>
      <c r="E20" s="608"/>
      <c r="F20" s="608"/>
      <c r="G20" s="608"/>
      <c r="H20" s="608"/>
      <c r="I20" s="608"/>
      <c r="J20" s="608"/>
      <c r="K20" s="609"/>
      <c r="L20" s="312"/>
      <c r="M20" s="308"/>
      <c r="N20" s="1"/>
      <c r="O20" s="1"/>
      <c r="P20" s="1"/>
      <c r="Q20" s="62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10" t="s">
        <v>47</v>
      </c>
      <c r="C21" s="611"/>
      <c r="D21" s="614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15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12"/>
      <c r="C22" s="613"/>
      <c r="D22" s="615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30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15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30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15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616" t="s">
        <v>61</v>
      </c>
      <c r="E28" s="594"/>
      <c r="F28" s="616" t="s">
        <v>62</v>
      </c>
      <c r="G28" s="593"/>
      <c r="H28" s="594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616" t="s">
        <v>67</v>
      </c>
      <c r="O28" s="593"/>
      <c r="P28" s="594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616" t="s">
        <v>75</v>
      </c>
      <c r="AB28" s="594"/>
      <c r="AC28" s="616" t="s">
        <v>76</v>
      </c>
      <c r="AD28" s="594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26" t="s">
        <v>13</v>
      </c>
      <c r="AK28" s="627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>
        <v>1</v>
      </c>
      <c r="B29" s="191"/>
      <c r="C29" s="192"/>
      <c r="D29" s="592"/>
      <c r="E29" s="594"/>
      <c r="F29" s="592"/>
      <c r="G29" s="593"/>
      <c r="H29" s="594"/>
      <c r="I29" s="192"/>
      <c r="J29" s="192"/>
      <c r="K29" s="192"/>
      <c r="L29" s="192"/>
      <c r="M29" s="192"/>
      <c r="N29" s="595"/>
      <c r="O29" s="593"/>
      <c r="P29" s="594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5"/>
      <c r="AB29" s="594"/>
      <c r="AC29" s="595"/>
      <c r="AD29" s="594"/>
      <c r="AE29" s="196" t="b">
        <v>0</v>
      </c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>
        <v>2</v>
      </c>
      <c r="B30" s="191"/>
      <c r="C30" s="192"/>
      <c r="D30" s="592"/>
      <c r="E30" s="594"/>
      <c r="F30" s="592"/>
      <c r="G30" s="593"/>
      <c r="H30" s="594"/>
      <c r="I30" s="192"/>
      <c r="J30" s="192"/>
      <c r="K30" s="192"/>
      <c r="L30" s="192"/>
      <c r="M30" s="192"/>
      <c r="N30" s="595"/>
      <c r="O30" s="593"/>
      <c r="P30" s="594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5"/>
      <c r="AB30" s="594"/>
      <c r="AC30" s="595"/>
      <c r="AD30" s="594"/>
      <c r="AE30" s="197" t="b">
        <v>0</v>
      </c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>
        <v>3</v>
      </c>
      <c r="B31" s="191"/>
      <c r="C31" s="192"/>
      <c r="D31" s="592"/>
      <c r="E31" s="706"/>
      <c r="F31" s="592"/>
      <c r="G31" s="593"/>
      <c r="H31" s="594"/>
      <c r="I31" s="192"/>
      <c r="J31" s="192"/>
      <c r="K31" s="192"/>
      <c r="L31" s="192"/>
      <c r="M31" s="192"/>
      <c r="N31" s="595"/>
      <c r="O31" s="593"/>
      <c r="P31" s="594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5"/>
      <c r="AB31" s="594"/>
      <c r="AC31" s="595"/>
      <c r="AD31" s="594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>
        <v>4</v>
      </c>
      <c r="B32" s="191"/>
      <c r="C32" s="192"/>
      <c r="D32" s="592"/>
      <c r="E32" s="706"/>
      <c r="F32" s="592"/>
      <c r="G32" s="593"/>
      <c r="H32" s="594"/>
      <c r="I32" s="192"/>
      <c r="J32" s="192"/>
      <c r="K32" s="192"/>
      <c r="L32" s="192"/>
      <c r="M32" s="192"/>
      <c r="N32" s="595"/>
      <c r="O32" s="593"/>
      <c r="P32" s="594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5"/>
      <c r="AB32" s="594"/>
      <c r="AC32" s="595"/>
      <c r="AD32" s="594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706"/>
      <c r="F33" s="592"/>
      <c r="G33" s="593"/>
      <c r="H33" s="594"/>
      <c r="I33" s="192"/>
      <c r="J33" s="192"/>
      <c r="K33" s="192"/>
      <c r="L33" s="192"/>
      <c r="M33" s="192"/>
      <c r="N33" s="595"/>
      <c r="O33" s="593"/>
      <c r="P33" s="594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5"/>
      <c r="AB33" s="594"/>
      <c r="AC33" s="595"/>
      <c r="AD33" s="594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706"/>
      <c r="F34" s="707"/>
      <c r="G34" s="708"/>
      <c r="H34" s="709"/>
      <c r="I34" s="396"/>
      <c r="J34" s="396"/>
      <c r="K34" s="396"/>
      <c r="L34" s="192"/>
      <c r="M34" s="192"/>
      <c r="N34" s="595"/>
      <c r="O34" s="593"/>
      <c r="P34" s="594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09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594"/>
      <c r="F35" s="707"/>
      <c r="G35" s="708"/>
      <c r="H35" s="709"/>
      <c r="I35" s="396"/>
      <c r="J35" s="396"/>
      <c r="K35" s="396"/>
      <c r="L35" s="192"/>
      <c r="M35" s="192"/>
      <c r="N35" s="595"/>
      <c r="O35" s="593"/>
      <c r="P35" s="594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09"/>
      <c r="AE35" s="197" t="b">
        <v>0</v>
      </c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594"/>
      <c r="F36" s="707"/>
      <c r="G36" s="708"/>
      <c r="H36" s="709"/>
      <c r="I36" s="396"/>
      <c r="J36" s="396"/>
      <c r="K36" s="396"/>
      <c r="L36" s="192"/>
      <c r="M36" s="192"/>
      <c r="N36" s="595"/>
      <c r="O36" s="593"/>
      <c r="P36" s="594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09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594"/>
      <c r="F37" s="707"/>
      <c r="G37" s="708"/>
      <c r="H37" s="709"/>
      <c r="I37" s="396"/>
      <c r="J37" s="396"/>
      <c r="K37" s="396"/>
      <c r="L37" s="192"/>
      <c r="M37" s="192"/>
      <c r="N37" s="595"/>
      <c r="O37" s="593"/>
      <c r="P37" s="594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09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594"/>
      <c r="F38" s="707"/>
      <c r="G38" s="708"/>
      <c r="H38" s="709"/>
      <c r="I38" s="396"/>
      <c r="J38" s="396"/>
      <c r="K38" s="396"/>
      <c r="L38" s="192"/>
      <c r="M38" s="192"/>
      <c r="N38" s="595"/>
      <c r="O38" s="593"/>
      <c r="P38" s="594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09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594"/>
      <c r="F39" s="707"/>
      <c r="G39" s="708"/>
      <c r="H39" s="709"/>
      <c r="I39" s="396"/>
      <c r="J39" s="396"/>
      <c r="K39" s="396"/>
      <c r="L39" s="192"/>
      <c r="M39" s="192"/>
      <c r="N39" s="595"/>
      <c r="O39" s="593"/>
      <c r="P39" s="594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09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594"/>
      <c r="F40" s="707"/>
      <c r="G40" s="708"/>
      <c r="H40" s="709"/>
      <c r="I40" s="396"/>
      <c r="J40" s="396"/>
      <c r="K40" s="396"/>
      <c r="L40" s="192"/>
      <c r="M40" s="192"/>
      <c r="N40" s="595"/>
      <c r="O40" s="593"/>
      <c r="P40" s="594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09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594"/>
      <c r="F41" s="707"/>
      <c r="G41" s="708"/>
      <c r="H41" s="709"/>
      <c r="I41" s="396"/>
      <c r="J41" s="396"/>
      <c r="K41" s="396"/>
      <c r="L41" s="192"/>
      <c r="M41" s="192"/>
      <c r="N41" s="595"/>
      <c r="O41" s="593"/>
      <c r="P41" s="594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09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594"/>
      <c r="F42" s="592"/>
      <c r="G42" s="593"/>
      <c r="H42" s="594"/>
      <c r="I42" s="192"/>
      <c r="J42" s="192"/>
      <c r="K42" s="192"/>
      <c r="L42" s="192"/>
      <c r="M42" s="192"/>
      <c r="N42" s="595"/>
      <c r="O42" s="593"/>
      <c r="P42" s="594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5"/>
      <c r="AB42" s="594"/>
      <c r="AC42" s="595"/>
      <c r="AD42" s="594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594"/>
      <c r="F43" s="592"/>
      <c r="G43" s="593"/>
      <c r="H43" s="594"/>
      <c r="I43" s="192"/>
      <c r="J43" s="192"/>
      <c r="K43" s="192"/>
      <c r="L43" s="192"/>
      <c r="M43" s="192"/>
      <c r="N43" s="595"/>
      <c r="O43" s="593"/>
      <c r="P43" s="594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5"/>
      <c r="AB43" s="594"/>
      <c r="AC43" s="595"/>
      <c r="AD43" s="594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594"/>
      <c r="F44" s="592"/>
      <c r="G44" s="593"/>
      <c r="H44" s="594"/>
      <c r="I44" s="192"/>
      <c r="J44" s="192"/>
      <c r="K44" s="192"/>
      <c r="L44" s="192"/>
      <c r="M44" s="192"/>
      <c r="N44" s="595"/>
      <c r="O44" s="593"/>
      <c r="P44" s="594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5"/>
      <c r="AB44" s="594"/>
      <c r="AC44" s="595"/>
      <c r="AD44" s="594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594"/>
      <c r="F45" s="592"/>
      <c r="G45" s="593"/>
      <c r="H45" s="594"/>
      <c r="I45" s="192"/>
      <c r="J45" s="192"/>
      <c r="K45" s="192"/>
      <c r="L45" s="192"/>
      <c r="M45" s="192"/>
      <c r="N45" s="595"/>
      <c r="O45" s="593"/>
      <c r="P45" s="594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5"/>
      <c r="AB45" s="594"/>
      <c r="AC45" s="595"/>
      <c r="AD45" s="594"/>
      <c r="AE45" s="197" t="b">
        <v>0</v>
      </c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594"/>
      <c r="F46" s="592"/>
      <c r="G46" s="593"/>
      <c r="H46" s="594"/>
      <c r="I46" s="192"/>
      <c r="J46" s="192"/>
      <c r="K46" s="192"/>
      <c r="L46" s="192"/>
      <c r="M46" s="192"/>
      <c r="N46" s="595"/>
      <c r="O46" s="593"/>
      <c r="P46" s="594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5"/>
      <c r="AB46" s="594"/>
      <c r="AC46" s="595"/>
      <c r="AD46" s="594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594"/>
      <c r="F47" s="592"/>
      <c r="G47" s="593"/>
      <c r="H47" s="594"/>
      <c r="I47" s="192"/>
      <c r="J47" s="192"/>
      <c r="K47" s="192"/>
      <c r="L47" s="192"/>
      <c r="M47" s="192"/>
      <c r="N47" s="595"/>
      <c r="O47" s="593"/>
      <c r="P47" s="594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5"/>
      <c r="AB47" s="594"/>
      <c r="AC47" s="595"/>
      <c r="AD47" s="594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594"/>
      <c r="F48" s="592"/>
      <c r="G48" s="593"/>
      <c r="H48" s="594"/>
      <c r="I48" s="192"/>
      <c r="J48" s="192"/>
      <c r="K48" s="192"/>
      <c r="L48" s="192"/>
      <c r="M48" s="192"/>
      <c r="N48" s="595"/>
      <c r="O48" s="593"/>
      <c r="P48" s="594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5"/>
      <c r="AB48" s="594"/>
      <c r="AC48" s="595"/>
      <c r="AD48" s="594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20" t="s">
        <v>110</v>
      </c>
      <c r="B50" s="721"/>
      <c r="C50" s="721"/>
      <c r="D50" s="721"/>
      <c r="E50" s="721"/>
      <c r="F50" s="721"/>
      <c r="G50" s="721"/>
      <c r="H50" s="721"/>
      <c r="I50" s="721"/>
      <c r="J50" s="721"/>
      <c r="K50" s="721"/>
      <c r="L50" s="721"/>
      <c r="M50" s="721"/>
      <c r="N50" s="721"/>
      <c r="O50" s="721"/>
      <c r="P50" s="721"/>
      <c r="Q50" s="721"/>
      <c r="R50" s="721"/>
      <c r="S50" s="721"/>
      <c r="T50" s="721"/>
      <c r="U50" s="72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</mergeCells>
  <dataValidations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47" t="s">
        <v>225</v>
      </c>
      <c r="AH2" s="647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47" t="s">
        <v>188</v>
      </c>
      <c r="AE3" s="647"/>
      <c r="AF3" s="647"/>
      <c r="AG3" s="647"/>
      <c r="AH3" s="647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2"'!D5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2"'!K5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5"/>
      <c r="AJ5" s="5"/>
      <c r="AK5" s="5"/>
      <c r="AL5" s="5"/>
      <c r="AM5" s="5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2"'!D6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5"/>
      <c r="AJ6" s="5"/>
      <c r="AK6" s="5"/>
      <c r="AL6" s="5"/>
      <c r="AM6" s="5"/>
    </row>
    <row r="7" spans="2:39" ht="15" customHeight="1" x14ac:dyDescent="0.2">
      <c r="B7" s="663" t="s">
        <v>9</v>
      </c>
      <c r="C7" s="664"/>
      <c r="D7" s="664"/>
      <c r="E7" s="664"/>
      <c r="F7" s="544">
        <f>+'Diseño 2"'!D7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5" t="s">
        <v>236</v>
      </c>
      <c r="Q7" s="666"/>
      <c r="R7" s="667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2"'!K7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2"'!K6</f>
        <v>0</v>
      </c>
      <c r="T8" s="672"/>
      <c r="U8" s="672"/>
      <c r="V8" s="673"/>
      <c r="W8" s="534">
        <f>SUMIFS('Diseño 1"'!AN29:AN48,'Diseño 1"'!AJ29:AJ48,0.5)</f>
        <v>54.66417600889482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33">
        <f>SUM(W8:AE8)</f>
        <v>54.66417600889482</v>
      </c>
      <c r="AG8" s="73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643" t="s">
        <v>208</v>
      </c>
      <c r="AH10" s="644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89" t="s">
        <v>60</v>
      </c>
      <c r="D11" s="690"/>
      <c r="E11" s="259" t="s">
        <v>59</v>
      </c>
      <c r="F11" s="689" t="s">
        <v>61</v>
      </c>
      <c r="G11" s="690"/>
      <c r="H11" s="689" t="s">
        <v>62</v>
      </c>
      <c r="I11" s="690"/>
      <c r="J11" s="259" t="s">
        <v>20</v>
      </c>
      <c r="K11" s="689" t="s">
        <v>193</v>
      </c>
      <c r="L11" s="690"/>
      <c r="M11" s="259" t="s">
        <v>65</v>
      </c>
      <c r="N11" s="259" t="s">
        <v>66</v>
      </c>
      <c r="O11" s="689" t="s">
        <v>67</v>
      </c>
      <c r="P11" s="690"/>
      <c r="Q11" s="689" t="s">
        <v>194</v>
      </c>
      <c r="R11" s="69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89" t="s">
        <v>75</v>
      </c>
      <c r="Y11" s="690"/>
      <c r="Z11" s="689" t="s">
        <v>76</v>
      </c>
      <c r="AA11" s="690"/>
      <c r="AB11" s="90" t="s">
        <v>195</v>
      </c>
      <c r="AC11" s="125" t="s">
        <v>78</v>
      </c>
      <c r="AD11" s="689" t="s">
        <v>196</v>
      </c>
      <c r="AE11" s="69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29" t="str">
        <f>IF('Diseño 2"'!B29="","",'Diseño 2"'!B29)</f>
        <v/>
      </c>
      <c r="D12" s="727"/>
      <c r="E12" s="247" t="str">
        <f>IF('Diseño 2"'!C29=0,"",'Diseño 2"'!C29)</f>
        <v/>
      </c>
      <c r="F12" s="729" t="str">
        <f>IF('Diseño 2"'!D29="","",'Diseño 2"'!D29)</f>
        <v/>
      </c>
      <c r="G12" s="727"/>
      <c r="H12" s="693" t="str">
        <f>IF('Diseño 2"'!F29="","",'Diseño 2"'!F29)</f>
        <v/>
      </c>
      <c r="I12" s="694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26" t="str">
        <f>IF('Diseño 2"'!N29="","",'Diseño 2"'!N29)</f>
        <v/>
      </c>
      <c r="P12" s="727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87" t="str">
        <f>IF('Diseño 2"'!AA29="","",'Diseño 2"'!AA29)</f>
        <v/>
      </c>
      <c r="Y12" s="694"/>
      <c r="Z12" s="687" t="str">
        <f>IF('Diseño 2"'!AC29="","",'Diseño 2"'!AC29)</f>
        <v/>
      </c>
      <c r="AA12" s="694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4" t="str">
        <f>IF('Diseño 2"'!B30="","",'Diseño 2"'!B30)</f>
        <v/>
      </c>
      <c r="D13" s="725"/>
      <c r="E13" s="19" t="str">
        <f>IF('Diseño 2"'!C30=0,"",'Diseño 2"'!C30)</f>
        <v/>
      </c>
      <c r="F13" s="724" t="str">
        <f>IF('Diseño 2"'!D30="","",'Diseño 2"'!D30)</f>
        <v/>
      </c>
      <c r="G13" s="725"/>
      <c r="H13" s="695" t="str">
        <f>IF('Diseño 2"'!F30="","",'Diseño 2"'!F30)</f>
        <v/>
      </c>
      <c r="I13" s="651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8" t="str">
        <f>IF('Diseño 2"'!N30="","",'Diseño 2"'!N30)</f>
        <v/>
      </c>
      <c r="P13" s="725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49" t="str">
        <f>IF('Diseño 2"'!AA30="","",'Diseño 2"'!AA30)</f>
        <v/>
      </c>
      <c r="Y13" s="651"/>
      <c r="Z13" s="649" t="str">
        <f>IF('Diseño 2"'!AC30="","",'Diseño 2"'!AC30)</f>
        <v/>
      </c>
      <c r="AA13" s="651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4" t="str">
        <f>IF('Diseño 2"'!B31="","",'Diseño 2"'!B31)</f>
        <v/>
      </c>
      <c r="D14" s="725"/>
      <c r="E14" s="19" t="str">
        <f>IF('Diseño 2"'!C31=0,"",'Diseño 2"'!C31)</f>
        <v/>
      </c>
      <c r="F14" s="724" t="str">
        <f>IF('Diseño 2"'!D31="","",'Diseño 2"'!D31)</f>
        <v/>
      </c>
      <c r="G14" s="725"/>
      <c r="H14" s="695" t="str">
        <f>IF('Diseño 2"'!F31="","",'Diseño 2"'!F31)</f>
        <v/>
      </c>
      <c r="I14" s="651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8" t="str">
        <f>IF('Diseño 2"'!N31="","",'Diseño 2"'!N31)</f>
        <v/>
      </c>
      <c r="P14" s="725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49" t="str">
        <f>IF('Diseño 2"'!AA31="","",'Diseño 2"'!AA31)</f>
        <v/>
      </c>
      <c r="Y14" s="651"/>
      <c r="Z14" s="649" t="str">
        <f>IF('Diseño 2"'!AC31="","",'Diseño 2"'!AC31)</f>
        <v/>
      </c>
      <c r="AA14" s="651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4" t="str">
        <f>IF('Diseño 2"'!B32="","",'Diseño 2"'!B32)</f>
        <v/>
      </c>
      <c r="D15" s="725"/>
      <c r="E15" s="19" t="str">
        <f>IF('Diseño 2"'!C32=0,"",'Diseño 2"'!C32)</f>
        <v/>
      </c>
      <c r="F15" s="724" t="str">
        <f>IF('Diseño 2"'!D32="","",'Diseño 2"'!D32)</f>
        <v/>
      </c>
      <c r="G15" s="725"/>
      <c r="H15" s="695" t="str">
        <f>IF('Diseño 2"'!F32="","",'Diseño 2"'!F32)</f>
        <v/>
      </c>
      <c r="I15" s="651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8" t="str">
        <f>IF('Diseño 2"'!N32="","",'Diseño 2"'!N32)</f>
        <v/>
      </c>
      <c r="P15" s="725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49" t="str">
        <f>IF('Diseño 2"'!AA32="","",'Diseño 2"'!AA32)</f>
        <v/>
      </c>
      <c r="Y15" s="651"/>
      <c r="Z15" s="649" t="str">
        <f>IF('Diseño 2"'!AC32="","",'Diseño 2"'!AC32)</f>
        <v/>
      </c>
      <c r="AA15" s="651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4" t="str">
        <f>IF('Diseño 2"'!B33="","",'Diseño 2"'!B33)</f>
        <v/>
      </c>
      <c r="D16" s="725"/>
      <c r="E16" s="19" t="str">
        <f>IF('Diseño 2"'!C33=0,"",'Diseño 2"'!C33)</f>
        <v/>
      </c>
      <c r="F16" s="724" t="str">
        <f>IF('Diseño 2"'!D33="","",'Diseño 2"'!D33)</f>
        <v/>
      </c>
      <c r="G16" s="725"/>
      <c r="H16" s="695" t="str">
        <f>IF('Diseño 2"'!F33="","",'Diseño 2"'!F33)</f>
        <v/>
      </c>
      <c r="I16" s="651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8" t="str">
        <f>IF('Diseño 2"'!N33="","",'Diseño 2"'!N33)</f>
        <v/>
      </c>
      <c r="P16" s="725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49" t="str">
        <f>IF('Diseño 2"'!AA33="","",'Diseño 2"'!AA33)</f>
        <v/>
      </c>
      <c r="Y16" s="651"/>
      <c r="Z16" s="649" t="str">
        <f>IF('Diseño 2"'!AC33="","",'Diseño 2"'!AC33)</f>
        <v/>
      </c>
      <c r="AA16" s="651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4" t="str">
        <f>IF('Diseño 2"'!B34="","",'Diseño 2"'!B34)</f>
        <v/>
      </c>
      <c r="D17" s="725"/>
      <c r="E17" s="19" t="str">
        <f>IF('Diseño 2"'!C34=0,"",'Diseño 2"'!C34)</f>
        <v/>
      </c>
      <c r="F17" s="724" t="str">
        <f>IF('Diseño 2"'!D34="","",'Diseño 2"'!D34)</f>
        <v/>
      </c>
      <c r="G17" s="725"/>
      <c r="H17" s="695" t="str">
        <f>IF('Diseño 2"'!F34="","",'Diseño 2"'!F34)</f>
        <v/>
      </c>
      <c r="I17" s="651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8" t="str">
        <f>IF('Diseño 2"'!N34="","",'Diseño 2"'!N34)</f>
        <v/>
      </c>
      <c r="P17" s="725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49" t="str">
        <f>IF('Diseño 2"'!AA34="","",'Diseño 2"'!AA34)</f>
        <v/>
      </c>
      <c r="Y17" s="651"/>
      <c r="Z17" s="649" t="str">
        <f>IF('Diseño 2"'!AC34="","",'Diseño 2"'!AC34)</f>
        <v/>
      </c>
      <c r="AA17" s="651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4" t="str">
        <f>IF('Diseño 2"'!B35="","",'Diseño 2"'!B35)</f>
        <v/>
      </c>
      <c r="D18" s="725"/>
      <c r="E18" s="19" t="str">
        <f>IF('Diseño 2"'!C35=0,"",'Diseño 2"'!C35)</f>
        <v/>
      </c>
      <c r="F18" s="724" t="str">
        <f>IF('Diseño 2"'!D35="","",'Diseño 2"'!D35)</f>
        <v/>
      </c>
      <c r="G18" s="725"/>
      <c r="H18" s="695" t="str">
        <f>IF('Diseño 2"'!F35="","",'Diseño 2"'!F35)</f>
        <v/>
      </c>
      <c r="I18" s="651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8" t="str">
        <f>IF('Diseño 2"'!N35="","",'Diseño 2"'!N35)</f>
        <v/>
      </c>
      <c r="P18" s="725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49" t="str">
        <f>IF('Diseño 2"'!AA35="","",'Diseño 2"'!AA35)</f>
        <v/>
      </c>
      <c r="Y18" s="651"/>
      <c r="Z18" s="649" t="str">
        <f>IF('Diseño 2"'!AC35="","",'Diseño 2"'!AC35)</f>
        <v/>
      </c>
      <c r="AA18" s="651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4" t="str">
        <f>IF('Diseño 2"'!B36="","",'Diseño 2"'!B36)</f>
        <v/>
      </c>
      <c r="D19" s="725"/>
      <c r="E19" s="19" t="str">
        <f>IF('Diseño 2"'!C36=0,"",'Diseño 2"'!C36)</f>
        <v/>
      </c>
      <c r="F19" s="724" t="str">
        <f>IF('Diseño 2"'!D36="","",'Diseño 2"'!D36)</f>
        <v/>
      </c>
      <c r="G19" s="725"/>
      <c r="H19" s="695" t="str">
        <f>IF('Diseño 2"'!F36="","",'Diseño 2"'!F36)</f>
        <v/>
      </c>
      <c r="I19" s="651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8" t="str">
        <f>IF('Diseño 2"'!N36="","",'Diseño 2"'!N36)</f>
        <v/>
      </c>
      <c r="P19" s="725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49" t="str">
        <f>IF('Diseño 2"'!AA36="","",'Diseño 2"'!AA36)</f>
        <v/>
      </c>
      <c r="Y19" s="651"/>
      <c r="Z19" s="649" t="str">
        <f>IF('Diseño 2"'!AC36="","",'Diseño 2"'!AC36)</f>
        <v/>
      </c>
      <c r="AA19" s="651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4" t="str">
        <f>IF('Diseño 2"'!B37="","",'Diseño 2"'!B37)</f>
        <v/>
      </c>
      <c r="D20" s="725"/>
      <c r="E20" s="19" t="str">
        <f>IF('Diseño 2"'!C37=0,"",'Diseño 2"'!C37)</f>
        <v/>
      </c>
      <c r="F20" s="724" t="str">
        <f>IF('Diseño 2"'!D37="","",'Diseño 2"'!D37)</f>
        <v/>
      </c>
      <c r="G20" s="725"/>
      <c r="H20" s="695" t="str">
        <f>IF('Diseño 2"'!F37="","",'Diseño 2"'!F37)</f>
        <v/>
      </c>
      <c r="I20" s="651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8" t="str">
        <f>IF('Diseño 2"'!N37="","",'Diseño 2"'!N37)</f>
        <v/>
      </c>
      <c r="P20" s="725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49" t="str">
        <f>IF('Diseño 2"'!AA37="","",'Diseño 2"'!AA37)</f>
        <v/>
      </c>
      <c r="Y20" s="651"/>
      <c r="Z20" s="649" t="str">
        <f>IF('Diseño 2"'!AC37="","",'Diseño 2"'!AC37)</f>
        <v/>
      </c>
      <c r="AA20" s="651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4" t="str">
        <f>IF('Diseño 2"'!B38="","",'Diseño 2"'!B38)</f>
        <v/>
      </c>
      <c r="D21" s="725"/>
      <c r="E21" s="19" t="str">
        <f>IF('Diseño 2"'!C38=0,"",'Diseño 2"'!C38)</f>
        <v/>
      </c>
      <c r="F21" s="724" t="str">
        <f>IF('Diseño 2"'!D38="","",'Diseño 2"'!D38)</f>
        <v/>
      </c>
      <c r="G21" s="725"/>
      <c r="H21" s="695" t="str">
        <f>IF('Diseño 2"'!F38="","",'Diseño 2"'!F38)</f>
        <v/>
      </c>
      <c r="I21" s="651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8" t="str">
        <f>IF('Diseño 2"'!N38="","",'Diseño 2"'!N38)</f>
        <v/>
      </c>
      <c r="P21" s="725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49" t="str">
        <f>IF('Diseño 2"'!AA38="","",'Diseño 2"'!AA38)</f>
        <v/>
      </c>
      <c r="Y21" s="651"/>
      <c r="Z21" s="649" t="str">
        <f>IF('Diseño 2"'!AC38="","",'Diseño 2"'!AC38)</f>
        <v/>
      </c>
      <c r="AA21" s="651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4" t="str">
        <f>IF('Diseño 2"'!B39="","",'Diseño 2"'!B39)</f>
        <v/>
      </c>
      <c r="D22" s="725"/>
      <c r="E22" s="19" t="str">
        <f>IF('Diseño 2"'!C39=0,"",'Diseño 2"'!C39)</f>
        <v/>
      </c>
      <c r="F22" s="724" t="str">
        <f>IF('Diseño 2"'!D39="","",'Diseño 2"'!D39)</f>
        <v/>
      </c>
      <c r="G22" s="725"/>
      <c r="H22" s="695" t="str">
        <f>IF('Diseño 2"'!F39="","",'Diseño 2"'!F39)</f>
        <v/>
      </c>
      <c r="I22" s="651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8" t="str">
        <f>IF('Diseño 2"'!N39="","",'Diseño 2"'!N39)</f>
        <v/>
      </c>
      <c r="P22" s="725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49" t="str">
        <f>IF('Diseño 2"'!AA39="","",'Diseño 2"'!AA39)</f>
        <v/>
      </c>
      <c r="Y22" s="651"/>
      <c r="Z22" s="649" t="str">
        <f>IF('Diseño 2"'!AC39="","",'Diseño 2"'!AC39)</f>
        <v/>
      </c>
      <c r="AA22" s="651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4" t="str">
        <f>IF('Diseño 2"'!B40="","",'Diseño 2"'!B40)</f>
        <v/>
      </c>
      <c r="D23" s="725"/>
      <c r="E23" s="19" t="str">
        <f>IF('Diseño 2"'!C40=0,"",'Diseño 2"'!C40)</f>
        <v/>
      </c>
      <c r="F23" s="724" t="str">
        <f>IF('Diseño 2"'!D40="","",'Diseño 2"'!D40)</f>
        <v/>
      </c>
      <c r="G23" s="725"/>
      <c r="H23" s="695" t="str">
        <f>IF('Diseño 2"'!F40="","",'Diseño 2"'!F40)</f>
        <v/>
      </c>
      <c r="I23" s="651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8" t="str">
        <f>IF('Diseño 2"'!N40="","",'Diseño 2"'!N40)</f>
        <v/>
      </c>
      <c r="P23" s="725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49" t="str">
        <f>IF('Diseño 2"'!AA40="","",'Diseño 2"'!AA40)</f>
        <v/>
      </c>
      <c r="Y23" s="651"/>
      <c r="Z23" s="649" t="str">
        <f>IF('Diseño 2"'!AC40="","",'Diseño 2"'!AC40)</f>
        <v/>
      </c>
      <c r="AA23" s="651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4" t="str">
        <f>IF('Diseño 2"'!B41="","",'Diseño 2"'!B41)</f>
        <v/>
      </c>
      <c r="D24" s="725"/>
      <c r="E24" s="19" t="str">
        <f>IF('Diseño 2"'!C41=0,"",'Diseño 2"'!C41)</f>
        <v/>
      </c>
      <c r="F24" s="724" t="str">
        <f>IF('Diseño 2"'!D41="","",'Diseño 2"'!D41)</f>
        <v/>
      </c>
      <c r="G24" s="725"/>
      <c r="H24" s="695" t="str">
        <f>IF('Diseño 2"'!F41="","",'Diseño 2"'!F41)</f>
        <v/>
      </c>
      <c r="I24" s="651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8" t="str">
        <f>IF('Diseño 2"'!N41="","",'Diseño 2"'!N41)</f>
        <v/>
      </c>
      <c r="P24" s="725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49" t="str">
        <f>IF('Diseño 2"'!AA41="","",'Diseño 2"'!AA41)</f>
        <v/>
      </c>
      <c r="Y24" s="651"/>
      <c r="Z24" s="649" t="str">
        <f>IF('Diseño 2"'!AC41="","",'Diseño 2"'!AC41)</f>
        <v/>
      </c>
      <c r="AA24" s="651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4" t="str">
        <f>IF('Diseño 2"'!B42="","",'Diseño 2"'!B42)</f>
        <v/>
      </c>
      <c r="D25" s="725"/>
      <c r="E25" s="19" t="str">
        <f>IF('Diseño 2"'!C42=0,"",'Diseño 2"'!C42)</f>
        <v/>
      </c>
      <c r="F25" s="724" t="str">
        <f>IF('Diseño 2"'!D42="","",'Diseño 2"'!D42)</f>
        <v/>
      </c>
      <c r="G25" s="725"/>
      <c r="H25" s="695" t="str">
        <f>IF('Diseño 2"'!F42="","",'Diseño 2"'!F42)</f>
        <v/>
      </c>
      <c r="I25" s="651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8" t="str">
        <f>IF('Diseño 2"'!N42="","",'Diseño 2"'!N42)</f>
        <v/>
      </c>
      <c r="P25" s="725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49" t="str">
        <f>IF('Diseño 2"'!AA42="","",'Diseño 2"'!AA42)</f>
        <v/>
      </c>
      <c r="Y25" s="651"/>
      <c r="Z25" s="649" t="str">
        <f>IF('Diseño 2"'!AC42="","",'Diseño 2"'!AC42)</f>
        <v/>
      </c>
      <c r="AA25" s="651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4" t="str">
        <f>IF('Diseño 2"'!B43="","",'Diseño 2"'!B43)</f>
        <v/>
      </c>
      <c r="D26" s="725"/>
      <c r="E26" s="19" t="str">
        <f>IF('Diseño 2"'!C43=0,"",'Diseño 2"'!C43)</f>
        <v/>
      </c>
      <c r="F26" s="724" t="str">
        <f>IF('Diseño 2"'!D43="","",'Diseño 2"'!D43)</f>
        <v/>
      </c>
      <c r="G26" s="725"/>
      <c r="H26" s="695" t="str">
        <f>IF('Diseño 2"'!F43="","",'Diseño 2"'!F43)</f>
        <v/>
      </c>
      <c r="I26" s="651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8" t="str">
        <f>IF('Diseño 2"'!N43="","",'Diseño 2"'!N43)</f>
        <v/>
      </c>
      <c r="P26" s="725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49" t="str">
        <f>IF('Diseño 2"'!AA43="","",'Diseño 2"'!AA43)</f>
        <v/>
      </c>
      <c r="Y26" s="651"/>
      <c r="Z26" s="649" t="str">
        <f>IF('Diseño 2"'!AC43="","",'Diseño 2"'!AC43)</f>
        <v/>
      </c>
      <c r="AA26" s="651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4" t="str">
        <f>IF('Diseño 2"'!B44="","",'Diseño 2"'!B44)</f>
        <v/>
      </c>
      <c r="D27" s="725"/>
      <c r="E27" s="19" t="str">
        <f>IF('Diseño 2"'!C44=0,"",'Diseño 2"'!C44)</f>
        <v/>
      </c>
      <c r="F27" s="724" t="str">
        <f>IF('Diseño 2"'!D44="","",'Diseño 2"'!D44)</f>
        <v/>
      </c>
      <c r="G27" s="725"/>
      <c r="H27" s="695" t="str">
        <f>IF('Diseño 2"'!F44="","",'Diseño 2"'!F44)</f>
        <v/>
      </c>
      <c r="I27" s="651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8" t="str">
        <f>IF('Diseño 2"'!N44="","",'Diseño 2"'!N44)</f>
        <v/>
      </c>
      <c r="P27" s="725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49" t="str">
        <f>IF('Diseño 2"'!AA44="","",'Diseño 2"'!AA44)</f>
        <v/>
      </c>
      <c r="Y27" s="651"/>
      <c r="Z27" s="649" t="str">
        <f>IF('Diseño 2"'!AC44="","",'Diseño 2"'!AC44)</f>
        <v/>
      </c>
      <c r="AA27" s="651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4" t="str">
        <f>IF('Diseño 2"'!B45="","",'Diseño 2"'!B45)</f>
        <v/>
      </c>
      <c r="D28" s="725"/>
      <c r="E28" s="19" t="str">
        <f>IF('Diseño 2"'!C45=0,"",'Diseño 2"'!C45)</f>
        <v/>
      </c>
      <c r="F28" s="724" t="str">
        <f>IF('Diseño 2"'!D45="","",'Diseño 2"'!D45)</f>
        <v/>
      </c>
      <c r="G28" s="725"/>
      <c r="H28" s="695" t="str">
        <f>IF('Diseño 2"'!F45="","",'Diseño 2"'!F45)</f>
        <v/>
      </c>
      <c r="I28" s="651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8" t="str">
        <f>IF('Diseño 2"'!N45="","",'Diseño 2"'!N45)</f>
        <v/>
      </c>
      <c r="P28" s="725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49" t="str">
        <f>IF('Diseño 2"'!AA45="","",'Diseño 2"'!AA45)</f>
        <v/>
      </c>
      <c r="Y28" s="651"/>
      <c r="Z28" s="649" t="str">
        <f>IF('Diseño 2"'!AC45="","",'Diseño 2"'!AC45)</f>
        <v/>
      </c>
      <c r="AA28" s="651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4" t="str">
        <f>IF('Diseño 2"'!B46="","",'Diseño 2"'!B46)</f>
        <v/>
      </c>
      <c r="D29" s="725"/>
      <c r="E29" s="19" t="str">
        <f>IF('Diseño 2"'!C46=0,"",'Diseño 2"'!C46)</f>
        <v/>
      </c>
      <c r="F29" s="724" t="str">
        <f>IF('Diseño 2"'!D46="","",'Diseño 2"'!D46)</f>
        <v/>
      </c>
      <c r="G29" s="725"/>
      <c r="H29" s="695" t="str">
        <f>IF('Diseño 2"'!F46="","",'Diseño 2"'!F46)</f>
        <v/>
      </c>
      <c r="I29" s="651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8" t="str">
        <f>IF('Diseño 2"'!N46="","",'Diseño 2"'!N46)</f>
        <v/>
      </c>
      <c r="P29" s="725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49" t="str">
        <f>IF('Diseño 2"'!AA46="","",'Diseño 2"'!AA46)</f>
        <v/>
      </c>
      <c r="Y29" s="651"/>
      <c r="Z29" s="649" t="str">
        <f>IF('Diseño 2"'!AC46="","",'Diseño 2"'!AC46)</f>
        <v/>
      </c>
      <c r="AA29" s="651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4" t="str">
        <f>IF('Diseño 2"'!B47="","",'Diseño 2"'!B47)</f>
        <v/>
      </c>
      <c r="D30" s="725"/>
      <c r="E30" s="19" t="str">
        <f>IF('Diseño 2"'!C47=0,"",'Diseño 2"'!C47)</f>
        <v/>
      </c>
      <c r="F30" s="724" t="str">
        <f>IF('Diseño 2"'!D47="","",'Diseño 2"'!D47)</f>
        <v/>
      </c>
      <c r="G30" s="725"/>
      <c r="H30" s="695" t="str">
        <f>IF('Diseño 2"'!F47="","",'Diseño 2"'!F47)</f>
        <v/>
      </c>
      <c r="I30" s="651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8" t="str">
        <f>IF('Diseño 2"'!N47="","",'Diseño 2"'!N47)</f>
        <v/>
      </c>
      <c r="P30" s="725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49" t="str">
        <f>IF('Diseño 2"'!AA47="","",'Diseño 2"'!AA47)</f>
        <v/>
      </c>
      <c r="Y30" s="651"/>
      <c r="Z30" s="649" t="str">
        <f>IF('Diseño 2"'!AC47="","",'Diseño 2"'!AC47)</f>
        <v/>
      </c>
      <c r="AA30" s="651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2" t="str">
        <f>IF('Diseño 2"'!B48="","",'Diseño 2"'!B48)</f>
        <v/>
      </c>
      <c r="D31" s="731"/>
      <c r="E31" s="96" t="str">
        <f>IF('Diseño 2"'!C48=0,"",'Diseño 2"'!C48)</f>
        <v/>
      </c>
      <c r="F31" s="732" t="str">
        <f>IF('Diseño 2"'!D48="","",'Diseño 2"'!D48)</f>
        <v/>
      </c>
      <c r="G31" s="731"/>
      <c r="H31" s="696" t="str">
        <f>IF('Diseño 2"'!F48="","",'Diseño 2"'!F48)</f>
        <v/>
      </c>
      <c r="I31" s="697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30" t="str">
        <f>IF('Diseño 2"'!N48="","",'Diseño 2"'!N48)</f>
        <v/>
      </c>
      <c r="P31" s="731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52" t="str">
        <f>IF('Diseño 2"'!AA48="","",'Diseño 2"'!AA48)</f>
        <v/>
      </c>
      <c r="Y31" s="697"/>
      <c r="Z31" s="652" t="str">
        <f>IF('Diseño 2"'!AC48="","",'Diseño 2"'!AC48)</f>
        <v/>
      </c>
      <c r="AA31" s="697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31"/>
      <c r="P33" s="632"/>
      <c r="Q33" s="76"/>
      <c r="R33" s="76"/>
      <c r="S33" s="76"/>
      <c r="T33" s="77"/>
      <c r="U33" s="65"/>
      <c r="V33" s="633" t="s">
        <v>213</v>
      </c>
      <c r="W33" s="634"/>
      <c r="X33" s="634"/>
      <c r="Y33" s="634"/>
      <c r="Z33" s="634"/>
      <c r="AA33" s="634"/>
      <c r="AB33" s="634"/>
      <c r="AC33" s="634"/>
      <c r="AD33" s="634"/>
      <c r="AE33" s="634"/>
      <c r="AF33" s="634"/>
      <c r="AG33" s="634"/>
      <c r="AH33" s="635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41"/>
      <c r="P34" s="723"/>
      <c r="Q34" s="65"/>
      <c r="R34" s="65"/>
      <c r="S34" s="65"/>
      <c r="T34" s="79"/>
      <c r="U34" s="65"/>
      <c r="V34" s="636" t="s">
        <v>211</v>
      </c>
      <c r="W34" s="637"/>
      <c r="X34" s="637"/>
      <c r="Y34" s="637"/>
      <c r="Z34" s="637"/>
      <c r="AA34" s="638"/>
      <c r="AB34" s="66"/>
      <c r="AC34" s="67"/>
      <c r="AD34" s="639" t="s">
        <v>212</v>
      </c>
      <c r="AE34" s="637"/>
      <c r="AF34" s="637"/>
      <c r="AG34" s="637"/>
      <c r="AH34" s="640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41"/>
      <c r="P35" s="723"/>
      <c r="Q35" s="65"/>
      <c r="R35" s="65"/>
      <c r="S35" s="65"/>
      <c r="T35" s="79"/>
      <c r="U35" s="65"/>
      <c r="V35" s="58"/>
      <c r="W35" s="5"/>
      <c r="X35" s="5"/>
      <c r="Y35" s="5"/>
      <c r="Z35" s="641"/>
      <c r="AA35" s="642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41"/>
      <c r="P36" s="723"/>
      <c r="Q36" s="65"/>
      <c r="R36" s="65"/>
      <c r="S36" s="65"/>
      <c r="T36" s="79"/>
      <c r="U36" s="65"/>
      <c r="V36" s="58"/>
      <c r="W36" s="5"/>
      <c r="X36" s="5"/>
      <c r="Y36" s="5"/>
      <c r="Z36" s="641"/>
      <c r="AA36" s="642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35" t="s">
        <v>3</v>
      </c>
      <c r="AQ2" s="736"/>
      <c r="AR2" s="736"/>
      <c r="AS2" s="736"/>
      <c r="AT2" s="736"/>
      <c r="AU2" s="736"/>
      <c r="AV2" s="736"/>
      <c r="AW2" s="736"/>
      <c r="AX2" s="736"/>
      <c r="AY2" s="736"/>
      <c r="AZ2" s="736"/>
      <c r="BA2" s="736"/>
      <c r="BB2" s="736"/>
      <c r="BC2" s="736"/>
      <c r="BD2" s="736"/>
      <c r="BE2" s="736"/>
      <c r="BF2" s="736"/>
      <c r="BG2" s="736"/>
      <c r="BH2" s="736"/>
      <c r="BI2" s="736"/>
      <c r="BJ2" s="736"/>
      <c r="BK2" s="736"/>
      <c r="BL2" s="736"/>
      <c r="BM2" s="737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38"/>
      <c r="AQ3" s="739"/>
      <c r="AR3" s="739"/>
      <c r="AS3" s="739"/>
      <c r="AT3" s="739"/>
      <c r="AU3" s="739"/>
      <c r="AV3" s="739"/>
      <c r="AW3" s="739"/>
      <c r="AX3" s="739"/>
      <c r="AY3" s="739"/>
      <c r="AZ3" s="739"/>
      <c r="BA3" s="739"/>
      <c r="BB3" s="739"/>
      <c r="BC3" s="739"/>
      <c r="BD3" s="739"/>
      <c r="BE3" s="739"/>
      <c r="BF3" s="739"/>
      <c r="BG3" s="739"/>
      <c r="BH3" s="739"/>
      <c r="BI3" s="739"/>
      <c r="BJ3" s="739"/>
      <c r="BK3" s="739"/>
      <c r="BL3" s="739"/>
      <c r="BM3" s="740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41" t="s">
        <v>5</v>
      </c>
      <c r="I5" s="708"/>
      <c r="J5" s="709"/>
      <c r="K5" s="742"/>
      <c r="L5" s="743"/>
      <c r="M5" s="743"/>
      <c r="N5" s="744"/>
      <c r="O5" s="401"/>
      <c r="P5" s="411" t="s">
        <v>6</v>
      </c>
      <c r="Q5" s="415"/>
      <c r="R5" s="707"/>
      <c r="S5" s="708"/>
      <c r="T5" s="709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41" t="s">
        <v>8</v>
      </c>
      <c r="I6" s="708"/>
      <c r="J6" s="709"/>
      <c r="K6" s="742"/>
      <c r="L6" s="743"/>
      <c r="M6" s="743"/>
      <c r="N6" s="744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41" t="s">
        <v>239</v>
      </c>
      <c r="I7" s="708"/>
      <c r="J7" s="709"/>
      <c r="K7" s="719"/>
      <c r="L7" s="750"/>
      <c r="M7" s="750"/>
      <c r="N7" s="75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52" t="s">
        <v>201</v>
      </c>
      <c r="C9" s="708"/>
      <c r="D9" s="708"/>
      <c r="E9" s="708"/>
      <c r="F9" s="708"/>
      <c r="G9" s="708"/>
      <c r="H9" s="708"/>
      <c r="I9" s="708"/>
      <c r="J9" s="708"/>
      <c r="K9" s="709"/>
      <c r="L9" s="421"/>
      <c r="M9" s="422"/>
      <c r="N9" s="752" t="s">
        <v>10</v>
      </c>
      <c r="O9" s="708"/>
      <c r="P9" s="708"/>
      <c r="Q9" s="708"/>
      <c r="R9" s="708"/>
      <c r="S9" s="709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53" t="s">
        <v>11</v>
      </c>
      <c r="C10" s="709"/>
      <c r="D10" s="425" t="s">
        <v>12</v>
      </c>
      <c r="E10" s="753" t="s">
        <v>13</v>
      </c>
      <c r="F10" s="709"/>
      <c r="G10" s="753" t="s">
        <v>14</v>
      </c>
      <c r="H10" s="709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53" t="s">
        <v>19</v>
      </c>
      <c r="R10" s="709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5"/>
      <c r="F11" s="746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5"/>
      <c r="R11" s="746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5"/>
      <c r="F12" s="746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7" t="s">
        <v>23</v>
      </c>
      <c r="R12" s="746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48" t="s">
        <v>25</v>
      </c>
      <c r="AQ12" s="739"/>
      <c r="AR12" s="739"/>
      <c r="AS12" s="749" t="s">
        <v>26</v>
      </c>
      <c r="AT12" s="739"/>
      <c r="AU12" s="739"/>
      <c r="AV12" s="754" t="s">
        <v>27</v>
      </c>
      <c r="AW12" s="739"/>
      <c r="AX12" s="754" t="s">
        <v>28</v>
      </c>
      <c r="AY12" s="739"/>
      <c r="AZ12" s="739"/>
      <c r="BA12" s="754" t="s">
        <v>29</v>
      </c>
      <c r="BB12" s="739"/>
      <c r="BC12" s="754" t="s">
        <v>30</v>
      </c>
      <c r="BD12" s="739"/>
      <c r="BE12" s="739"/>
      <c r="BF12" s="754" t="s">
        <v>31</v>
      </c>
      <c r="BG12" s="739"/>
      <c r="BH12" s="739"/>
      <c r="BI12" s="754" t="s">
        <v>32</v>
      </c>
      <c r="BJ12" s="739"/>
      <c r="BK12" s="739"/>
      <c r="BL12" s="754" t="s">
        <v>33</v>
      </c>
      <c r="BM12" s="740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5">
        <v>0.5</v>
      </c>
      <c r="F13" s="746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7" t="s">
        <v>34</v>
      </c>
      <c r="R13" s="746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5">
        <v>0.5</v>
      </c>
      <c r="F14" s="746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7" t="s">
        <v>35</v>
      </c>
      <c r="R14" s="746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5">
        <v>0.6</v>
      </c>
      <c r="F15" s="746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7" t="s">
        <v>36</v>
      </c>
      <c r="R15" s="746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5">
        <v>0.8</v>
      </c>
      <c r="F16" s="746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7" t="s">
        <v>38</v>
      </c>
      <c r="R16" s="746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5">
        <v>1</v>
      </c>
      <c r="F17" s="746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7" t="s">
        <v>40</v>
      </c>
      <c r="R17" s="746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55" t="s">
        <v>41</v>
      </c>
      <c r="F18" s="756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7" t="s">
        <v>42</v>
      </c>
      <c r="R18" s="746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7" t="s">
        <v>44</v>
      </c>
      <c r="R19" s="746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7" t="s">
        <v>43</v>
      </c>
      <c r="C20" s="758"/>
      <c r="D20" s="758"/>
      <c r="E20" s="758"/>
      <c r="F20" s="758"/>
      <c r="G20" s="758"/>
      <c r="H20" s="758"/>
      <c r="I20" s="758"/>
      <c r="J20" s="758"/>
      <c r="K20" s="746"/>
      <c r="L20" s="512"/>
      <c r="M20" s="509"/>
      <c r="N20" s="503"/>
      <c r="O20" s="503"/>
      <c r="P20" s="503"/>
      <c r="Q20" s="759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61" t="s">
        <v>47</v>
      </c>
      <c r="C21" s="762"/>
      <c r="D21" s="765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60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63"/>
      <c r="C22" s="764"/>
      <c r="D22" s="760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66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60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66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60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53" t="s">
        <v>61</v>
      </c>
      <c r="E28" s="709"/>
      <c r="F28" s="753" t="s">
        <v>62</v>
      </c>
      <c r="G28" s="708"/>
      <c r="H28" s="709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53" t="s">
        <v>67</v>
      </c>
      <c r="O28" s="708"/>
      <c r="P28" s="709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53" t="s">
        <v>75</v>
      </c>
      <c r="AB28" s="709"/>
      <c r="AC28" s="753" t="s">
        <v>76</v>
      </c>
      <c r="AD28" s="709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67" t="s">
        <v>13</v>
      </c>
      <c r="AK28" s="768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07"/>
      <c r="E29" s="709"/>
      <c r="F29" s="707"/>
      <c r="G29" s="708"/>
      <c r="H29" s="709"/>
      <c r="I29" s="396"/>
      <c r="J29" s="396"/>
      <c r="K29" s="396"/>
      <c r="L29" s="396"/>
      <c r="M29" s="396"/>
      <c r="N29" s="719"/>
      <c r="O29" s="708"/>
      <c r="P29" s="709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19"/>
      <c r="AB29" s="709"/>
      <c r="AC29" s="719"/>
      <c r="AD29" s="751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07"/>
      <c r="E30" s="709"/>
      <c r="F30" s="707"/>
      <c r="G30" s="708"/>
      <c r="H30" s="709"/>
      <c r="I30" s="396"/>
      <c r="J30" s="396"/>
      <c r="K30" s="396"/>
      <c r="L30" s="396"/>
      <c r="M30" s="396"/>
      <c r="N30" s="719"/>
      <c r="O30" s="708"/>
      <c r="P30" s="709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19"/>
      <c r="AB30" s="709"/>
      <c r="AC30" s="719"/>
      <c r="AD30" s="751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07"/>
      <c r="E31" s="709"/>
      <c r="F31" s="707"/>
      <c r="G31" s="708"/>
      <c r="H31" s="709"/>
      <c r="I31" s="396"/>
      <c r="J31" s="396"/>
      <c r="K31" s="396"/>
      <c r="L31" s="396"/>
      <c r="M31" s="396"/>
      <c r="N31" s="719"/>
      <c r="O31" s="708"/>
      <c r="P31" s="709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19"/>
      <c r="AB31" s="709"/>
      <c r="AC31" s="719"/>
      <c r="AD31" s="751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07"/>
      <c r="E32" s="709"/>
      <c r="F32" s="707"/>
      <c r="G32" s="708"/>
      <c r="H32" s="709"/>
      <c r="I32" s="396"/>
      <c r="J32" s="396"/>
      <c r="K32" s="396"/>
      <c r="L32" s="396"/>
      <c r="M32" s="396"/>
      <c r="N32" s="719"/>
      <c r="O32" s="708"/>
      <c r="P32" s="709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19"/>
      <c r="AB32" s="709"/>
      <c r="AC32" s="719"/>
      <c r="AD32" s="751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07"/>
      <c r="E33" s="709"/>
      <c r="F33" s="707"/>
      <c r="G33" s="708"/>
      <c r="H33" s="709"/>
      <c r="I33" s="396"/>
      <c r="J33" s="396"/>
      <c r="K33" s="396"/>
      <c r="L33" s="396"/>
      <c r="M33" s="396"/>
      <c r="N33" s="719"/>
      <c r="O33" s="708"/>
      <c r="P33" s="709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19"/>
      <c r="AB33" s="709"/>
      <c r="AC33" s="719"/>
      <c r="AD33" s="751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07"/>
      <c r="E34" s="709"/>
      <c r="F34" s="707"/>
      <c r="G34" s="708"/>
      <c r="H34" s="709"/>
      <c r="I34" s="396"/>
      <c r="J34" s="396"/>
      <c r="K34" s="396"/>
      <c r="L34" s="396"/>
      <c r="M34" s="396"/>
      <c r="N34" s="719"/>
      <c r="O34" s="708"/>
      <c r="P34" s="709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19"/>
      <c r="AB34" s="709"/>
      <c r="AC34" s="719"/>
      <c r="AD34" s="751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07"/>
      <c r="E35" s="709"/>
      <c r="F35" s="707"/>
      <c r="G35" s="708"/>
      <c r="H35" s="709"/>
      <c r="I35" s="396"/>
      <c r="J35" s="396"/>
      <c r="K35" s="396"/>
      <c r="L35" s="396"/>
      <c r="M35" s="396"/>
      <c r="N35" s="719"/>
      <c r="O35" s="708"/>
      <c r="P35" s="709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19"/>
      <c r="AB35" s="709"/>
      <c r="AC35" s="719"/>
      <c r="AD35" s="751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07"/>
      <c r="E36" s="709"/>
      <c r="F36" s="707"/>
      <c r="G36" s="708"/>
      <c r="H36" s="709"/>
      <c r="I36" s="396"/>
      <c r="J36" s="396"/>
      <c r="K36" s="396"/>
      <c r="L36" s="396"/>
      <c r="M36" s="396"/>
      <c r="N36" s="719"/>
      <c r="O36" s="708"/>
      <c r="P36" s="709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19"/>
      <c r="AB36" s="709"/>
      <c r="AC36" s="719"/>
      <c r="AD36" s="751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07"/>
      <c r="E37" s="709"/>
      <c r="F37" s="707"/>
      <c r="G37" s="708"/>
      <c r="H37" s="709"/>
      <c r="I37" s="396"/>
      <c r="J37" s="396"/>
      <c r="K37" s="396"/>
      <c r="L37" s="396"/>
      <c r="M37" s="396"/>
      <c r="N37" s="719"/>
      <c r="O37" s="708"/>
      <c r="P37" s="709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19"/>
      <c r="AB37" s="709"/>
      <c r="AC37" s="719"/>
      <c r="AD37" s="751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07"/>
      <c r="E38" s="709"/>
      <c r="F38" s="707"/>
      <c r="G38" s="708"/>
      <c r="H38" s="709"/>
      <c r="I38" s="396"/>
      <c r="J38" s="396"/>
      <c r="K38" s="396"/>
      <c r="L38" s="396"/>
      <c r="M38" s="396"/>
      <c r="N38" s="719"/>
      <c r="O38" s="708"/>
      <c r="P38" s="709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19"/>
      <c r="AB38" s="709"/>
      <c r="AC38" s="719"/>
      <c r="AD38" s="751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07"/>
      <c r="E39" s="709"/>
      <c r="F39" s="707"/>
      <c r="G39" s="708"/>
      <c r="H39" s="709"/>
      <c r="I39" s="396"/>
      <c r="J39" s="396"/>
      <c r="K39" s="396"/>
      <c r="L39" s="396"/>
      <c r="M39" s="396"/>
      <c r="N39" s="719"/>
      <c r="O39" s="708"/>
      <c r="P39" s="709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19"/>
      <c r="AB39" s="709"/>
      <c r="AC39" s="719"/>
      <c r="AD39" s="751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07"/>
      <c r="E40" s="709"/>
      <c r="F40" s="707"/>
      <c r="G40" s="708"/>
      <c r="H40" s="709"/>
      <c r="I40" s="396"/>
      <c r="J40" s="396"/>
      <c r="K40" s="396"/>
      <c r="L40" s="396"/>
      <c r="M40" s="396"/>
      <c r="N40" s="719"/>
      <c r="O40" s="708"/>
      <c r="P40" s="709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19"/>
      <c r="AB40" s="709"/>
      <c r="AC40" s="719"/>
      <c r="AD40" s="751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07"/>
      <c r="E41" s="709"/>
      <c r="F41" s="707"/>
      <c r="G41" s="708"/>
      <c r="H41" s="709"/>
      <c r="I41" s="396"/>
      <c r="J41" s="396"/>
      <c r="K41" s="396"/>
      <c r="L41" s="396"/>
      <c r="M41" s="396"/>
      <c r="N41" s="719"/>
      <c r="O41" s="708"/>
      <c r="P41" s="709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19"/>
      <c r="AB41" s="709"/>
      <c r="AC41" s="719"/>
      <c r="AD41" s="751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07"/>
      <c r="E42" s="709"/>
      <c r="F42" s="707"/>
      <c r="G42" s="708"/>
      <c r="H42" s="709"/>
      <c r="I42" s="396"/>
      <c r="J42" s="396"/>
      <c r="K42" s="396"/>
      <c r="L42" s="396"/>
      <c r="M42" s="396"/>
      <c r="N42" s="719"/>
      <c r="O42" s="708"/>
      <c r="P42" s="709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19"/>
      <c r="AB42" s="709"/>
      <c r="AC42" s="719"/>
      <c r="AD42" s="751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07"/>
      <c r="E43" s="709"/>
      <c r="F43" s="707"/>
      <c r="G43" s="708"/>
      <c r="H43" s="709"/>
      <c r="I43" s="396"/>
      <c r="J43" s="396"/>
      <c r="K43" s="396"/>
      <c r="L43" s="396"/>
      <c r="M43" s="396"/>
      <c r="N43" s="719"/>
      <c r="O43" s="708"/>
      <c r="P43" s="709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19"/>
      <c r="AB43" s="709"/>
      <c r="AC43" s="719"/>
      <c r="AD43" s="751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07"/>
      <c r="E44" s="709"/>
      <c r="F44" s="707"/>
      <c r="G44" s="708"/>
      <c r="H44" s="709"/>
      <c r="I44" s="396"/>
      <c r="J44" s="396"/>
      <c r="K44" s="396"/>
      <c r="L44" s="396"/>
      <c r="M44" s="396"/>
      <c r="N44" s="719"/>
      <c r="O44" s="708"/>
      <c r="P44" s="709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19"/>
      <c r="AB44" s="709"/>
      <c r="AC44" s="719"/>
      <c r="AD44" s="751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07"/>
      <c r="E45" s="709"/>
      <c r="F45" s="707"/>
      <c r="G45" s="708"/>
      <c r="H45" s="709"/>
      <c r="I45" s="396"/>
      <c r="J45" s="396"/>
      <c r="K45" s="396"/>
      <c r="L45" s="396"/>
      <c r="M45" s="396"/>
      <c r="N45" s="719"/>
      <c r="O45" s="708"/>
      <c r="P45" s="709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19"/>
      <c r="AB45" s="709"/>
      <c r="AC45" s="719"/>
      <c r="AD45" s="751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07"/>
      <c r="E46" s="709"/>
      <c r="F46" s="707"/>
      <c r="G46" s="708"/>
      <c r="H46" s="709"/>
      <c r="I46" s="396"/>
      <c r="J46" s="396"/>
      <c r="K46" s="396"/>
      <c r="L46" s="396"/>
      <c r="M46" s="396"/>
      <c r="N46" s="719"/>
      <c r="O46" s="708"/>
      <c r="P46" s="709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19"/>
      <c r="AB46" s="709"/>
      <c r="AC46" s="719"/>
      <c r="AD46" s="751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07"/>
      <c r="E47" s="709"/>
      <c r="F47" s="707"/>
      <c r="G47" s="708"/>
      <c r="H47" s="709"/>
      <c r="I47" s="396"/>
      <c r="J47" s="396"/>
      <c r="K47" s="396"/>
      <c r="L47" s="396"/>
      <c r="M47" s="396"/>
      <c r="N47" s="719"/>
      <c r="O47" s="708"/>
      <c r="P47" s="709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19"/>
      <c r="AB47" s="709"/>
      <c r="AC47" s="719"/>
      <c r="AD47" s="751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07"/>
      <c r="E48" s="709"/>
      <c r="F48" s="707"/>
      <c r="G48" s="708"/>
      <c r="H48" s="709"/>
      <c r="I48" s="396"/>
      <c r="J48" s="396"/>
      <c r="K48" s="396"/>
      <c r="L48" s="396"/>
      <c r="M48" s="396"/>
      <c r="N48" s="719"/>
      <c r="O48" s="708"/>
      <c r="P48" s="709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19"/>
      <c r="AB48" s="709"/>
      <c r="AC48" s="719"/>
      <c r="AD48" s="751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69" t="s">
        <v>110</v>
      </c>
      <c r="B50" s="770"/>
      <c r="C50" s="770"/>
      <c r="D50" s="770"/>
      <c r="E50" s="770"/>
      <c r="F50" s="770"/>
      <c r="G50" s="770"/>
      <c r="H50" s="770"/>
      <c r="I50" s="770"/>
      <c r="J50" s="770"/>
      <c r="K50" s="770"/>
      <c r="L50" s="770"/>
      <c r="M50" s="770"/>
      <c r="N50" s="770"/>
      <c r="O50" s="770"/>
      <c r="P50" s="770"/>
      <c r="Q50" s="770"/>
      <c r="R50" s="770"/>
      <c r="S50" s="770"/>
      <c r="T50" s="770"/>
      <c r="U50" s="771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783" t="s">
        <v>225</v>
      </c>
      <c r="AH2" s="783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783" t="s">
        <v>188</v>
      </c>
      <c r="AE3" s="783"/>
      <c r="AF3" s="783"/>
      <c r="AG3" s="783"/>
      <c r="AH3" s="783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54" t="s">
        <v>4</v>
      </c>
      <c r="C5" s="655"/>
      <c r="D5" s="655"/>
      <c r="E5" s="655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56" t="s">
        <v>5</v>
      </c>
      <c r="Q5" s="657"/>
      <c r="R5" s="658"/>
      <c r="S5" s="674">
        <f>+'Diseño 3"'!K5</f>
        <v>0</v>
      </c>
      <c r="T5" s="675"/>
      <c r="U5" s="675"/>
      <c r="V5" s="676"/>
      <c r="W5" s="659" t="s">
        <v>6</v>
      </c>
      <c r="X5" s="660"/>
      <c r="Y5" s="661"/>
      <c r="Z5" s="661"/>
      <c r="AA5" s="661"/>
      <c r="AB5" s="661"/>
      <c r="AC5" s="661"/>
      <c r="AD5" s="661"/>
      <c r="AE5" s="661"/>
      <c r="AF5" s="661"/>
      <c r="AG5" s="661"/>
      <c r="AH5" s="662"/>
      <c r="AI5" s="321"/>
      <c r="AJ5" s="321"/>
      <c r="AK5" s="321"/>
      <c r="AL5" s="321"/>
      <c r="AM5" s="321"/>
    </row>
    <row r="6" spans="2:39" ht="15" customHeight="1" thickBot="1" x14ac:dyDescent="0.25">
      <c r="B6" s="663" t="s">
        <v>7</v>
      </c>
      <c r="C6" s="664"/>
      <c r="D6" s="664"/>
      <c r="E6" s="664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65" t="s">
        <v>214</v>
      </c>
      <c r="Q6" s="666"/>
      <c r="R6" s="667"/>
      <c r="S6" s="668"/>
      <c r="T6" s="669"/>
      <c r="U6" s="669"/>
      <c r="V6" s="670"/>
      <c r="W6" s="702" t="s">
        <v>189</v>
      </c>
      <c r="X6" s="702"/>
      <c r="Y6" s="702"/>
      <c r="Z6" s="702"/>
      <c r="AA6" s="702"/>
      <c r="AB6" s="702"/>
      <c r="AC6" s="702"/>
      <c r="AD6" s="702"/>
      <c r="AE6" s="702"/>
      <c r="AF6" s="702"/>
      <c r="AG6" s="703"/>
      <c r="AH6" s="677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63" t="s">
        <v>9</v>
      </c>
      <c r="C7" s="664"/>
      <c r="D7" s="664"/>
      <c r="E7" s="664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63" t="s">
        <v>236</v>
      </c>
      <c r="Q7" s="664"/>
      <c r="R7" s="800"/>
      <c r="S7" s="671"/>
      <c r="T7" s="672"/>
      <c r="U7" s="672"/>
      <c r="V7" s="673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704" t="s">
        <v>39</v>
      </c>
      <c r="AG7" s="705" t="s">
        <v>51</v>
      </c>
      <c r="AH7" s="678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63" t="s">
        <v>190</v>
      </c>
      <c r="C8" s="664"/>
      <c r="D8" s="664"/>
      <c r="E8" s="664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65" t="s">
        <v>215</v>
      </c>
      <c r="Q8" s="666"/>
      <c r="R8" s="667"/>
      <c r="S8" s="671">
        <f>+'Diseño 3"'!K6</f>
        <v>0</v>
      </c>
      <c r="T8" s="672"/>
      <c r="U8" s="672"/>
      <c r="V8" s="673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33">
        <f>SUM(W8:AD8)</f>
        <v>0</v>
      </c>
      <c r="AG8" s="73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79" t="s">
        <v>216</v>
      </c>
      <c r="C9" s="680"/>
      <c r="D9" s="680"/>
      <c r="E9" s="68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81"/>
      <c r="Q9" s="682"/>
      <c r="R9" s="683"/>
      <c r="S9" s="684"/>
      <c r="T9" s="685"/>
      <c r="U9" s="685"/>
      <c r="V9" s="68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813" t="s">
        <v>208</v>
      </c>
      <c r="AH10" s="814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787" t="s">
        <v>60</v>
      </c>
      <c r="D11" s="788"/>
      <c r="E11" s="329" t="s">
        <v>59</v>
      </c>
      <c r="F11" s="787" t="s">
        <v>61</v>
      </c>
      <c r="G11" s="788"/>
      <c r="H11" s="787" t="s">
        <v>62</v>
      </c>
      <c r="I11" s="788"/>
      <c r="J11" s="329" t="s">
        <v>20</v>
      </c>
      <c r="K11" s="787" t="s">
        <v>193</v>
      </c>
      <c r="L11" s="788"/>
      <c r="M11" s="329" t="s">
        <v>65</v>
      </c>
      <c r="N11" s="329" t="s">
        <v>66</v>
      </c>
      <c r="O11" s="787" t="s">
        <v>67</v>
      </c>
      <c r="P11" s="788"/>
      <c r="Q11" s="787" t="s">
        <v>194</v>
      </c>
      <c r="R11" s="788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787" t="s">
        <v>75</v>
      </c>
      <c r="Y11" s="788"/>
      <c r="Z11" s="787" t="s">
        <v>76</v>
      </c>
      <c r="AA11" s="788"/>
      <c r="AB11" s="331" t="s">
        <v>195</v>
      </c>
      <c r="AC11" s="332" t="s">
        <v>78</v>
      </c>
      <c r="AD11" s="787" t="s">
        <v>196</v>
      </c>
      <c r="AE11" s="788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786" t="s">
        <v>231</v>
      </c>
      <c r="D12" s="764"/>
      <c r="E12" s="335" t="s">
        <v>231</v>
      </c>
      <c r="F12" s="786" t="s">
        <v>231</v>
      </c>
      <c r="G12" s="764"/>
      <c r="H12" s="784" t="str">
        <f>IF('Diseño 3"'!F29="","",'Diseño 3"'!F29)</f>
        <v/>
      </c>
      <c r="I12" s="785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784" t="str">
        <f>IF('Diseño 3"'!N29="","",'Diseño 3"'!N29)</f>
        <v/>
      </c>
      <c r="P12" s="785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784" t="str">
        <f>IF('Diseño 3"'!X29="","",'Diseño 3"'!X29)</f>
        <v/>
      </c>
      <c r="Y12" s="785"/>
      <c r="Z12" s="789" t="str">
        <f>IF('Diseño 3"'!AC29="","",'Diseño 3"'!AC29)</f>
        <v/>
      </c>
      <c r="AA12" s="790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778" t="s">
        <v>231</v>
      </c>
      <c r="D13" s="746"/>
      <c r="E13" s="346" t="s">
        <v>231</v>
      </c>
      <c r="F13" s="778" t="s">
        <v>231</v>
      </c>
      <c r="G13" s="746"/>
      <c r="H13" s="774" t="str">
        <f>IF('Diseño 3"'!F30="","",'Diseño 3"'!F30)</f>
        <v/>
      </c>
      <c r="I13" s="775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4" t="str">
        <f>IF('Diseño 3"'!N30="","",'Diseño 3"'!N30)</f>
        <v/>
      </c>
      <c r="P13" s="775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4" t="str">
        <f>IF('Diseño 3"'!X30="","",'Diseño 3"'!X30)</f>
        <v/>
      </c>
      <c r="Y13" s="775"/>
      <c r="Z13" s="776" t="str">
        <f>IF('Diseño 3"'!AC30="","",'Diseño 3"'!AC30)</f>
        <v/>
      </c>
      <c r="AA13" s="777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778" t="s">
        <v>231</v>
      </c>
      <c r="D14" s="746"/>
      <c r="E14" s="346" t="s">
        <v>231</v>
      </c>
      <c r="F14" s="778" t="s">
        <v>231</v>
      </c>
      <c r="G14" s="746"/>
      <c r="H14" s="774" t="str">
        <f>IF('Diseño 3"'!F31="","",'Diseño 3"'!F31)</f>
        <v/>
      </c>
      <c r="I14" s="775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4" t="str">
        <f>IF('Diseño 3"'!N31="","",'Diseño 3"'!N31)</f>
        <v/>
      </c>
      <c r="P14" s="775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4" t="str">
        <f>IF('Diseño 3"'!X31="","",'Diseño 3"'!X31)</f>
        <v/>
      </c>
      <c r="Y14" s="775"/>
      <c r="Z14" s="776" t="str">
        <f>IF('Diseño 3"'!AC31="","",'Diseño 3"'!AC31)</f>
        <v/>
      </c>
      <c r="AA14" s="777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778" t="s">
        <v>231</v>
      </c>
      <c r="D15" s="746"/>
      <c r="E15" s="346" t="s">
        <v>231</v>
      </c>
      <c r="F15" s="778" t="s">
        <v>231</v>
      </c>
      <c r="G15" s="746"/>
      <c r="H15" s="774" t="str">
        <f>IF('Diseño 3"'!F32="","",'Diseño 3"'!F32)</f>
        <v/>
      </c>
      <c r="I15" s="775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4" t="str">
        <f>IF('Diseño 3"'!N32="","",'Diseño 3"'!N32)</f>
        <v/>
      </c>
      <c r="P15" s="775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4" t="str">
        <f>IF('Diseño 3"'!X32="","",'Diseño 3"'!X32)</f>
        <v/>
      </c>
      <c r="Y15" s="775"/>
      <c r="Z15" s="776" t="str">
        <f>IF('Diseño 3"'!AC32="","",'Diseño 3"'!AC32)</f>
        <v/>
      </c>
      <c r="AA15" s="777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778" t="s">
        <v>231</v>
      </c>
      <c r="D16" s="746"/>
      <c r="E16" s="346" t="s">
        <v>231</v>
      </c>
      <c r="F16" s="778" t="s">
        <v>231</v>
      </c>
      <c r="G16" s="746"/>
      <c r="H16" s="774" t="str">
        <f>IF('Diseño 3"'!F33="","",'Diseño 3"'!F33)</f>
        <v/>
      </c>
      <c r="I16" s="775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4" t="str">
        <f>IF('Diseño 3"'!N33="","",'Diseño 3"'!N33)</f>
        <v/>
      </c>
      <c r="P16" s="775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4" t="str">
        <f>IF('Diseño 3"'!X33="","",'Diseño 3"'!X33)</f>
        <v/>
      </c>
      <c r="Y16" s="775"/>
      <c r="Z16" s="776" t="str">
        <f>IF('Diseño 3"'!AC33="","",'Diseño 3"'!AC33)</f>
        <v/>
      </c>
      <c r="AA16" s="777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778" t="s">
        <v>231</v>
      </c>
      <c r="D17" s="746"/>
      <c r="E17" s="346" t="s">
        <v>231</v>
      </c>
      <c r="F17" s="778" t="s">
        <v>231</v>
      </c>
      <c r="G17" s="746"/>
      <c r="H17" s="774" t="str">
        <f>IF('Diseño 3"'!F34="","",'Diseño 3"'!F34)</f>
        <v/>
      </c>
      <c r="I17" s="775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4" t="str">
        <f>IF('Diseño 3"'!N34="","",'Diseño 3"'!N34)</f>
        <v/>
      </c>
      <c r="P17" s="775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4" t="str">
        <f>IF('Diseño 3"'!X34="","",'Diseño 3"'!X34)</f>
        <v/>
      </c>
      <c r="Y17" s="775"/>
      <c r="Z17" s="776" t="str">
        <f>IF('Diseño 3"'!AC34="","",'Diseño 3"'!AC34)</f>
        <v/>
      </c>
      <c r="AA17" s="777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778" t="s">
        <v>231</v>
      </c>
      <c r="D18" s="746"/>
      <c r="E18" s="346" t="s">
        <v>231</v>
      </c>
      <c r="F18" s="778" t="s">
        <v>231</v>
      </c>
      <c r="G18" s="746"/>
      <c r="H18" s="774" t="str">
        <f>IF('Diseño 3"'!F35="","",'Diseño 3"'!F35)</f>
        <v/>
      </c>
      <c r="I18" s="775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4" t="str">
        <f>IF('Diseño 3"'!N35="","",'Diseño 3"'!N35)</f>
        <v/>
      </c>
      <c r="P18" s="775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4" t="str">
        <f>IF('Diseño 3"'!X35="","",'Diseño 3"'!X35)</f>
        <v/>
      </c>
      <c r="Y18" s="775"/>
      <c r="Z18" s="776" t="str">
        <f>IF('Diseño 3"'!AC35="","",'Diseño 3"'!AC35)</f>
        <v/>
      </c>
      <c r="AA18" s="777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778" t="s">
        <v>231</v>
      </c>
      <c r="D19" s="746"/>
      <c r="E19" s="346" t="s">
        <v>231</v>
      </c>
      <c r="F19" s="778" t="s">
        <v>231</v>
      </c>
      <c r="G19" s="746"/>
      <c r="H19" s="774" t="str">
        <f>IF('Diseño 3"'!F36="","",'Diseño 3"'!F36)</f>
        <v/>
      </c>
      <c r="I19" s="775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4" t="str">
        <f>IF('Diseño 3"'!N36="","",'Diseño 3"'!N36)</f>
        <v/>
      </c>
      <c r="P19" s="775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4" t="str">
        <f>IF('Diseño 3"'!X36="","",'Diseño 3"'!X36)</f>
        <v/>
      </c>
      <c r="Y19" s="775"/>
      <c r="Z19" s="776" t="str">
        <f>IF('Diseño 3"'!AC36="","",'Diseño 3"'!AC36)</f>
        <v/>
      </c>
      <c r="AA19" s="777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778" t="s">
        <v>231</v>
      </c>
      <c r="D20" s="746"/>
      <c r="E20" s="346" t="s">
        <v>231</v>
      </c>
      <c r="F20" s="778" t="s">
        <v>231</v>
      </c>
      <c r="G20" s="746"/>
      <c r="H20" s="774" t="str">
        <f>IF('Diseño 3"'!F37="","",'Diseño 3"'!F37)</f>
        <v/>
      </c>
      <c r="I20" s="775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4" t="str">
        <f>IF('Diseño 3"'!N37="","",'Diseño 3"'!N37)</f>
        <v/>
      </c>
      <c r="P20" s="775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4" t="str">
        <f>IF('Diseño 3"'!X37="","",'Diseño 3"'!X37)</f>
        <v/>
      </c>
      <c r="Y20" s="775"/>
      <c r="Z20" s="776" t="str">
        <f>IF('Diseño 3"'!AC37="","",'Diseño 3"'!AC37)</f>
        <v/>
      </c>
      <c r="AA20" s="777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778" t="s">
        <v>231</v>
      </c>
      <c r="D21" s="746"/>
      <c r="E21" s="346" t="s">
        <v>231</v>
      </c>
      <c r="F21" s="778" t="s">
        <v>231</v>
      </c>
      <c r="G21" s="746"/>
      <c r="H21" s="774" t="str">
        <f>IF('Diseño 3"'!F38="","",'Diseño 3"'!F38)</f>
        <v/>
      </c>
      <c r="I21" s="775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4" t="str">
        <f>IF('Diseño 3"'!N38="","",'Diseño 3"'!N38)</f>
        <v/>
      </c>
      <c r="P21" s="775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4" t="str">
        <f>IF('Diseño 3"'!X38="","",'Diseño 3"'!X38)</f>
        <v/>
      </c>
      <c r="Y21" s="775"/>
      <c r="Z21" s="776" t="str">
        <f>IF('Diseño 3"'!AC38="","",'Diseño 3"'!AC38)</f>
        <v/>
      </c>
      <c r="AA21" s="777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778" t="s">
        <v>231</v>
      </c>
      <c r="D22" s="746"/>
      <c r="E22" s="346" t="s">
        <v>231</v>
      </c>
      <c r="F22" s="778" t="s">
        <v>231</v>
      </c>
      <c r="G22" s="746"/>
      <c r="H22" s="774" t="str">
        <f>IF('Diseño 3"'!F39="","",'Diseño 3"'!F39)</f>
        <v/>
      </c>
      <c r="I22" s="775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4" t="str">
        <f>IF('Diseño 3"'!N39="","",'Diseño 3"'!N39)</f>
        <v/>
      </c>
      <c r="P22" s="775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4" t="str">
        <f>IF('Diseño 3"'!X39="","",'Diseño 3"'!X39)</f>
        <v/>
      </c>
      <c r="Y22" s="775"/>
      <c r="Z22" s="776" t="str">
        <f>IF('Diseño 3"'!AC39="","",'Diseño 3"'!AC39)</f>
        <v/>
      </c>
      <c r="AA22" s="777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778" t="s">
        <v>231</v>
      </c>
      <c r="D23" s="746"/>
      <c r="E23" s="346" t="s">
        <v>231</v>
      </c>
      <c r="F23" s="778" t="s">
        <v>231</v>
      </c>
      <c r="G23" s="746"/>
      <c r="H23" s="774" t="str">
        <f>IF('Diseño 3"'!F40="","",'Diseño 3"'!F40)</f>
        <v/>
      </c>
      <c r="I23" s="775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4" t="str">
        <f>IF('Diseño 3"'!N40="","",'Diseño 3"'!N40)</f>
        <v/>
      </c>
      <c r="P23" s="775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4" t="str">
        <f>IF('Diseño 3"'!X40="","",'Diseño 3"'!X40)</f>
        <v/>
      </c>
      <c r="Y23" s="775"/>
      <c r="Z23" s="776" t="str">
        <f>IF('Diseño 3"'!AC40="","",'Diseño 3"'!AC40)</f>
        <v/>
      </c>
      <c r="AA23" s="777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778" t="s">
        <v>231</v>
      </c>
      <c r="D24" s="746"/>
      <c r="E24" s="346" t="s">
        <v>231</v>
      </c>
      <c r="F24" s="778" t="s">
        <v>231</v>
      </c>
      <c r="G24" s="746"/>
      <c r="H24" s="774" t="str">
        <f>IF('Diseño 3"'!F41="","",'Diseño 3"'!F41)</f>
        <v/>
      </c>
      <c r="I24" s="775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4" t="str">
        <f>IF('Diseño 3"'!N41="","",'Diseño 3"'!N41)</f>
        <v/>
      </c>
      <c r="P24" s="775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4" t="str">
        <f>IF('Diseño 3"'!X41="","",'Diseño 3"'!X41)</f>
        <v/>
      </c>
      <c r="Y24" s="775"/>
      <c r="Z24" s="776" t="str">
        <f>IF('Diseño 3"'!AC41="","",'Diseño 3"'!AC41)</f>
        <v/>
      </c>
      <c r="AA24" s="777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778" t="s">
        <v>231</v>
      </c>
      <c r="D25" s="746"/>
      <c r="E25" s="346" t="s">
        <v>231</v>
      </c>
      <c r="F25" s="778" t="s">
        <v>231</v>
      </c>
      <c r="G25" s="746"/>
      <c r="H25" s="774" t="str">
        <f>IF('Diseño 3"'!F42="","",'Diseño 3"'!F42)</f>
        <v/>
      </c>
      <c r="I25" s="775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4" t="str">
        <f>IF('Diseño 3"'!N42="","",'Diseño 3"'!N42)</f>
        <v/>
      </c>
      <c r="P25" s="775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4" t="str">
        <f>IF('Diseño 3"'!X42="","",'Diseño 3"'!X42)</f>
        <v/>
      </c>
      <c r="Y25" s="775"/>
      <c r="Z25" s="776" t="str">
        <f>IF('Diseño 3"'!AC42="","",'Diseño 3"'!AC42)</f>
        <v/>
      </c>
      <c r="AA25" s="777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4" t="str">
        <f>IF('Diseño 3"'!F43="","",'Diseño 3"'!F43)</f>
        <v/>
      </c>
      <c r="I26" s="775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4" t="str">
        <f>IF('Diseño 3"'!N43="","",'Diseño 3"'!N43)</f>
        <v/>
      </c>
      <c r="P26" s="775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4" t="str">
        <f>IF('Diseño 3"'!X43="","",'Diseño 3"'!X43)</f>
        <v/>
      </c>
      <c r="Y26" s="775"/>
      <c r="Z26" s="776" t="str">
        <f>IF('Diseño 3"'!AC43="","",'Diseño 3"'!AC43)</f>
        <v/>
      </c>
      <c r="AA26" s="777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4" t="str">
        <f>IF('Diseño 3"'!F44="","",'Diseño 3"'!F44)</f>
        <v/>
      </c>
      <c r="I27" s="775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4" t="str">
        <f>IF('Diseño 3"'!N44="","",'Diseño 3"'!N44)</f>
        <v/>
      </c>
      <c r="P27" s="775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4" t="str">
        <f>IF('Diseño 3"'!X44="","",'Diseño 3"'!X44)</f>
        <v/>
      </c>
      <c r="Y27" s="775"/>
      <c r="Z27" s="776" t="str">
        <f>IF('Diseño 3"'!AC44="","",'Diseño 3"'!AC44)</f>
        <v/>
      </c>
      <c r="AA27" s="777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4" t="str">
        <f>IF('Diseño 3"'!F45="","",'Diseño 3"'!F45)</f>
        <v/>
      </c>
      <c r="I28" s="775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4" t="str">
        <f>IF('Diseño 3"'!N45="","",'Diseño 3"'!N45)</f>
        <v/>
      </c>
      <c r="P28" s="775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4" t="str">
        <f>IF('Diseño 3"'!X45="","",'Diseño 3"'!X45)</f>
        <v/>
      </c>
      <c r="Y28" s="775"/>
      <c r="Z28" s="776" t="str">
        <f>IF('Diseño 3"'!AC45="","",'Diseño 3"'!AC45)</f>
        <v/>
      </c>
      <c r="AA28" s="777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4" t="str">
        <f>IF('Diseño 3"'!F46="","",'Diseño 3"'!F46)</f>
        <v/>
      </c>
      <c r="I29" s="775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4" t="str">
        <f>IF('Diseño 3"'!N46="","",'Diseño 3"'!N46)</f>
        <v/>
      </c>
      <c r="P29" s="775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4" t="str">
        <f>IF('Diseño 3"'!X46="","",'Diseño 3"'!X46)</f>
        <v/>
      </c>
      <c r="Y29" s="775"/>
      <c r="Z29" s="776" t="str">
        <f>IF('Diseño 3"'!AC46="","",'Diseño 3"'!AC46)</f>
        <v/>
      </c>
      <c r="AA29" s="777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4" t="str">
        <f>IF('Diseño 3"'!F47="","",'Diseño 3"'!F47)</f>
        <v/>
      </c>
      <c r="I30" s="775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4" t="str">
        <f>IF('Diseño 3"'!N47="","",'Diseño 3"'!N47)</f>
        <v/>
      </c>
      <c r="P30" s="775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4" t="str">
        <f>IF('Diseño 3"'!X47="","",'Diseño 3"'!X47)</f>
        <v/>
      </c>
      <c r="Y30" s="775"/>
      <c r="Z30" s="776" t="str">
        <f>IF('Diseño 3"'!AC47="","",'Diseño 3"'!AC47)</f>
        <v/>
      </c>
      <c r="AA30" s="777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781" t="s">
        <v>231</v>
      </c>
      <c r="D31" s="782"/>
      <c r="E31" s="363" t="s">
        <v>231</v>
      </c>
      <c r="F31" s="781" t="s">
        <v>231</v>
      </c>
      <c r="G31" s="782"/>
      <c r="H31" s="772" t="str">
        <f>IF('Diseño 3"'!F48="","",'Diseño 3"'!F48)</f>
        <v/>
      </c>
      <c r="I31" s="773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2" t="str">
        <f>IF('Diseño 3"'!N48="","",'Diseño 3"'!N48)</f>
        <v/>
      </c>
      <c r="P31" s="773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2" t="str">
        <f>IF('Diseño 3"'!X48="","",'Diseño 3"'!X48)</f>
        <v/>
      </c>
      <c r="Y31" s="773"/>
      <c r="Z31" s="779" t="str">
        <f>IF('Diseño 3"'!AC48="","",'Diseño 3"'!AC48)</f>
        <v/>
      </c>
      <c r="AA31" s="780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803"/>
      <c r="P33" s="804"/>
      <c r="Q33" s="375"/>
      <c r="R33" s="375"/>
      <c r="S33" s="375"/>
      <c r="T33" s="377"/>
      <c r="U33" s="321"/>
      <c r="V33" s="805" t="s">
        <v>213</v>
      </c>
      <c r="W33" s="806"/>
      <c r="X33" s="806"/>
      <c r="Y33" s="806"/>
      <c r="Z33" s="806"/>
      <c r="AA33" s="806"/>
      <c r="AB33" s="806"/>
      <c r="AC33" s="806"/>
      <c r="AD33" s="806"/>
      <c r="AE33" s="806"/>
      <c r="AF33" s="806"/>
      <c r="AG33" s="806"/>
      <c r="AH33" s="807"/>
      <c r="AI33" s="344"/>
      <c r="AJ33" s="344"/>
      <c r="AK33" s="321"/>
      <c r="AL33" s="321"/>
      <c r="AM33" s="321"/>
    </row>
    <row r="34" spans="2:39" ht="15" customHeight="1" x14ac:dyDescent="0.2">
      <c r="B34" s="791" t="str">
        <f>+'Diseño 3"'!AB13</f>
        <v>ESCRIBE AQUÍ</v>
      </c>
      <c r="C34" s="792"/>
      <c r="D34" s="792"/>
      <c r="E34" s="792"/>
      <c r="F34" s="792"/>
      <c r="G34" s="792"/>
      <c r="H34" s="792"/>
      <c r="I34" s="792"/>
      <c r="J34" s="792"/>
      <c r="K34" s="792"/>
      <c r="L34" s="792"/>
      <c r="M34" s="792"/>
      <c r="N34" s="792"/>
      <c r="O34" s="792"/>
      <c r="P34" s="792"/>
      <c r="Q34" s="792"/>
      <c r="R34" s="792"/>
      <c r="S34" s="792"/>
      <c r="T34" s="793"/>
      <c r="U34" s="321"/>
      <c r="V34" s="808" t="s">
        <v>211</v>
      </c>
      <c r="W34" s="809"/>
      <c r="X34" s="809"/>
      <c r="Y34" s="809"/>
      <c r="Z34" s="809"/>
      <c r="AA34" s="810"/>
      <c r="AB34" s="378"/>
      <c r="AC34" s="379"/>
      <c r="AD34" s="811" t="s">
        <v>212</v>
      </c>
      <c r="AE34" s="809"/>
      <c r="AF34" s="809"/>
      <c r="AG34" s="809"/>
      <c r="AH34" s="812"/>
      <c r="AI34" s="344"/>
      <c r="AJ34" s="344"/>
      <c r="AK34" s="321"/>
      <c r="AL34" s="321"/>
      <c r="AM34" s="321"/>
    </row>
    <row r="35" spans="2:39" ht="15" customHeight="1" x14ac:dyDescent="0.2">
      <c r="B35" s="794"/>
      <c r="C35" s="795"/>
      <c r="D35" s="795"/>
      <c r="E35" s="795"/>
      <c r="F35" s="795"/>
      <c r="G35" s="795"/>
      <c r="H35" s="795"/>
      <c r="I35" s="795"/>
      <c r="J35" s="795"/>
      <c r="K35" s="795"/>
      <c r="L35" s="795"/>
      <c r="M35" s="795"/>
      <c r="N35" s="795"/>
      <c r="O35" s="795"/>
      <c r="P35" s="795"/>
      <c r="Q35" s="795"/>
      <c r="R35" s="795"/>
      <c r="S35" s="795"/>
      <c r="T35" s="796"/>
      <c r="U35" s="321"/>
      <c r="V35" s="380"/>
      <c r="W35" s="321"/>
      <c r="X35" s="321"/>
      <c r="Y35" s="321"/>
      <c r="Z35" s="801"/>
      <c r="AA35" s="802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4"/>
      <c r="C36" s="795"/>
      <c r="D36" s="795"/>
      <c r="E36" s="795"/>
      <c r="F36" s="795"/>
      <c r="G36" s="795"/>
      <c r="H36" s="795"/>
      <c r="I36" s="795"/>
      <c r="J36" s="795"/>
      <c r="K36" s="795"/>
      <c r="L36" s="795"/>
      <c r="M36" s="795"/>
      <c r="N36" s="795"/>
      <c r="O36" s="795"/>
      <c r="P36" s="795"/>
      <c r="Q36" s="795"/>
      <c r="R36" s="795"/>
      <c r="S36" s="795"/>
      <c r="T36" s="796"/>
      <c r="U36" s="321"/>
      <c r="V36" s="380"/>
      <c r="W36" s="321"/>
      <c r="X36" s="321"/>
      <c r="Y36" s="321"/>
      <c r="Z36" s="801"/>
      <c r="AA36" s="802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4"/>
      <c r="C37" s="795"/>
      <c r="D37" s="795"/>
      <c r="E37" s="795"/>
      <c r="F37" s="795"/>
      <c r="G37" s="795"/>
      <c r="H37" s="795"/>
      <c r="I37" s="795"/>
      <c r="J37" s="795"/>
      <c r="K37" s="795"/>
      <c r="L37" s="795"/>
      <c r="M37" s="795"/>
      <c r="N37" s="795"/>
      <c r="O37" s="795"/>
      <c r="P37" s="795"/>
      <c r="Q37" s="795"/>
      <c r="R37" s="795"/>
      <c r="S37" s="795"/>
      <c r="T37" s="796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4"/>
      <c r="C38" s="795"/>
      <c r="D38" s="795"/>
      <c r="E38" s="795"/>
      <c r="F38" s="795"/>
      <c r="G38" s="795"/>
      <c r="H38" s="795"/>
      <c r="I38" s="795"/>
      <c r="J38" s="795"/>
      <c r="K38" s="795"/>
      <c r="L38" s="795"/>
      <c r="M38" s="795"/>
      <c r="N38" s="795"/>
      <c r="O38" s="795"/>
      <c r="P38" s="795"/>
      <c r="Q38" s="795"/>
      <c r="R38" s="795"/>
      <c r="S38" s="795"/>
      <c r="T38" s="796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4"/>
      <c r="C39" s="795"/>
      <c r="D39" s="795"/>
      <c r="E39" s="795"/>
      <c r="F39" s="795"/>
      <c r="G39" s="795"/>
      <c r="H39" s="795"/>
      <c r="I39" s="795"/>
      <c r="J39" s="795"/>
      <c r="K39" s="795"/>
      <c r="L39" s="795"/>
      <c r="M39" s="795"/>
      <c r="N39" s="795"/>
      <c r="O39" s="795"/>
      <c r="P39" s="795"/>
      <c r="Q39" s="795"/>
      <c r="R39" s="795"/>
      <c r="S39" s="795"/>
      <c r="T39" s="796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4"/>
      <c r="C40" s="795"/>
      <c r="D40" s="795"/>
      <c r="E40" s="795"/>
      <c r="F40" s="795"/>
      <c r="G40" s="795"/>
      <c r="H40" s="795"/>
      <c r="I40" s="795"/>
      <c r="J40" s="795"/>
      <c r="K40" s="795"/>
      <c r="L40" s="795"/>
      <c r="M40" s="795"/>
      <c r="N40" s="795"/>
      <c r="O40" s="795"/>
      <c r="P40" s="795"/>
      <c r="Q40" s="795"/>
      <c r="R40" s="795"/>
      <c r="S40" s="795"/>
      <c r="T40" s="796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7"/>
      <c r="C41" s="798"/>
      <c r="D41" s="798"/>
      <c r="E41" s="798"/>
      <c r="F41" s="798"/>
      <c r="G41" s="798"/>
      <c r="H41" s="798"/>
      <c r="I41" s="798"/>
      <c r="J41" s="798"/>
      <c r="K41" s="798"/>
      <c r="L41" s="798"/>
      <c r="M41" s="798"/>
      <c r="N41" s="798"/>
      <c r="O41" s="798"/>
      <c r="P41" s="798"/>
      <c r="Q41" s="798"/>
      <c r="R41" s="798"/>
      <c r="S41" s="798"/>
      <c r="T41" s="799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5" t="s">
        <v>4</v>
      </c>
      <c r="B4" s="609"/>
      <c r="C4" s="816"/>
      <c r="D4" s="609"/>
      <c r="E4" s="28" t="s">
        <v>190</v>
      </c>
      <c r="F4" s="817"/>
      <c r="G4" s="608"/>
      <c r="H4" s="609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5" t="s">
        <v>7</v>
      </c>
      <c r="B5" s="609"/>
      <c r="C5" s="818"/>
      <c r="D5" s="609"/>
      <c r="E5" s="28" t="s">
        <v>6</v>
      </c>
      <c r="F5" s="819"/>
      <c r="G5" s="608"/>
      <c r="H5" s="609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5" t="s">
        <v>9</v>
      </c>
      <c r="B6" s="609"/>
      <c r="C6" s="16"/>
      <c r="D6" s="34"/>
      <c r="E6" s="35" t="s">
        <v>202</v>
      </c>
      <c r="F6" s="821"/>
      <c r="G6" s="608"/>
      <c r="H6" s="609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22" t="s">
        <v>191</v>
      </c>
      <c r="M7" s="823"/>
      <c r="N7" s="824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5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5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15"/>
      <c r="B10" s="41"/>
      <c r="C10" s="41"/>
      <c r="D10" s="41"/>
      <c r="E10" s="41"/>
      <c r="F10" s="42"/>
      <c r="G10" s="42"/>
      <c r="H10" s="615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20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20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15"/>
      <c r="B26" s="41"/>
      <c r="C26" s="41"/>
      <c r="D26" s="41"/>
      <c r="E26" s="41"/>
      <c r="F26" s="42"/>
      <c r="G26" s="42"/>
      <c r="H26" s="615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2026-04-22T20:10:14Z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